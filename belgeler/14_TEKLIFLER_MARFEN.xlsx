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15.225.1010</t>
        </is>
      </c>
      <c r="C14" s="18" t="inlineStr">
        <is>
          <t>20 cm kalınlığındaki teçhizatsız gazbeton duvar blokları ile duvar yapılması (gazbeton tutkalı ile)</t>
        </is>
      </c>
      <c r="D14" s="3" t="inlineStr">
        <is>
          <t>m²</t>
        </is>
      </c>
      <c r="E14" s="22" t="n">
        <v>507.91</v>
      </c>
      <c r="F14" s="23">
        <f>IFERROR(VLOOKUP($B14,'Fiyatlar'!$A:$I,9,FALSE),0)</f>
        <v/>
      </c>
      <c r="G14" s="5">
        <f>ROUND(E14*F14,2)</f>
        <v/>
      </c>
    </row>
    <row r="15" ht="14" customHeight="1">
      <c r="A15" s="3" t="n">
        <v>10</v>
      </c>
      <c r="B15" s="21" t="inlineStr">
        <is>
          <t>15.225.1410</t>
        </is>
      </c>
      <c r="C15" s="18" t="inlineStr">
        <is>
          <t>20 cm kalınlığındaki teçhizatlı gazbeton lento temini ve yerine konulması</t>
        </is>
      </c>
      <c r="D15" s="3" t="inlineStr">
        <is>
          <t>m²</t>
        </is>
      </c>
      <c r="E15" s="22" t="n">
        <v>49.85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15.275.1116</t>
        </is>
      </c>
      <c r="C16" s="18" t="inlineStr">
        <is>
          <t>250 kg çimento dozlu harç ile kaba sıva yapılması</t>
        </is>
      </c>
      <c r="D16" s="3" t="inlineStr">
        <is>
          <t>m²</t>
        </is>
      </c>
      <c r="E16" s="22" t="n">
        <v>557.76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15.275.1117</t>
        </is>
      </c>
      <c r="C17" s="18" t="inlineStr">
        <is>
          <t>200 kg çimento ve kireç karışımı harç ile kaba sıva yapılması (iç cephe)</t>
        </is>
      </c>
      <c r="D17" s="3" t="inlineStr">
        <is>
          <t>m²</t>
        </is>
      </c>
      <c r="E17" s="22" t="n">
        <v>647.76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15.540.1606</t>
        </is>
      </c>
      <c r="C18" s="18" t="inlineStr">
        <is>
          <t>Brüt beton, sıvalı veya eski boyalı yüzeylere astar uygulanarak silikon esaslı su bazlı dış cephe boyası yapılması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15.540.1537</t>
        </is>
      </c>
      <c r="C19" s="18" t="inlineStr">
        <is>
          <t>Yeni sıva yüzeylere astar uygulanarak iki kat su bazlı plastik antibakteriyel iç cephe boyası yapılması</t>
        </is>
      </c>
      <c r="D19" s="3" t="inlineStr">
        <is>
          <t>m²</t>
        </is>
      </c>
      <c r="E19" s="22" t="n">
        <v>612.76</v>
      </c>
      <c r="F19" s="23">
        <f>IFERROR(VLOOKUP($B19,'Fiyatlar'!$A:$I,9,FALSE),0)</f>
        <v/>
      </c>
      <c r="G19" s="5">
        <f>ROUND(E19*F19,2)</f>
        <v/>
      </c>
    </row>
    <row r="20" ht="14" customHeight="1">
      <c r="A20" s="3" t="n">
        <v>15</v>
      </c>
      <c r="B20" s="21" t="inlineStr">
        <is>
          <t>15.550.1202</t>
        </is>
      </c>
      <c r="C20" s="18" t="inlineStr">
        <is>
          <t>Lama ve profil demirlerden çeşitli demir işleri yapılması ve yerine konulması</t>
        </is>
      </c>
      <c r="D20" s="3" t="inlineStr">
        <is>
          <t>kg</t>
        </is>
      </c>
      <c r="E20" s="22" t="n">
        <v>674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TKDK-0115</t>
        </is>
      </c>
      <c r="C21" s="18" t="inlineStr">
        <is>
          <t>Galvanizli düz sacdan yağmur oluğu veya iniş borusu yapılması</t>
        </is>
      </c>
      <c r="D21" s="3" t="inlineStr">
        <is>
          <t>kg</t>
        </is>
      </c>
      <c r="E21" s="22" t="n">
        <v>319.2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15.315.1001</t>
        </is>
      </c>
      <c r="C22" s="18" t="inlineStr">
        <is>
          <t>Ø 70 mm çapında bir ucu muflu sert PVC yağmur borusu temini ve yerine tesbiti</t>
        </is>
      </c>
      <c r="D22" s="3" t="inlineStr">
        <is>
          <t>m</t>
        </is>
      </c>
      <c r="E22" s="22" t="n">
        <v>51.2</v>
      </c>
      <c r="F22" s="23">
        <f>IFERROR(VLOOKUP($B22,'Fiyatlar'!$A:$I,9,FALSE),0)</f>
        <v/>
      </c>
      <c r="G22" s="5">
        <f>ROUND(E22*F22,2)</f>
        <v/>
      </c>
    </row>
    <row r="23" ht="22" customHeight="1">
      <c r="A23" s="3" t="n">
        <v>18</v>
      </c>
      <c r="B23" s="21" t="inlineStr">
        <is>
          <t>TKDK-0151</t>
        </is>
      </c>
      <c r="C23" s="18" t="inlineStr">
        <is>
          <t>5 cm poliüretan dolgulu (üst 0,50 mm düz, alt 0,40 mm düz) fabrikasyon rulo boyama sistemi ile boyanmış galvaniz levhalar ile ısı yalıtımlı kapı yapılması</t>
        </is>
      </c>
      <c r="D23" s="3" t="inlineStr">
        <is>
          <t>m²</t>
        </is>
      </c>
      <c r="E23" s="22" t="n">
        <v>13.4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15.225.1004</t>
        </is>
      </c>
      <c r="C24" s="18" t="inlineStr">
        <is>
          <t>10 cm kalınlığındaki teçhizatsız gazbeton duvar blokları ile duvar yapılması (gazbeton tutkalı ile)</t>
        </is>
      </c>
      <c r="D24" s="3" t="inlineStr">
        <is>
          <t>m²</t>
        </is>
      </c>
      <c r="E24" s="22" t="n">
        <v>45</v>
      </c>
      <c r="F24" s="23">
        <f>IFERROR(VLOOKUP($B24,'Fiyatlar'!$A:$I,9,FALSE),0)</f>
        <v/>
      </c>
      <c r="G24" s="5">
        <f>ROUND(E24*F24,2)</f>
        <v/>
      </c>
    </row>
    <row r="25" ht="33" customHeight="1">
      <c r="A25" s="3" t="n">
        <v>20</v>
      </c>
      <c r="B25" s="21" t="inlineStr">
        <is>
          <t>TKDK-0177</t>
        </is>
      </c>
      <c r="C2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5" s="3" t="inlineStr">
        <is>
          <t>m²</t>
        </is>
      </c>
      <c r="E25" s="22" t="n">
        <v>60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TKDK-0175</t>
        </is>
      </c>
      <c r="C26" s="18" t="inlineStr">
        <is>
          <t>PVC kaplamalı, iki yüzü odun lifinden yapılmış levhalarla (MDF) presli, kraft dolgulu iç kapı kanadı yapılması, yerinde takılması</t>
        </is>
      </c>
      <c r="D26" s="3" t="inlineStr">
        <is>
          <t>m²</t>
        </is>
      </c>
      <c r="E26" s="22" t="n">
        <v>5.67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15.550.1002</t>
        </is>
      </c>
      <c r="C27" s="18" t="inlineStr">
        <is>
          <t>1,50 mm kalınlığında sıcak haddelenmiş sacdan bükme kapı kasası yapılması ve yerine konulması</t>
        </is>
      </c>
      <c r="D27" s="3" t="inlineStr">
        <is>
          <t>kg</t>
        </is>
      </c>
      <c r="E27" s="22" t="n">
        <v>54.315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15.225.1010</t>
        </is>
      </c>
      <c r="C14" s="18" t="inlineStr">
        <is>
          <t>20 cm kalınlığındaki teçhizatsız gazbeton duvar blokları ile duvar yapılması (gazbeton tutkalı ile)</t>
        </is>
      </c>
      <c r="D14" s="3" t="inlineStr">
        <is>
          <t>m²</t>
        </is>
      </c>
      <c r="E14" s="22" t="n">
        <v>507.91</v>
      </c>
      <c r="F14" s="23">
        <f>IFERROR(VLOOKUP($B14,'Fiyatlar'!$A:$I,9,FALSE),0)</f>
        <v/>
      </c>
      <c r="G14" s="5">
        <f>ROUND(E14*F14,2)</f>
        <v/>
      </c>
    </row>
    <row r="15" ht="14" customHeight="1">
      <c r="A15" s="3" t="n">
        <v>10</v>
      </c>
      <c r="B15" s="21" t="inlineStr">
        <is>
          <t>15.225.1410</t>
        </is>
      </c>
      <c r="C15" s="18" t="inlineStr">
        <is>
          <t>20 cm kalınlığındaki teçhizatlı gazbeton lento temini ve yerine konulması</t>
        </is>
      </c>
      <c r="D15" s="3" t="inlineStr">
        <is>
          <t>m²</t>
        </is>
      </c>
      <c r="E15" s="22" t="n">
        <v>49.85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15.275.1116</t>
        </is>
      </c>
      <c r="C16" s="18" t="inlineStr">
        <is>
          <t>250 kg çimento dozlu harç ile kaba sıva yapılması</t>
        </is>
      </c>
      <c r="D16" s="3" t="inlineStr">
        <is>
          <t>m²</t>
        </is>
      </c>
      <c r="E16" s="22" t="n">
        <v>557.76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15.275.1117</t>
        </is>
      </c>
      <c r="C17" s="18" t="inlineStr">
        <is>
          <t>200 kg çimento ve kireç karışımı harç ile kaba sıva yapılması (iç cephe)</t>
        </is>
      </c>
      <c r="D17" s="3" t="inlineStr">
        <is>
          <t>m²</t>
        </is>
      </c>
      <c r="E17" s="22" t="n">
        <v>647.76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15.540.1606</t>
        </is>
      </c>
      <c r="C18" s="18" t="inlineStr">
        <is>
          <t>Brüt beton, sıvalı veya eski boyalı yüzeylere astar uygulanarak silikon esaslı su bazlı dış cephe boyası yapılması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15.540.1537</t>
        </is>
      </c>
      <c r="C19" s="18" t="inlineStr">
        <is>
          <t>Yeni sıva yüzeylere astar uygulanarak iki kat su bazlı plastik antibakteriyel iç cephe boyası yapılması</t>
        </is>
      </c>
      <c r="D19" s="3" t="inlineStr">
        <is>
          <t>m²</t>
        </is>
      </c>
      <c r="E19" s="22" t="n">
        <v>612.76</v>
      </c>
      <c r="F19" s="23">
        <f>IFERROR(VLOOKUP($B19,'Fiyatlar'!$A:$I,9,FALSE),0)</f>
        <v/>
      </c>
      <c r="G19" s="5">
        <f>ROUND(E19*F19,2)</f>
        <v/>
      </c>
    </row>
    <row r="20" ht="14" customHeight="1">
      <c r="A20" s="3" t="n">
        <v>15</v>
      </c>
      <c r="B20" s="21" t="inlineStr">
        <is>
          <t>15.550.1202</t>
        </is>
      </c>
      <c r="C20" s="18" t="inlineStr">
        <is>
          <t>Lama ve profil demirlerden çeşitli demir işleri yapılması ve yerine konulması</t>
        </is>
      </c>
      <c r="D20" s="3" t="inlineStr">
        <is>
          <t>kg</t>
        </is>
      </c>
      <c r="E20" s="22" t="n">
        <v>674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TKDK-0115</t>
        </is>
      </c>
      <c r="C21" s="18" t="inlineStr">
        <is>
          <t>Galvanizli düz sacdan yağmur oluğu veya iniş borusu yapılması</t>
        </is>
      </c>
      <c r="D21" s="3" t="inlineStr">
        <is>
          <t>kg</t>
        </is>
      </c>
      <c r="E21" s="22" t="n">
        <v>319.2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15.315.1001</t>
        </is>
      </c>
      <c r="C22" s="18" t="inlineStr">
        <is>
          <t>Ø 70 mm çapında bir ucu muflu sert PVC yağmur borusu temini ve yerine tesbiti</t>
        </is>
      </c>
      <c r="D22" s="3" t="inlineStr">
        <is>
          <t>m</t>
        </is>
      </c>
      <c r="E22" s="22" t="n">
        <v>51.2</v>
      </c>
      <c r="F22" s="23">
        <f>IFERROR(VLOOKUP($B22,'Fiyatlar'!$A:$I,9,FALSE),0)</f>
        <v/>
      </c>
      <c r="G22" s="5">
        <f>ROUND(E22*F22,2)</f>
        <v/>
      </c>
    </row>
    <row r="23" ht="22" customHeight="1">
      <c r="A23" s="3" t="n">
        <v>18</v>
      </c>
      <c r="B23" s="21" t="inlineStr">
        <is>
          <t>TKDK-0151</t>
        </is>
      </c>
      <c r="C23" s="18" t="inlineStr">
        <is>
          <t>5 cm poliüretan dolgulu (üst 0,50 mm düz, alt 0,40 mm düz) fabrikasyon rulo boyama sistemi ile boyanmış galvaniz levhalar ile ısı yalıtımlı kapı yapılması</t>
        </is>
      </c>
      <c r="D23" s="3" t="inlineStr">
        <is>
          <t>m²</t>
        </is>
      </c>
      <c r="E23" s="22" t="n">
        <v>13.4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15.225.1004</t>
        </is>
      </c>
      <c r="C24" s="18" t="inlineStr">
        <is>
          <t>10 cm kalınlığındaki teçhizatsız gazbeton duvar blokları ile duvar yapılması (gazbeton tutkalı ile)</t>
        </is>
      </c>
      <c r="D24" s="3" t="inlineStr">
        <is>
          <t>m²</t>
        </is>
      </c>
      <c r="E24" s="22" t="n">
        <v>45</v>
      </c>
      <c r="F24" s="23">
        <f>IFERROR(VLOOKUP($B24,'Fiyatlar'!$A:$I,9,FALSE),0)</f>
        <v/>
      </c>
      <c r="G24" s="5">
        <f>ROUND(E24*F24,2)</f>
        <v/>
      </c>
    </row>
    <row r="25" ht="33" customHeight="1">
      <c r="A25" s="3" t="n">
        <v>20</v>
      </c>
      <c r="B25" s="21" t="inlineStr">
        <is>
          <t>TKDK-0177</t>
        </is>
      </c>
      <c r="C2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5" s="3" t="inlineStr">
        <is>
          <t>m²</t>
        </is>
      </c>
      <c r="E25" s="22" t="n">
        <v>60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TKDK-0175</t>
        </is>
      </c>
      <c r="C26" s="18" t="inlineStr">
        <is>
          <t>PVC kaplamalı, iki yüzü odun lifinden yapılmış levhalarla (MDF) presli, kraft dolgulu iç kapı kanadı yapılması, yerinde takılması</t>
        </is>
      </c>
      <c r="D26" s="3" t="inlineStr">
        <is>
          <t>m²</t>
        </is>
      </c>
      <c r="E26" s="22" t="n">
        <v>5.67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15.550.1002</t>
        </is>
      </c>
      <c r="C27" s="18" t="inlineStr">
        <is>
          <t>1,50 mm kalınlığında sıcak haddelenmiş sacdan bükme kapı kasası yapılması ve yerine konulması</t>
        </is>
      </c>
      <c r="D27" s="3" t="inlineStr">
        <is>
          <t>kg</t>
        </is>
      </c>
      <c r="E27" s="22" t="n">
        <v>54.315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2026-08-29T11:48:54Z</dcterms:created>
  <dcterms:modified xmlns:dcterms="http://purl.org/dc/terms/" xmlns:xsi="http://www.w3.org/2001/XMLSchema-instance" xsi:type="dcterms:W3CDTF">2026-08-29T11:48:54Z</dcterms:modified>
</cp:coreProperties>
</file>