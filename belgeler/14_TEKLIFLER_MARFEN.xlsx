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Blok'!$G$54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Blok'!$G$54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35.190.1100 (montaj)</t>
        </is>
      </c>
      <c r="B35" s="18" t="inlineStr">
        <is>
          <t>Kablo tava sistemlerinin montajı — askı ve konsollarla tavana veya duvara tespiti; ek parça, konsol, askı tiji, vida ve somun bedelleri dâhildir, ayrıca ödenmez</t>
        </is>
      </c>
      <c r="C35" s="3" t="inlineStr">
        <is>
          <t>kg</t>
        </is>
      </c>
      <c r="D35" s="5" t="n">
        <v>46.09</v>
      </c>
      <c r="E35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38.72</v>
      </c>
    </row>
    <row r="36" ht="33" customHeight="1">
      <c r="A36" s="17" t="inlineStr">
        <is>
          <t>35.190.1101</t>
        </is>
      </c>
      <c r="B36" s="18" t="inlineStr">
        <is>
          <t>Kablo tava sistemleri kapak sacı — 35.190.1100 pozuna uygun özellikte, 1,0 mm sıcak daldırma galvanizli (malzeme) (%25 müteahhit kârı dahil)</t>
        </is>
      </c>
      <c r="C36" s="3" t="inlineStr">
        <is>
          <t>kg</t>
        </is>
      </c>
      <c r="D36" s="5" t="n">
        <v>193.3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162.37</v>
      </c>
    </row>
    <row r="37" ht="33" customHeight="1">
      <c r="A37" s="17" t="inlineStr">
        <is>
          <t>35.190.1101 (montaj)</t>
        </is>
      </c>
      <c r="B37" s="18" t="inlineStr">
        <is>
          <t>Kablo tava sistemleri kapak sacının montajı — onaylı projesinde belirtilen kanalların kapatılması; her türlü işçilik ve malzeme dâhil, işler hâlde teslim</t>
        </is>
      </c>
      <c r="C37" s="3" t="inlineStr">
        <is>
          <t>kg</t>
        </is>
      </c>
      <c r="D37" s="5" t="n">
        <v>25.36</v>
      </c>
      <c r="E37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21.3</v>
      </c>
    </row>
    <row r="38" ht="22" customHeight="1">
      <c r="A38" s="17" t="inlineStr">
        <is>
          <t>35.190.1304</t>
        </is>
      </c>
      <c r="B38" s="18" t="inlineStr">
        <is>
          <t>Sıva üstü PVC kablo kanalı — en az 100 x 35 mm, üç bölmeli (%25 müteahhit kârı dahil)</t>
        </is>
      </c>
      <c r="C38" s="3" t="inlineStr">
        <is>
          <t>m</t>
        </is>
      </c>
      <c r="D38" s="5" t="n">
        <v>277.71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233.28</v>
      </c>
    </row>
    <row r="39" ht="33" customHeight="1">
      <c r="A39" s="17" t="inlineStr">
        <is>
          <t>35.740.1106</t>
        </is>
      </c>
      <c r="B39" s="18" t="inlineStr">
        <is>
          <t>Dizel elektrojen grubu (jeneratör) 63 kVA / 50 kW — dizel motoru su veya hava ile soğuyan cinsten, 1500 d/dak (%25 müteahhit kârı dahil)</t>
        </is>
      </c>
      <c r="C39" s="3" t="inlineStr">
        <is>
          <t>ad</t>
        </is>
      </c>
      <c r="D39" s="5" t="n">
        <v>504175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423507</v>
      </c>
    </row>
    <row r="40" ht="22" customHeight="1">
      <c r="A40" s="17" t="inlineStr">
        <is>
          <t>35.740.1106 (montaj)</t>
        </is>
      </c>
      <c r="B40" s="18" t="inlineStr">
        <is>
          <t>Dizel elektrojen grubunun montajı — yerine konulması, bağlantıları ve işler hâlde teslimi</t>
        </is>
      </c>
      <c r="C40" s="3" t="inlineStr">
        <is>
          <t>ad</t>
        </is>
      </c>
      <c r="D40" s="5" t="n">
        <v>24847.84</v>
      </c>
      <c r="E40" s="19" t="inlineStr">
        <is>
          <t>ÇŞB 35.740.1106 pozunun 01.06.2026 tarihli MONTAJ fiyatı 24.847,84 TL; kitabın kendi rakamıdır, kâr ve genel gider içindedir, ayrıca çarpılmamıştır. Kitabın birim fiyatı = malzeme 403.340,00 x 1,25 + montaj 24.847,84 = 529.022,84 TL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20872.19</v>
      </c>
    </row>
    <row r="41" ht="22" customHeight="1">
      <c r="A41" s="17" t="inlineStr">
        <is>
          <t>35.740.5406</t>
        </is>
      </c>
      <c r="B41" s="18" t="inlineStr">
        <is>
          <t>Jeneratör ses izolasyon kabini — 63 kVA (%25 müteahhit kârı dahil)</t>
        </is>
      </c>
      <c r="C41" s="3" t="inlineStr">
        <is>
          <t>ad</t>
        </is>
      </c>
      <c r="D41" s="5" t="n">
        <v>85930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72181.2</v>
      </c>
    </row>
    <row r="42" ht="14" customHeight="1">
      <c r="A42" s="17" t="inlineStr">
        <is>
          <t>35.740.5406 (montaj)</t>
        </is>
      </c>
      <c r="B42" s="18" t="inlineStr">
        <is>
          <t>Jeneratör ses izolasyon kabininin montajı</t>
        </is>
      </c>
      <c r="C42" s="3" t="inlineStr">
        <is>
          <t>ad</t>
        </is>
      </c>
      <c r="D42" s="5" t="n">
        <v>7391.38</v>
      </c>
      <c r="E42" s="19" t="inlineStr">
        <is>
          <t>ÇŞB 35.740.5406 pozunun 01.06.2026 tarihli MONTAJ fiyatı 7.391,38 TL; kitabın kendi rakamıdır, kâr ve genel gider içindedir, ayrıca çarpılmamıştır. Kitabın birim fiyatı = malzeme 68.744,00 x 1,25 + montaj 7.391,38 = 93.321,38 TL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6208.76</v>
      </c>
    </row>
    <row r="43" ht="22" customHeight="1">
      <c r="A43" s="17" t="inlineStr">
        <is>
          <t>35.750.1502</t>
        </is>
      </c>
      <c r="B43" s="18" t="inlineStr">
        <is>
          <t>Aktif yakalama ucu, ortalama uyarım yolu DL = 30-40 m (%25 müteahhit kârı dahil)</t>
        </is>
      </c>
      <c r="C43" s="3" t="inlineStr">
        <is>
          <t>ad</t>
        </is>
      </c>
      <c r="D43" s="5" t="n">
        <v>16824.5</v>
      </c>
      <c r="E43" s="19" t="inlineStr">
        <is>
          <t>ÇŞB 2026 Haziran elektrik rayici x 1,25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14132.58</v>
      </c>
    </row>
    <row r="44" ht="22" customHeight="1">
      <c r="A44" s="17" t="inlineStr">
        <is>
          <t>35.750.1502 (montaj)</t>
        </is>
      </c>
      <c r="B44" s="18" t="inlineStr">
        <is>
          <t>Aktif yakalama ucunun montajı — direk, taşıyıcı ve bağlantı elemanlarıyla yerine konulması</t>
        </is>
      </c>
      <c r="C44" s="3" t="inlineStr">
        <is>
          <t>ad</t>
        </is>
      </c>
      <c r="D44" s="5" t="n">
        <v>2537.5</v>
      </c>
      <c r="E44" s="19" t="inlineStr">
        <is>
          <t>ÇŞB 35.750.1502 pozunun 01.06.2026 tarihli MONTAJ fiyatı 2.537,50 TL; kitabın kendi rakamıdır, kâr ve genel gider içindedir, ayrıca çarpılmamıştır. Kitabın birim fiyatı = malzeme 13.459,60 x 1,25 + montaj 2.537,50 = 19.362,00 TL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2131.5</v>
      </c>
    </row>
    <row r="45" ht="22" customHeight="1">
      <c r="A45" s="17" t="inlineStr">
        <is>
          <t>35.750.2001</t>
        </is>
      </c>
      <c r="B45" s="18" t="inlineStr">
        <is>
          <t>Çatı ihata ve indirme iletkeni tesisatı — 50 mm² elektrolitik bakır tel (%25 müteahhit kârı dahil)</t>
        </is>
      </c>
      <c r="C45" s="3" t="inlineStr">
        <is>
          <t>m</t>
        </is>
      </c>
      <c r="D45" s="5" t="n">
        <v>461.57</v>
      </c>
      <c r="E45" s="19" t="inlineStr">
        <is>
          <t>ÇŞB 2026 Haziran elektrik rayici x 1,25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387.72</v>
      </c>
    </row>
    <row r="46" ht="14" customHeight="1">
      <c r="A46" s="17" t="inlineStr">
        <is>
          <t>35.750.2001 (montaj)</t>
        </is>
      </c>
      <c r="B46" s="18" t="inlineStr">
        <is>
          <t>Çatı ihata ve indirme iletkeni tesisatının montajı</t>
        </is>
      </c>
      <c r="C46" s="3" t="inlineStr">
        <is>
          <t>m</t>
        </is>
      </c>
      <c r="D46" s="5" t="n">
        <v>75.25</v>
      </c>
      <c r="E46" s="19" t="inlineStr">
        <is>
          <t>ÇŞB 35.750.2001 pozunun 01.06.2026 tarihli MONTAJ fiyatı 75,25 TL; kitabın kendi rakamıdır, kâr ve genel gider içindedir, ayrıca çarpılmamıştır. Kitabın birim fiyatı = malzeme 369,26 x 1,25 + montaj 75,25 = 536,83 TL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63.21</v>
      </c>
    </row>
    <row r="47" ht="22" customHeight="1">
      <c r="A47" s="17" t="inlineStr">
        <is>
          <t>35.750.3002</t>
        </is>
      </c>
      <c r="B47" s="18" t="inlineStr">
        <is>
          <t>Bina ihata iletkeni tesisatı — 30x3,5 mm galvanizli çelik lama (temel topraklaması) (%25 müteahhit kârı dahil)</t>
        </is>
      </c>
      <c r="C47" s="3" t="inlineStr">
        <is>
          <t>m</t>
        </is>
      </c>
      <c r="D47" s="5" t="n">
        <v>125.44</v>
      </c>
      <c r="E47" s="19" t="inlineStr">
        <is>
          <t>ÇŞB 2026 Haziran elektrik rayici x 1,25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105.37</v>
      </c>
    </row>
    <row r="48" ht="14" customHeight="1">
      <c r="A48" s="17" t="inlineStr">
        <is>
          <t>35.750.3002 (montaj)</t>
        </is>
      </c>
      <c r="B48" s="18" t="inlineStr">
        <is>
          <t>Bina ihata iletkeni tesisatının montajı — temel topraklaması</t>
        </is>
      </c>
      <c r="C48" s="3" t="inlineStr">
        <is>
          <t>m</t>
        </is>
      </c>
      <c r="D48" s="5" t="n">
        <v>92.31</v>
      </c>
      <c r="E48" s="19" t="inlineStr">
        <is>
          <t>ÇŞB 35.750.3002 pozunun 01.06.2026 tarihli MONTAJ fiyatı 92,31 TL; kitabın kendi rakamıdır, kâr ve genel gider içindedir, ayrıca çarpılmamıştır. Kitabın birim fiyatı = malzeme 100,35 x 1,25 + montaj 92,31 = 217,75 TL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77.54000000000001</v>
      </c>
    </row>
    <row r="49" ht="22" customHeight="1">
      <c r="A49" s="17" t="inlineStr">
        <is>
          <t>43.527.1001</t>
        </is>
      </c>
      <c r="B49" s="18" t="inlineStr">
        <is>
          <t>Çapı 150 mm HDPE koruge boru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14" customHeight="1">
      <c r="A50" s="17" t="inlineStr">
        <is>
          <t>TKDK-0115</t>
        </is>
      </c>
      <c r="B50" s="18" t="inlineStr">
        <is>
          <t>Galvanizli düz sacdan yağmur oluğu veya iniş borusu yapılması</t>
        </is>
      </c>
      <c r="C50" s="3" t="inlineStr">
        <is>
          <t>kg</t>
        </is>
      </c>
      <c r="D50" s="5" t="n">
        <v>271.25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227.85</v>
      </c>
    </row>
    <row r="51" ht="33" customHeight="1">
      <c r="A51" s="17" t="inlineStr">
        <is>
          <t>TKDK-0151</t>
        </is>
      </c>
      <c r="B51" s="18" t="inlineStr">
        <is>
          <t>5 cm poliüretan dolgulu (üst 0,50 mm düz, alt 0,40 mm düz) fabrikasyon rulo boyama sistemi ile boyanmış galvaniz levhalar ile ısı yalıtımlı kapı yapılması</t>
        </is>
      </c>
      <c r="C51" s="3" t="inlineStr">
        <is>
          <t>m²</t>
        </is>
      </c>
      <c r="D51" s="5" t="n">
        <v>1035.88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870.14</v>
      </c>
    </row>
    <row r="52" ht="33" customHeight="1">
      <c r="A52" s="17" t="inlineStr">
        <is>
          <t>TKDK-0175</t>
        </is>
      </c>
      <c r="B52" s="18" t="inlineStr">
        <is>
          <t>PVC kaplamalı, iki yüzü odun lifinden yapılmış levhalarla (MDF) presli, kraft dolgulu iç kapı kanadı yapılması, yerinde takılması</t>
        </is>
      </c>
      <c r="C52" s="3" t="inlineStr">
        <is>
          <t>m²</t>
        </is>
      </c>
      <c r="D52" s="5" t="n">
        <v>3199.68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2687.73</v>
      </c>
    </row>
    <row r="53" ht="44" customHeight="1">
      <c r="A53" s="17" t="inlineStr">
        <is>
          <t>TKDK-0177</t>
        </is>
      </c>
      <c r="B53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53" s="3" t="inlineStr">
        <is>
          <t>m²</t>
        </is>
      </c>
      <c r="D53" s="5" t="n">
        <v>835.1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35.750.3002 (montaj)</t>
        </is>
      </c>
      <c r="C40" s="18" t="inlineStr">
        <is>
          <t>Bina ihata iletkeni tesisatının montajı — temel topraklaması</t>
        </is>
      </c>
      <c r="D40" s="3" t="inlineStr">
        <is>
          <t>m</t>
        </is>
      </c>
      <c r="E40" s="22" t="n">
        <v>186</v>
      </c>
      <c r="F40" s="23">
        <f>IFERROR(VLOOKUP($B40,'Fiyatlar'!$A:$I,9,FALSE),0)</f>
        <v/>
      </c>
      <c r="G40" s="5">
        <f>ROUND(E40*F40,2)</f>
        <v/>
      </c>
    </row>
    <row r="41" ht="14" customHeight="1">
      <c r="A41" s="3" t="n">
        <v>36</v>
      </c>
      <c r="B41" s="21" t="inlineStr">
        <is>
          <t>35.750.1502</t>
        </is>
      </c>
      <c r="C41" s="18" t="inlineStr">
        <is>
          <t>Aktif yakalama ucu, ortalama uyarım yolu DL = 30-40 m (%25 müteahhit kârı dahil)</t>
        </is>
      </c>
      <c r="D41" s="3" t="inlineStr">
        <is>
          <t>ad</t>
        </is>
      </c>
      <c r="E41" s="22" t="n">
        <v>1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35.750.1502 (montaj)</t>
        </is>
      </c>
      <c r="C42" s="18" t="inlineStr">
        <is>
          <t>Aktif yakalama ucunun montajı — direk, taşıyıcı ve bağlantı elemanlarıyla yerine konulması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22" customHeight="1">
      <c r="A43" s="3" t="n">
        <v>38</v>
      </c>
      <c r="B43" s="21" t="inlineStr">
        <is>
          <t>35.750.2001</t>
        </is>
      </c>
      <c r="C43" s="18" t="inlineStr">
        <is>
          <t>Çatı ihata ve indirme iletkeni tesisatı — 50 mm² elektrolitik bakır tel (%25 müteahhit kârı dahil)</t>
        </is>
      </c>
      <c r="D43" s="3" t="inlineStr">
        <is>
          <t>m</t>
        </is>
      </c>
      <c r="E43" s="22" t="n">
        <v>16</v>
      </c>
      <c r="F43" s="23">
        <f>IFERROR(VLOOKUP($B43,'Fiyatlar'!$A:$I,9,FALSE),0)</f>
        <v/>
      </c>
      <c r="G43" s="5">
        <f>ROUND(E43*F43,2)</f>
        <v/>
      </c>
    </row>
    <row r="44" ht="14" customHeight="1">
      <c r="A44" s="3" t="n">
        <v>39</v>
      </c>
      <c r="B44" s="21" t="inlineStr">
        <is>
          <t>35.750.2001 (montaj)</t>
        </is>
      </c>
      <c r="C44" s="18" t="inlineStr">
        <is>
          <t>Çatı ihata ve indirme iletkeni tesisatının montajı</t>
        </is>
      </c>
      <c r="D44" s="3" t="inlineStr">
        <is>
          <t>m</t>
        </is>
      </c>
      <c r="E44" s="22" t="n">
        <v>16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35.740.1106</t>
        </is>
      </c>
      <c r="C45" s="18" t="inlineStr">
        <is>
          <t>Dizel elektrojen grubu (jeneratör) 63 kVA / 50 kW — dizel motoru su veya hava ile soğuyan cinsten, 1500 d/dak (%25 müteahhit kârı dahil)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35.740.1106 (montaj)</t>
        </is>
      </c>
      <c r="C46" s="18" t="inlineStr">
        <is>
          <t>Dizel elektrojen grubunun montajı — yerine konulması, bağlantıları ve işler hâlde teslimi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ROUND(E46*F46,2)</f>
        <v/>
      </c>
    </row>
    <row r="47" ht="14" customHeight="1">
      <c r="A47" s="3" t="n">
        <v>42</v>
      </c>
      <c r="B47" s="21" t="inlineStr">
        <is>
          <t>35.740.5406</t>
        </is>
      </c>
      <c r="C47" s="18" t="inlineStr">
        <is>
          <t>Jeneratör ses izolasyon kabini — 63 kVA (%25 müteahhit kârı dahil)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ROUND(E47*F47,2)</f>
        <v/>
      </c>
    </row>
    <row r="48" ht="14" customHeight="1">
      <c r="A48" s="3" t="n">
        <v>43</v>
      </c>
      <c r="B48" s="21" t="inlineStr">
        <is>
          <t>35.740.5406 (montaj)</t>
        </is>
      </c>
      <c r="C48" s="18" t="inlineStr">
        <is>
          <t>Jeneratör ses izolasyon kabininin montajı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ROUND(E48*F48,2)</f>
        <v/>
      </c>
    </row>
    <row r="49" ht="22" customHeight="1">
      <c r="A49" s="3" t="n">
        <v>44</v>
      </c>
      <c r="B49" s="21" t="inlineStr">
        <is>
          <t>35.190.1100</t>
        </is>
      </c>
      <c r="C49" s="18" t="inlineStr">
        <is>
          <t>Kablo tava sistemleri — 200x60x1,0 mm sıcak daldırma galvanizli perfore kablo tavası (malzeme) (%25 müteahhit kârı dahil)</t>
        </is>
      </c>
      <c r="D49" s="3" t="inlineStr">
        <is>
          <t>kg</t>
        </is>
      </c>
      <c r="E49" s="22" t="n">
        <v>502</v>
      </c>
      <c r="F49" s="23">
        <f>IFERROR(VLOOKUP($B49,'Fiyatlar'!$A:$I,9,FALSE),0)</f>
        <v/>
      </c>
      <c r="G49" s="5">
        <f>ROUND(E49*F49,2)</f>
        <v/>
      </c>
    </row>
    <row r="50" ht="22" customHeight="1">
      <c r="A50" s="3" t="n">
        <v>45</v>
      </c>
      <c r="B50" s="21" t="inlineStr">
        <is>
          <t>35.190.1100 (montaj)</t>
        </is>
      </c>
      <c r="C50" s="18" t="inlineStr">
        <is>
          <t>Kablo tava sistemlerinin montajı — askı ve konsollarla tavana veya duvara tespiti; ek parça, konsol, askı tiji, vida ve somun bedelleri dâhildir, ayrıca ödenmez</t>
        </is>
      </c>
      <c r="D50" s="3" t="inlineStr">
        <is>
          <t>kg</t>
        </is>
      </c>
      <c r="E50" s="22" t="n">
        <v>502</v>
      </c>
      <c r="F50" s="23">
        <f>IFERROR(VLOOKUP($B50,'Fiyatlar'!$A:$I,9,FALSE),0)</f>
        <v/>
      </c>
      <c r="G50" s="5">
        <f>ROUND(E50*F50,2)</f>
        <v/>
      </c>
    </row>
    <row r="51" ht="22" customHeight="1">
      <c r="A51" s="3" t="n">
        <v>46</v>
      </c>
      <c r="B51" s="21" t="inlineStr">
        <is>
          <t>35.190.1101</t>
        </is>
      </c>
      <c r="C51" s="18" t="inlineStr">
        <is>
          <t>Kablo tava sistemleri kapak sacı — 35.190.1100 pozuna uygun özellikte, 1,0 mm sıcak daldırma galvanizli (malzeme) (%25 müteahhit kârı dahil)</t>
        </is>
      </c>
      <c r="D51" s="3" t="inlineStr">
        <is>
          <t>kg</t>
        </is>
      </c>
      <c r="E51" s="22" t="n">
        <v>361.2</v>
      </c>
      <c r="F51" s="23">
        <f>IFERROR(VLOOKUP($B51,'Fiyatlar'!$A:$I,9,FALSE),0)</f>
        <v/>
      </c>
      <c r="G51" s="5">
        <f>ROUND(E51*F51,2)</f>
        <v/>
      </c>
    </row>
    <row r="52" ht="22" customHeight="1">
      <c r="A52" s="3" t="n">
        <v>47</v>
      </c>
      <c r="B52" s="21" t="inlineStr">
        <is>
          <t>35.190.1101 (montaj)</t>
        </is>
      </c>
      <c r="C52" s="18" t="inlineStr">
        <is>
          <t>Kablo tava sistemleri kapak sacının montajı — onaylı projesinde belirtilen kanalların kapatılması; her türlü işçilik ve malzeme dâhil, işler hâlde teslim</t>
        </is>
      </c>
      <c r="D52" s="3" t="inlineStr">
        <is>
          <t>kg</t>
        </is>
      </c>
      <c r="E52" s="22" t="n">
        <v>361.2</v>
      </c>
      <c r="F52" s="23">
        <f>IFERROR(VLOOKUP($B52,'Fiyatlar'!$A:$I,9,FALSE),0)</f>
        <v/>
      </c>
      <c r="G52" s="5">
        <f>ROUND(E52*F52,2)</f>
        <v/>
      </c>
    </row>
    <row r="53" ht="22" customHeight="1">
      <c r="A53" s="3" t="n">
        <v>48</v>
      </c>
      <c r="B53" s="21" t="inlineStr">
        <is>
          <t>35.190.1304</t>
        </is>
      </c>
      <c r="C53" s="18" t="inlineStr">
        <is>
          <t>Sıva üstü PVC kablo kanalı — en az 100 x 35 mm, üç bölmeli (%25 müteahhit kârı dahil)</t>
        </is>
      </c>
      <c r="D53" s="3" t="inlineStr">
        <is>
          <t>m</t>
        </is>
      </c>
      <c r="E53" s="22" t="n">
        <v>123</v>
      </c>
      <c r="F53" s="23">
        <f>IFERROR(VLOOKUP($B53,'Fiyatlar'!$A:$I,9,FALSE),0)</f>
        <v/>
      </c>
      <c r="G53" s="5">
        <f>ROUND(E53*F53,2)</f>
        <v/>
      </c>
    </row>
    <row r="54">
      <c r="A54" s="7" t="n"/>
      <c r="B54" s="7" t="n"/>
      <c r="C54" s="24" t="inlineStr">
        <is>
          <t>ARA TOPLAM (KDV hariç)</t>
        </is>
      </c>
      <c r="D54" s="7" t="n"/>
      <c r="E54" s="7" t="n"/>
      <c r="F54" s="7" t="n"/>
      <c r="G54" s="9">
        <f>SUM(G6:G53)</f>
        <v/>
      </c>
    </row>
    <row r="55">
      <c r="A55" s="4" t="n"/>
      <c r="B55" s="4" t="n"/>
      <c r="C55" s="25" t="inlineStr">
        <is>
          <t>KDV</t>
        </is>
      </c>
      <c r="D55" s="4" t="n"/>
      <c r="E55" s="4" t="n"/>
      <c r="F55" s="4" t="n"/>
      <c r="G55" s="5">
        <f>G54*'Fiyatlar'!$F$3</f>
        <v/>
      </c>
    </row>
    <row r="56">
      <c r="A56" s="11" t="n"/>
      <c r="B56" s="11" t="n"/>
      <c r="C56" s="26" t="inlineStr">
        <is>
          <t>TEKLİF BEDELİ (KDV dâhil)</t>
        </is>
      </c>
      <c r="D56" s="11" t="n"/>
      <c r="E56" s="11" t="n"/>
      <c r="F56" s="11" t="n"/>
      <c r="G56" s="13">
        <f>G54+G55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35.750.3002 (montaj)</t>
        </is>
      </c>
      <c r="C40" s="18" t="inlineStr">
        <is>
          <t>Bina ihata iletkeni tesisatının montajı — temel topraklaması</t>
        </is>
      </c>
      <c r="D40" s="3" t="inlineStr">
        <is>
          <t>m</t>
        </is>
      </c>
      <c r="E40" s="22" t="n">
        <v>186</v>
      </c>
      <c r="F40" s="23">
        <f>IFERROR(VLOOKUP($B40,'Fiyatlar'!$A:$I,9,FALSE),0)</f>
        <v/>
      </c>
      <c r="G40" s="5">
        <f>ROUND(E40*F40,2)</f>
        <v/>
      </c>
    </row>
    <row r="41" ht="14" customHeight="1">
      <c r="A41" s="3" t="n">
        <v>36</v>
      </c>
      <c r="B41" s="21" t="inlineStr">
        <is>
          <t>35.750.1502</t>
        </is>
      </c>
      <c r="C41" s="18" t="inlineStr">
        <is>
          <t>Aktif yakalama ucu, ortalama uyarım yolu DL = 30-40 m (%25 müteahhit kârı dahil)</t>
        </is>
      </c>
      <c r="D41" s="3" t="inlineStr">
        <is>
          <t>ad</t>
        </is>
      </c>
      <c r="E41" s="22" t="n">
        <v>1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35.750.1502 (montaj)</t>
        </is>
      </c>
      <c r="C42" s="18" t="inlineStr">
        <is>
          <t>Aktif yakalama ucunun montajı — direk, taşıyıcı ve bağlantı elemanlarıyla yerine konulması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22" customHeight="1">
      <c r="A43" s="3" t="n">
        <v>38</v>
      </c>
      <c r="B43" s="21" t="inlineStr">
        <is>
          <t>35.750.2001</t>
        </is>
      </c>
      <c r="C43" s="18" t="inlineStr">
        <is>
          <t>Çatı ihata ve indirme iletkeni tesisatı — 50 mm² elektrolitik bakır tel (%25 müteahhit kârı dahil)</t>
        </is>
      </c>
      <c r="D43" s="3" t="inlineStr">
        <is>
          <t>m</t>
        </is>
      </c>
      <c r="E43" s="22" t="n">
        <v>16</v>
      </c>
      <c r="F43" s="23">
        <f>IFERROR(VLOOKUP($B43,'Fiyatlar'!$A:$I,9,FALSE),0)</f>
        <v/>
      </c>
      <c r="G43" s="5">
        <f>ROUND(E43*F43,2)</f>
        <v/>
      </c>
    </row>
    <row r="44" ht="14" customHeight="1">
      <c r="A44" s="3" t="n">
        <v>39</v>
      </c>
      <c r="B44" s="21" t="inlineStr">
        <is>
          <t>35.750.2001 (montaj)</t>
        </is>
      </c>
      <c r="C44" s="18" t="inlineStr">
        <is>
          <t>Çatı ihata ve indirme iletkeni tesisatının montajı</t>
        </is>
      </c>
      <c r="D44" s="3" t="inlineStr">
        <is>
          <t>m</t>
        </is>
      </c>
      <c r="E44" s="22" t="n">
        <v>16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35.740.1106</t>
        </is>
      </c>
      <c r="C45" s="18" t="inlineStr">
        <is>
          <t>Dizel elektrojen grubu (jeneratör) 63 kVA / 50 kW — dizel motoru su veya hava ile soğuyan cinsten, 1500 d/dak (%25 müteahhit kârı dahil)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35.740.1106 (montaj)</t>
        </is>
      </c>
      <c r="C46" s="18" t="inlineStr">
        <is>
          <t>Dizel elektrojen grubunun montajı — yerine konulması, bağlantıları ve işler hâlde teslimi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ROUND(E46*F46,2)</f>
        <v/>
      </c>
    </row>
    <row r="47" ht="14" customHeight="1">
      <c r="A47" s="3" t="n">
        <v>42</v>
      </c>
      <c r="B47" s="21" t="inlineStr">
        <is>
          <t>35.740.5406</t>
        </is>
      </c>
      <c r="C47" s="18" t="inlineStr">
        <is>
          <t>Jeneratör ses izolasyon kabini — 63 kVA (%25 müteahhit kârı dahil)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ROUND(E47*F47,2)</f>
        <v/>
      </c>
    </row>
    <row r="48" ht="14" customHeight="1">
      <c r="A48" s="3" t="n">
        <v>43</v>
      </c>
      <c r="B48" s="21" t="inlineStr">
        <is>
          <t>35.740.5406 (montaj)</t>
        </is>
      </c>
      <c r="C48" s="18" t="inlineStr">
        <is>
          <t>Jeneratör ses izolasyon kabininin montajı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ROUND(E48*F48,2)</f>
        <v/>
      </c>
    </row>
    <row r="49" ht="22" customHeight="1">
      <c r="A49" s="3" t="n">
        <v>44</v>
      </c>
      <c r="B49" s="21" t="inlineStr">
        <is>
          <t>35.190.1100</t>
        </is>
      </c>
      <c r="C49" s="18" t="inlineStr">
        <is>
          <t>Kablo tava sistemleri — 200x60x1,0 mm sıcak daldırma galvanizli perfore kablo tavası (malzeme) (%25 müteahhit kârı dahil)</t>
        </is>
      </c>
      <c r="D49" s="3" t="inlineStr">
        <is>
          <t>kg</t>
        </is>
      </c>
      <c r="E49" s="22" t="n">
        <v>502</v>
      </c>
      <c r="F49" s="23">
        <f>IFERROR(VLOOKUP($B49,'Fiyatlar'!$A:$I,9,FALSE),0)</f>
        <v/>
      </c>
      <c r="G49" s="5">
        <f>ROUND(E49*F49,2)</f>
        <v/>
      </c>
    </row>
    <row r="50" ht="22" customHeight="1">
      <c r="A50" s="3" t="n">
        <v>45</v>
      </c>
      <c r="B50" s="21" t="inlineStr">
        <is>
          <t>35.190.1100 (montaj)</t>
        </is>
      </c>
      <c r="C50" s="18" t="inlineStr">
        <is>
          <t>Kablo tava sistemlerinin montajı — askı ve konsollarla tavana veya duvara tespiti; ek parça, konsol, askı tiji, vida ve somun bedelleri dâhildir, ayrıca ödenmez</t>
        </is>
      </c>
      <c r="D50" s="3" t="inlineStr">
        <is>
          <t>kg</t>
        </is>
      </c>
      <c r="E50" s="22" t="n">
        <v>502</v>
      </c>
      <c r="F50" s="23">
        <f>IFERROR(VLOOKUP($B50,'Fiyatlar'!$A:$I,9,FALSE),0)</f>
        <v/>
      </c>
      <c r="G50" s="5">
        <f>ROUND(E50*F50,2)</f>
        <v/>
      </c>
    </row>
    <row r="51" ht="22" customHeight="1">
      <c r="A51" s="3" t="n">
        <v>46</v>
      </c>
      <c r="B51" s="21" t="inlineStr">
        <is>
          <t>35.190.1101</t>
        </is>
      </c>
      <c r="C51" s="18" t="inlineStr">
        <is>
          <t>Kablo tava sistemleri kapak sacı — 35.190.1100 pozuna uygun özellikte, 1,0 mm sıcak daldırma galvanizli (malzeme) (%25 müteahhit kârı dahil)</t>
        </is>
      </c>
      <c r="D51" s="3" t="inlineStr">
        <is>
          <t>kg</t>
        </is>
      </c>
      <c r="E51" s="22" t="n">
        <v>361.2</v>
      </c>
      <c r="F51" s="23">
        <f>IFERROR(VLOOKUP($B51,'Fiyatlar'!$A:$I,9,FALSE),0)</f>
        <v/>
      </c>
      <c r="G51" s="5">
        <f>ROUND(E51*F51,2)</f>
        <v/>
      </c>
    </row>
    <row r="52" ht="22" customHeight="1">
      <c r="A52" s="3" t="n">
        <v>47</v>
      </c>
      <c r="B52" s="21" t="inlineStr">
        <is>
          <t>35.190.1101 (montaj)</t>
        </is>
      </c>
      <c r="C52" s="18" t="inlineStr">
        <is>
          <t>Kablo tava sistemleri kapak sacının montajı — onaylı projesinde belirtilen kanalların kapatılması; her türlü işçilik ve malzeme dâhil, işler hâlde teslim</t>
        </is>
      </c>
      <c r="D52" s="3" t="inlineStr">
        <is>
          <t>kg</t>
        </is>
      </c>
      <c r="E52" s="22" t="n">
        <v>361.2</v>
      </c>
      <c r="F52" s="23">
        <f>IFERROR(VLOOKUP($B52,'Fiyatlar'!$A:$I,9,FALSE),0)</f>
        <v/>
      </c>
      <c r="G52" s="5">
        <f>ROUND(E52*F52,2)</f>
        <v/>
      </c>
    </row>
    <row r="53" ht="22" customHeight="1">
      <c r="A53" s="3" t="n">
        <v>48</v>
      </c>
      <c r="B53" s="21" t="inlineStr">
        <is>
          <t>35.190.1304</t>
        </is>
      </c>
      <c r="C53" s="18" t="inlineStr">
        <is>
          <t>Sıva üstü PVC kablo kanalı — en az 100 x 35 mm, üç bölmeli (%25 müteahhit kârı dahil)</t>
        </is>
      </c>
      <c r="D53" s="3" t="inlineStr">
        <is>
          <t>m</t>
        </is>
      </c>
      <c r="E53" s="22" t="n">
        <v>123</v>
      </c>
      <c r="F53" s="23">
        <f>IFERROR(VLOOKUP($B53,'Fiyatlar'!$A:$I,9,FALSE),0)</f>
        <v/>
      </c>
      <c r="G53" s="5">
        <f>ROUND(E53*F53,2)</f>
        <v/>
      </c>
    </row>
    <row r="54">
      <c r="A54" s="7" t="n"/>
      <c r="B54" s="7" t="n"/>
      <c r="C54" s="24" t="inlineStr">
        <is>
          <t>ARA TOPLAM (KDV hariç)</t>
        </is>
      </c>
      <c r="D54" s="7" t="n"/>
      <c r="E54" s="7" t="n"/>
      <c r="F54" s="7" t="n"/>
      <c r="G54" s="9">
        <f>SUM(G6:G53)</f>
        <v/>
      </c>
    </row>
    <row r="55">
      <c r="A55" s="4" t="n"/>
      <c r="B55" s="4" t="n"/>
      <c r="C55" s="25" t="inlineStr">
        <is>
          <t>KDV</t>
        </is>
      </c>
      <c r="D55" s="4" t="n"/>
      <c r="E55" s="4" t="n"/>
      <c r="F55" s="4" t="n"/>
      <c r="G55" s="5">
        <f>G54*'Fiyatlar'!$F$3</f>
        <v/>
      </c>
    </row>
    <row r="56">
      <c r="A56" s="11" t="n"/>
      <c r="B56" s="11" t="n"/>
      <c r="C56" s="26" t="inlineStr">
        <is>
          <t>TEKLİF BEDELİ (KDV dâhil)</t>
        </is>
      </c>
      <c r="D56" s="11" t="n"/>
      <c r="E56" s="11" t="n"/>
      <c r="F56" s="11" t="n"/>
      <c r="G56" s="13">
        <f>G54+G55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2026-08-29T21:04:08Z</dcterms:created>
  <dcterms:modified xmlns:dcterms="http://purl.org/dc/terms/" xmlns:xsi="http://www.w3.org/2001/XMLSchema-instance" xsi:type="dcterms:W3CDTF">2026-08-29T21:04:08Z</dcterms:modified>
</cp:coreProperties>
</file>