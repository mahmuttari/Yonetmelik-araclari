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cmal" sheetId="1" state="visible" r:id="rId1"/>
    <sheet xmlns:r="http://schemas.openxmlformats.org/officeDocument/2006/relationships" name="Fiyatlar" sheetId="2" state="visible" r:id="rId2"/>
    <sheet xmlns:r="http://schemas.openxmlformats.org/officeDocument/2006/relationships" name="01 Kümes A Blok" sheetId="3" state="visible" r:id="rId3"/>
    <sheet xmlns:r="http://schemas.openxmlformats.org/officeDocument/2006/relationships" name="02 Kümes B Bl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00000"/>
      <sz val="12"/>
    </font>
    <font>
      <i val="1"/>
      <color rgb="00555555"/>
      <sz val="8"/>
    </font>
    <font>
      <b val="1"/>
      <color rgb="00000000"/>
      <sz val="10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  <xf numFmtId="0" fontId="4" fillId="2" borderId="1" pivotButton="0" quotePrefix="0" xfId="0"/>
    <xf numFmtId="4" fontId="4" fillId="2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2" fillId="0" borderId="0" pivotButton="0" quotePrefix="0" xfId="0"/>
    <xf numFmtId="0" fontId="4" fillId="0" borderId="0" pivotButton="0" quotePrefix="0" xfId="0"/>
    <xf numFmtId="9" fontId="4" fillId="3" borderId="1" pivotButton="0" quotePrefix="0" xfId="0"/>
    <xf numFmtId="49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4" fontId="0" fillId="2" borderId="1" pivotButton="0" quotePrefix="0" xfId="0"/>
    <xf numFmtId="0" fontId="4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4" customWidth="1" min="3" max="3"/>
    <col width="10" customWidth="1" min="4" max="4"/>
  </cols>
  <sheetData>
    <row r="1">
      <c r="A1" s="1" t="inlineStr">
        <is>
          <t>TEKLİF İCMALİ — MAFREN</t>
        </is>
      </c>
    </row>
    <row r="3" ht="30" customHeight="1">
      <c r="A3" s="2" t="inlineStr">
        <is>
          <t>Sekme</t>
        </is>
      </c>
      <c r="B3" s="2" t="inlineStr">
        <is>
          <t>Yapı</t>
        </is>
      </c>
      <c r="C3" s="2" t="inlineStr">
        <is>
          <t>Tutar (TL) — KDV hariç</t>
        </is>
      </c>
      <c r="D3" s="2" t="inlineStr">
        <is>
          <t>Pay</t>
        </is>
      </c>
    </row>
    <row r="4">
      <c r="A4" s="3" t="inlineStr">
        <is>
          <t>01</t>
        </is>
      </c>
      <c r="B4" s="4" t="inlineStr">
        <is>
          <t>Kümes A Blok</t>
        </is>
      </c>
      <c r="C4" s="5">
        <f>'01 Kümes A Blok'!$G$48</f>
        <v/>
      </c>
      <c r="D4" s="6">
        <f>C4/$C$6</f>
        <v/>
      </c>
    </row>
    <row r="5">
      <c r="A5" s="3" t="inlineStr">
        <is>
          <t>02</t>
        </is>
      </c>
      <c r="B5" s="4" t="inlineStr">
        <is>
          <t>Kümes B Blok</t>
        </is>
      </c>
      <c r="C5" s="5">
        <f>'02 Kümes B Blok'!$G$48</f>
        <v/>
      </c>
      <c r="D5" s="6">
        <f>C5/$C$6</f>
        <v/>
      </c>
    </row>
    <row r="6">
      <c r="A6" s="7" t="n"/>
      <c r="B6" s="8" t="inlineStr">
        <is>
          <t>ARA TOPLAM (KDV hariç)</t>
        </is>
      </c>
      <c r="C6" s="9">
        <f>SUM(C4:C5)</f>
        <v/>
      </c>
      <c r="D6" s="7" t="n"/>
    </row>
    <row r="7">
      <c r="A7" s="4" t="n"/>
      <c r="B7" s="10" t="inlineStr">
        <is>
          <t>KDV</t>
        </is>
      </c>
      <c r="C7" s="5">
        <f>C6*'Fiyatlar'!$F$3</f>
        <v/>
      </c>
      <c r="D7" s="4" t="n"/>
    </row>
    <row r="8">
      <c r="A8" s="11" t="n"/>
      <c r="B8" s="12" t="inlineStr">
        <is>
          <t>GENEL TOPLAM (KDV dâhil)</t>
        </is>
      </c>
      <c r="C8" s="13">
        <f>C6+C7</f>
        <v/>
      </c>
      <c r="D8" s="11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DCDC"/>
    <outlinePr summaryBelow="1" summaryRight="1"/>
    <pageSetUpPr/>
  </sheetPr>
  <dimension ref="A1:I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8" customWidth="1" min="3" max="3"/>
    <col width="15" customWidth="1" min="4" max="4"/>
    <col width="17" customWidth="1" min="5" max="5"/>
    <col width="9" customWidth="1" min="6" max="6"/>
    <col width="15" customWidth="1" min="7" max="7"/>
    <col width="15" customWidth="1" min="8" max="8"/>
    <col width="19" customWidth="1" min="9" max="9"/>
  </cols>
  <sheetData>
    <row r="1">
      <c r="A1" s="1" t="inlineStr">
        <is>
          <t>TEKLİF BİRİM FİYATLARI</t>
        </is>
      </c>
    </row>
    <row r="2">
      <c r="A2" s="14" t="inlineStr">
        <is>
          <t>Fiyat soldan sağa türer: kitap fiyatı -&gt; %16 tenzilat -&gt; tenzilatlı fiyat; teklif fiyatı TKDK birim fiyatının %85'ini aşamaz. Sarı hücreler değiştirilebilir; teklif fiyatındaki her değişiklik bütün yapı sekmelerine ve icmale aynı anda yansır. Fiyatlar KDV hariçtir.</t>
        </is>
      </c>
    </row>
    <row r="3">
      <c r="A3" s="15" t="inlineStr">
        <is>
          <t>Tenzilat oranı</t>
        </is>
      </c>
      <c r="B3" s="16" t="n">
        <v>0.16</v>
      </c>
      <c r="C3" s="15" t="inlineStr">
        <is>
          <t>TKDK tavan oranı</t>
        </is>
      </c>
      <c r="D3" s="16" t="n">
        <v>0.85</v>
      </c>
      <c r="E3" s="15" t="inlineStr">
        <is>
          <t>KDV oranı</t>
        </is>
      </c>
      <c r="F3" s="16" t="n">
        <v>0.2</v>
      </c>
    </row>
    <row r="5" ht="30" customHeight="1">
      <c r="A5" s="2" t="inlineStr">
        <is>
          <t>Poz no</t>
        </is>
      </c>
      <c r="B5" s="2" t="inlineStr">
        <is>
          <t>Tanım</t>
        </is>
      </c>
      <c r="C5" s="2" t="inlineStr">
        <is>
          <t>Birim</t>
        </is>
      </c>
      <c r="D5" s="2" t="inlineStr">
        <is>
          <t>Kitap birim fiyatı (TL)</t>
        </is>
      </c>
      <c r="E5" s="2" t="inlineStr">
        <is>
          <t>Fiyatın kitabı</t>
        </is>
      </c>
      <c r="F5" s="2" t="inlineStr">
        <is>
          <t>Tenzilat</t>
        </is>
      </c>
      <c r="G5" s="2" t="inlineStr">
        <is>
          <t>Tenzilatlı fiyat (TL)</t>
        </is>
      </c>
      <c r="H5" s="2" t="inlineStr">
        <is>
          <t>TKDK tavanı %85 (TL)</t>
        </is>
      </c>
      <c r="I5" s="2" t="inlineStr">
        <is>
          <t>TEKLİF BİRİM FİYATI (TL) — DEĞİŞTİRİLEBİLİR</t>
        </is>
      </c>
    </row>
    <row r="6" ht="14" customHeight="1">
      <c r="A6" s="17" t="inlineStr">
        <is>
          <t>15.120.1001</t>
        </is>
      </c>
      <c r="B6" s="18" t="inlineStr">
        <is>
          <t>Makine ile kazı yapılması — kümes A ve B blok</t>
        </is>
      </c>
      <c r="C6" s="3" t="inlineStr">
        <is>
          <t>m³</t>
        </is>
      </c>
      <c r="D6" s="5" t="n">
        <v>62.35</v>
      </c>
      <c r="E6" s="19" t="inlineStr">
        <is>
          <t>ÇŞB 2026 birim fiyat kitabı</t>
        </is>
      </c>
      <c r="F6" s="20">
        <f>$B$3</f>
        <v/>
      </c>
      <c r="G6" s="5">
        <f>D6*(1-F6)</f>
        <v/>
      </c>
      <c r="H6" s="5">
        <f>D6*$D$3</f>
        <v/>
      </c>
      <c r="I6" s="13" t="n">
        <v>52.37</v>
      </c>
    </row>
    <row r="7" ht="14" customHeight="1">
      <c r="A7" s="17" t="inlineStr">
        <is>
          <t>15.150.1003</t>
        </is>
      </c>
      <c r="B7" s="18" t="inlineStr">
        <is>
          <t>C 16/20 hazır beton dökülmesi — kümes temel altı grobeton</t>
        </is>
      </c>
      <c r="C7" s="3" t="inlineStr">
        <is>
          <t>m³</t>
        </is>
      </c>
      <c r="D7" s="5" t="n">
        <v>3274.35</v>
      </c>
      <c r="E7" s="19" t="inlineStr">
        <is>
          <t>ÇŞB 2026 birim fiyat kitabı</t>
        </is>
      </c>
      <c r="F7" s="20">
        <f>$B$3</f>
        <v/>
      </c>
      <c r="G7" s="5">
        <f>D7*(1-F7)</f>
        <v/>
      </c>
      <c r="H7" s="5">
        <f>D7*$D$3</f>
        <v/>
      </c>
      <c r="I7" s="13" t="n">
        <v>2750.45</v>
      </c>
    </row>
    <row r="8" ht="22" customHeight="1">
      <c r="A8" s="17" t="inlineStr">
        <is>
          <t>15.150.1005</t>
        </is>
      </c>
      <c r="B8" s="18" t="inlineStr">
        <is>
          <t>C 25/30 hazır beton dökülmesi — kümes şerit temel ve bağ kirişleri</t>
        </is>
      </c>
      <c r="C8" s="3" t="inlineStr">
        <is>
          <t>m³</t>
        </is>
      </c>
      <c r="D8" s="5" t="n">
        <v>3524.35</v>
      </c>
      <c r="E8" s="19" t="inlineStr">
        <is>
          <t>ÇŞB 2026 birim fiyat kitabı</t>
        </is>
      </c>
      <c r="F8" s="20">
        <f>$B$3</f>
        <v/>
      </c>
      <c r="G8" s="5">
        <f>D8*(1-F8)</f>
        <v/>
      </c>
      <c r="H8" s="5">
        <f>D8*$D$3</f>
        <v/>
      </c>
      <c r="I8" s="13" t="n">
        <v>2960.45</v>
      </c>
    </row>
    <row r="9" ht="14" customHeight="1">
      <c r="A9" s="17" t="inlineStr">
        <is>
          <t>15.160.1002</t>
        </is>
      </c>
      <c r="B9" s="18" t="inlineStr">
        <is>
          <t>Nervürlü çelik hasırın yerine konulması — kümes döşemeleri</t>
        </is>
      </c>
      <c r="C9" s="3" t="inlineStr">
        <is>
          <t>ton</t>
        </is>
      </c>
      <c r="D9" s="5" t="n">
        <v>43987.5</v>
      </c>
      <c r="E9" s="19" t="inlineStr">
        <is>
          <t>ÇŞB 2026 birim fiyat kitabı</t>
        </is>
      </c>
      <c r="F9" s="20">
        <f>$B$3</f>
        <v/>
      </c>
      <c r="G9" s="5">
        <f>D9*(1-F9)</f>
        <v/>
      </c>
      <c r="H9" s="5">
        <f>D9*$D$3</f>
        <v/>
      </c>
      <c r="I9" s="13" t="n">
        <v>36949.5</v>
      </c>
    </row>
    <row r="10" ht="14" customHeight="1">
      <c r="A10" s="17" t="inlineStr">
        <is>
          <t>15.160.1003</t>
        </is>
      </c>
      <c r="B10" s="18" t="inlineStr">
        <is>
          <t>Ø8-Ø12 nervürlü beton çelik çubuğu — kümes temelleri</t>
        </is>
      </c>
      <c r="C10" s="3" t="inlineStr">
        <is>
          <t>ton</t>
        </is>
      </c>
      <c r="D10" s="5" t="n">
        <v>46482.43</v>
      </c>
      <c r="E10" s="19" t="inlineStr">
        <is>
          <t>ÇŞB 2026 birim fiyat kitabı</t>
        </is>
      </c>
      <c r="F10" s="20">
        <f>$B$3</f>
        <v/>
      </c>
      <c r="G10" s="5">
        <f>D10*(1-F10)</f>
        <v/>
      </c>
      <c r="H10" s="5">
        <f>D10*$D$3</f>
        <v/>
      </c>
      <c r="I10" s="13" t="n">
        <v>39045.24</v>
      </c>
    </row>
    <row r="11" ht="14" customHeight="1">
      <c r="A11" s="17" t="inlineStr">
        <is>
          <t>15.160.1004</t>
        </is>
      </c>
      <c r="B11" s="18" t="inlineStr">
        <is>
          <t>Ø14-Ø28 nervürlü beton çelik çubuğu — kümes temelleri</t>
        </is>
      </c>
      <c r="C11" s="3" t="inlineStr">
        <is>
          <t>ton</t>
        </is>
      </c>
      <c r="D11" s="5" t="n">
        <v>44681.18</v>
      </c>
      <c r="E11" s="19" t="inlineStr">
        <is>
          <t>ÇŞB 2026 birim fiyat kitabı</t>
        </is>
      </c>
      <c r="F11" s="20">
        <f>$B$3</f>
        <v/>
      </c>
      <c r="G11" s="5">
        <f>D11*(1-F11)</f>
        <v/>
      </c>
      <c r="H11" s="5">
        <f>D11*$D$3</f>
        <v/>
      </c>
      <c r="I11" s="13" t="n">
        <v>37532.19</v>
      </c>
    </row>
    <row r="12" ht="22" customHeight="1">
      <c r="A12" s="17" t="inlineStr">
        <is>
          <t>15.165.1003</t>
        </is>
      </c>
      <c r="B12" s="18" t="inlineStr">
        <is>
          <t>Her çeşit profil, çelik çubuk ve saclarla karkas (çerçeve) inşaat yapılması, yerine tespiti — kümes çelik taşıyıcı sistemi</t>
        </is>
      </c>
      <c r="C12" s="3" t="inlineStr">
        <is>
          <t>ton</t>
        </is>
      </c>
      <c r="D12" s="5" t="n">
        <v>85943.50999999999</v>
      </c>
      <c r="E12" s="19" t="inlineStr">
        <is>
          <t>ÇŞB 2026 birim fiyat kitabı</t>
        </is>
      </c>
      <c r="F12" s="20">
        <f>$B$3</f>
        <v/>
      </c>
      <c r="G12" s="5">
        <f>D12*(1-F12)</f>
        <v/>
      </c>
      <c r="H12" s="5">
        <f>D12*$D$3</f>
        <v/>
      </c>
      <c r="I12" s="13" t="n">
        <v>72192.55</v>
      </c>
    </row>
    <row r="13" ht="14" customHeight="1">
      <c r="A13" s="17" t="inlineStr">
        <is>
          <t>15.180.1003</t>
        </is>
      </c>
      <c r="B13" s="18" t="inlineStr">
        <is>
          <t>Plywood ile düz yüzeyli betonarme kalıbı — kümes temelleri</t>
        </is>
      </c>
      <c r="C13" s="3" t="inlineStr">
        <is>
          <t>m²</t>
        </is>
      </c>
      <c r="D13" s="5" t="n">
        <v>1028.33</v>
      </c>
      <c r="E13" s="19" t="inlineStr">
        <is>
          <t>ÇŞB 2026 birim fiyat kitabı</t>
        </is>
      </c>
      <c r="F13" s="20">
        <f>$B$3</f>
        <v/>
      </c>
      <c r="G13" s="5">
        <f>D13*(1-F13)</f>
        <v/>
      </c>
      <c r="H13" s="5">
        <f>D13*$D$3</f>
        <v/>
      </c>
      <c r="I13" s="13" t="n">
        <v>863.8</v>
      </c>
    </row>
    <row r="14" ht="22" customHeight="1">
      <c r="A14" s="17" t="inlineStr">
        <is>
          <t>15.225.1004</t>
        </is>
      </c>
      <c r="B14" s="18" t="inlineStr">
        <is>
          <t>10 cm kalınlığındaki teçhizatsız gazbeton duvar blokları ile bölme duvar yapılması — servis bölümü</t>
        </is>
      </c>
      <c r="C14" s="3" t="inlineStr">
        <is>
          <t>m²</t>
        </is>
      </c>
      <c r="D14" s="5" t="n">
        <v>723.73</v>
      </c>
      <c r="E14" s="19" t="inlineStr">
        <is>
          <t>ÇŞB 2026 birim fiyat kitabı</t>
        </is>
      </c>
      <c r="F14" s="20">
        <f>$B$3</f>
        <v/>
      </c>
      <c r="G14" s="5">
        <f>D14*(1-F14)</f>
        <v/>
      </c>
      <c r="H14" s="5">
        <f>D14*$D$3</f>
        <v/>
      </c>
      <c r="I14" s="13" t="n">
        <v>607.9299999999999</v>
      </c>
    </row>
    <row r="15" ht="22" customHeight="1">
      <c r="A15" s="17" t="inlineStr">
        <is>
          <t>15.225.1010</t>
        </is>
      </c>
      <c r="B15" s="18" t="inlineStr">
        <is>
          <t>20 cm kalınlığındaki teçhizatsız gazbeton duvar blokları ile duvar yapılması (gazbeton tutkalı ile) — cephe duvarı</t>
        </is>
      </c>
      <c r="C15" s="3" t="inlineStr">
        <is>
          <t>m²</t>
        </is>
      </c>
      <c r="D15" s="5" t="n">
        <v>1106.28</v>
      </c>
      <c r="E15" s="19" t="inlineStr">
        <is>
          <t>ÇŞB 2026 birim fiyat kitabı</t>
        </is>
      </c>
      <c r="F15" s="20">
        <f>$B$3</f>
        <v/>
      </c>
      <c r="G15" s="5">
        <f>D15*(1-F15)</f>
        <v/>
      </c>
      <c r="H15" s="5">
        <f>D15*$D$3</f>
        <v/>
      </c>
      <c r="I15" s="13" t="n">
        <v>929.28</v>
      </c>
    </row>
    <row r="16" ht="22" customHeight="1">
      <c r="A16" s="17" t="inlineStr">
        <is>
          <t>15.225.1410</t>
        </is>
      </c>
      <c r="B16" s="18" t="inlineStr">
        <is>
          <t>20 cm kalınlığındaki teçhizatlı gazbeton lento temini ve yerine konulması — boşluk üstü lento ve yatay hatıl</t>
        </is>
      </c>
      <c r="C16" s="3" t="inlineStr">
        <is>
          <t>m²</t>
        </is>
      </c>
      <c r="D16" s="5" t="n">
        <v>2116.1</v>
      </c>
      <c r="E16" s="19" t="inlineStr">
        <is>
          <t>ÇŞB 2026 birim fiyat kitabı</t>
        </is>
      </c>
      <c r="F16" s="20">
        <f>$B$3</f>
        <v/>
      </c>
      <c r="G16" s="5">
        <f>D16*(1-F16)</f>
        <v/>
      </c>
      <c r="H16" s="5">
        <f>D16*$D$3</f>
        <v/>
      </c>
      <c r="I16" s="13" t="n">
        <v>1777.52</v>
      </c>
    </row>
    <row r="17" ht="22" customHeight="1">
      <c r="A17" s="17" t="inlineStr">
        <is>
          <t>15.275.1116</t>
        </is>
      </c>
      <c r="B17" s="18" t="inlineStr">
        <is>
          <t>250 kg çimento dozlu harç ile kaba sıva yapılması — cephe duvarı dış yüzü</t>
        </is>
      </c>
      <c r="C17" s="3" t="inlineStr">
        <is>
          <t>m²</t>
        </is>
      </c>
      <c r="D17" s="5" t="n">
        <v>443.51</v>
      </c>
      <c r="E17" s="19" t="inlineStr">
        <is>
          <t>ÇŞB 2026 birim fiyat kitabı</t>
        </is>
      </c>
      <c r="F17" s="20">
        <f>$B$3</f>
        <v/>
      </c>
      <c r="G17" s="5">
        <f>D17*(1-F17)</f>
        <v/>
      </c>
      <c r="H17" s="5">
        <f>D17*$D$3</f>
        <v/>
      </c>
      <c r="I17" s="13" t="n">
        <v>372.55</v>
      </c>
    </row>
    <row r="18" ht="22" customHeight="1">
      <c r="A18" s="17" t="inlineStr">
        <is>
          <t>15.275.1117</t>
        </is>
      </c>
      <c r="B18" s="18" t="inlineStr">
        <is>
          <t>200 kg çimento ve kireç karışımı harç ile kaba sıva yapılması (iç cephe) — cephe duvarı iç yüzü</t>
        </is>
      </c>
      <c r="C18" s="3" t="inlineStr">
        <is>
          <t>m²</t>
        </is>
      </c>
      <c r="D18" s="5" t="n">
        <v>454.16</v>
      </c>
      <c r="E18" s="19" t="inlineStr">
        <is>
          <t>ÇŞB 2026 birim fiyat kitabı</t>
        </is>
      </c>
      <c r="F18" s="20">
        <f>$B$3</f>
        <v/>
      </c>
      <c r="G18" s="5">
        <f>D18*(1-F18)</f>
        <v/>
      </c>
      <c r="H18" s="5">
        <f>D18*$D$3</f>
        <v/>
      </c>
      <c r="I18" s="13" t="n">
        <v>381.49</v>
      </c>
    </row>
    <row r="19" ht="14" customHeight="1">
      <c r="A19" s="17" t="inlineStr">
        <is>
          <t>15.315.1001</t>
        </is>
      </c>
      <c r="B19" s="18" t="inlineStr">
        <is>
          <t>Ø70 sert PVC yağmur suyu iniş borusu temini ve yerine tesbiti</t>
        </is>
      </c>
      <c r="C19" s="3" t="inlineStr">
        <is>
          <t>m</t>
        </is>
      </c>
      <c r="D19" s="5" t="n">
        <v>207.41</v>
      </c>
      <c r="E19" s="19" t="inlineStr">
        <is>
          <t>ÇŞB 2026 birim fiyat kitabı</t>
        </is>
      </c>
      <c r="F19" s="20">
        <f>$B$3</f>
        <v/>
      </c>
      <c r="G19" s="5">
        <f>D19*(1-F19)</f>
        <v/>
      </c>
      <c r="H19" s="5">
        <f>D19*$D$3</f>
        <v/>
      </c>
      <c r="I19" s="13" t="n">
        <v>174.22</v>
      </c>
    </row>
    <row r="20" ht="22" customHeight="1">
      <c r="A20" s="17" t="inlineStr">
        <is>
          <t>15.540.1537</t>
        </is>
      </c>
      <c r="B20" s="18" t="inlineStr">
        <is>
          <t>Yeni sıva yüzeylere astar uygulanarak iki kat su bazlı plastik antibakteriyel iç cephe boyası</t>
        </is>
      </c>
      <c r="C20" s="3" t="inlineStr">
        <is>
          <t>m²</t>
        </is>
      </c>
      <c r="D20" s="5" t="n">
        <v>296.13</v>
      </c>
      <c r="E20" s="19" t="inlineStr">
        <is>
          <t>ÇŞB 2026 birim fiyat kitabı</t>
        </is>
      </c>
      <c r="F20" s="20">
        <f>$B$3</f>
        <v/>
      </c>
      <c r="G20" s="5">
        <f>D20*(1-F20)</f>
        <v/>
      </c>
      <c r="H20" s="5">
        <f>D20*$D$3</f>
        <v/>
      </c>
      <c r="I20" s="13" t="n">
        <v>248.75</v>
      </c>
    </row>
    <row r="21" ht="22" customHeight="1">
      <c r="A21" s="17" t="inlineStr">
        <is>
          <t>15.540.1606</t>
        </is>
      </c>
      <c r="B21" s="18" t="inlineStr">
        <is>
          <t>Brüt beton, sıvalı veya eski boyalı yüzeylere astar uygulanarak silikon esaslı su bazlı dış cephe boyası</t>
        </is>
      </c>
      <c r="C21" s="3" t="inlineStr">
        <is>
          <t>m²</t>
        </is>
      </c>
      <c r="D21" s="5" t="n">
        <v>386.03</v>
      </c>
      <c r="E21" s="19" t="inlineStr">
        <is>
          <t>ÇŞB 2026 birim fiyat kitabı</t>
        </is>
      </c>
      <c r="F21" s="20">
        <f>$B$3</f>
        <v/>
      </c>
      <c r="G21" s="5">
        <f>D21*(1-F21)</f>
        <v/>
      </c>
      <c r="H21" s="5">
        <f>D21*$D$3</f>
        <v/>
      </c>
      <c r="I21" s="13" t="n">
        <v>324.27</v>
      </c>
    </row>
    <row r="22" ht="22" customHeight="1">
      <c r="A22" s="17" t="inlineStr">
        <is>
          <t>15.550.1002</t>
        </is>
      </c>
      <c r="B22" s="18" t="inlineStr">
        <is>
          <t>1,50 mm sacdan bükme kapı kasası yapılması ve yerine konulması — servis bölümü iç kapıları</t>
        </is>
      </c>
      <c r="C22" s="3" t="inlineStr">
        <is>
          <t>kg</t>
        </is>
      </c>
      <c r="D22" s="5" t="n">
        <v>218.54</v>
      </c>
      <c r="E22" s="19" t="inlineStr">
        <is>
          <t>ÇŞB 2026 birim fiyat kitabı</t>
        </is>
      </c>
      <c r="F22" s="20">
        <f>$B$3</f>
        <v/>
      </c>
      <c r="G22" s="5">
        <f>D22*(1-F22)</f>
        <v/>
      </c>
      <c r="H22" s="5">
        <f>D22*$D$3</f>
        <v/>
      </c>
      <c r="I22" s="13" t="n">
        <v>183.57</v>
      </c>
    </row>
    <row r="23" ht="22" customHeight="1">
      <c r="A23" s="17" t="inlineStr">
        <is>
          <t>15.550.1202</t>
        </is>
      </c>
      <c r="B23" s="18" t="inlineStr">
        <is>
          <t>Lama ve profil demirlerden mahya, saçak ve köşe kapama profilleri</t>
        </is>
      </c>
      <c r="C23" s="3" t="inlineStr">
        <is>
          <t>kg</t>
        </is>
      </c>
      <c r="D23" s="5" t="n">
        <v>175.8</v>
      </c>
      <c r="E23" s="19" t="inlineStr">
        <is>
          <t>ÇŞB 2026 birim fiyat kitabı</t>
        </is>
      </c>
      <c r="F23" s="20">
        <f>$B$3</f>
        <v/>
      </c>
      <c r="G23" s="5">
        <f>D23*(1-F23)</f>
        <v/>
      </c>
      <c r="H23" s="5">
        <f>D23*$D$3</f>
        <v/>
      </c>
      <c r="I23" s="13" t="n">
        <v>147.67</v>
      </c>
    </row>
    <row r="24" ht="22" customHeight="1">
      <c r="A24" s="17" t="inlineStr">
        <is>
          <t>30.100.2105</t>
        </is>
      </c>
      <c r="B24" s="18" t="inlineStr">
        <is>
          <t>Kümes dağıtım panosu (sıva üstü galvanizli sac tablo, 0,40-0,50 m²)</t>
        </is>
      </c>
      <c r="C24" s="3" t="inlineStr">
        <is>
          <t>ad</t>
        </is>
      </c>
      <c r="D24" s="5" t="n">
        <v>8433.52</v>
      </c>
      <c r="E24" s="19" t="inlineStr">
        <is>
          <t>ÇŞB 2026 Haziran elektrik rayici x 1,25</t>
        </is>
      </c>
      <c r="F24" s="20">
        <f>$B$3</f>
        <v/>
      </c>
      <c r="G24" s="5">
        <f>D24*(1-F24)</f>
        <v/>
      </c>
      <c r="H24" s="5">
        <f>D24*$D$3</f>
        <v/>
      </c>
      <c r="I24" s="13" t="n">
        <v>7084.16</v>
      </c>
    </row>
    <row r="25" ht="22" customHeight="1">
      <c r="A25" s="17" t="inlineStr">
        <is>
          <t>30.110.1102</t>
        </is>
      </c>
      <c r="B25" s="18" t="inlineStr">
        <is>
          <t>Termik-manyetik kompakt şalter 3x100 A, Icu 35 kA — kümes besleme</t>
        </is>
      </c>
      <c r="C25" s="3" t="inlineStr">
        <is>
          <t>ad</t>
        </is>
      </c>
      <c r="D25" s="5" t="n">
        <v>4200.06</v>
      </c>
      <c r="E25" s="19" t="inlineStr">
        <is>
          <t>ÇŞB 2026 Haziran elektrik rayici x 1,25</t>
        </is>
      </c>
      <c r="F25" s="20">
        <f>$B$3</f>
        <v/>
      </c>
      <c r="G25" s="5">
        <f>D25*(1-F25)</f>
        <v/>
      </c>
      <c r="H25" s="5">
        <f>D25*$D$3</f>
        <v/>
      </c>
      <c r="I25" s="13" t="n">
        <v>3528.05</v>
      </c>
    </row>
    <row r="26" ht="14" customHeight="1">
      <c r="A26" s="17" t="inlineStr">
        <is>
          <t>30.115.1003</t>
        </is>
      </c>
      <c r="B26" s="18" t="inlineStr">
        <is>
          <t>Kaçak akım koruma şalteri 2x63 A, 30 mA</t>
        </is>
      </c>
      <c r="C26" s="3" t="inlineStr">
        <is>
          <t>ad</t>
        </is>
      </c>
      <c r="D26" s="5" t="n">
        <v>1284.76</v>
      </c>
      <c r="E26" s="19" t="inlineStr">
        <is>
          <t>ÇŞB 2026 Haziran elektrik rayici x 1,25</t>
        </is>
      </c>
      <c r="F26" s="20">
        <f>$B$3</f>
        <v/>
      </c>
      <c r="G26" s="5">
        <f>D26*(1-F26)</f>
        <v/>
      </c>
      <c r="H26" s="5">
        <f>D26*$D$3</f>
        <v/>
      </c>
      <c r="I26" s="13" t="n">
        <v>1079.2</v>
      </c>
    </row>
    <row r="27" ht="22" customHeight="1">
      <c r="A27" s="17" t="inlineStr">
        <is>
          <t>30.140.1105</t>
        </is>
      </c>
      <c r="B27" s="18" t="inlineStr">
        <is>
          <t>Çıplak bakır tel 25 mm² — eşpotansiyel bara ve topraklama iletkeni</t>
        </is>
      </c>
      <c r="C27" s="3" t="inlineStr">
        <is>
          <t>m</t>
        </is>
      </c>
      <c r="D27" s="5" t="n">
        <v>186.96</v>
      </c>
      <c r="E27" s="19" t="inlineStr">
        <is>
          <t>ÇŞB 2026 Haziran elektrik rayici x 1,25</t>
        </is>
      </c>
      <c r="F27" s="20">
        <f>$B$3</f>
        <v/>
      </c>
      <c r="G27" s="5">
        <f>D27*(1-F27)</f>
        <v/>
      </c>
      <c r="H27" s="5">
        <f>D27*$D$3</f>
        <v/>
      </c>
      <c r="I27" s="13" t="n">
        <v>157.05</v>
      </c>
    </row>
    <row r="28" ht="22" customHeight="1">
      <c r="A28" s="17" t="inlineStr">
        <is>
          <t>30.140.3104</t>
        </is>
      </c>
      <c r="B28" s="18" t="inlineStr">
        <is>
          <t>YVV (NYY) 1 kV yeraltı kablosu ile kolon hattı tesisi — 1x25 mm²</t>
        </is>
      </c>
      <c r="C28" s="3" t="inlineStr">
        <is>
          <t>m</t>
        </is>
      </c>
      <c r="D28" s="5" t="n">
        <v>238.1</v>
      </c>
      <c r="E28" s="19" t="inlineStr">
        <is>
          <t>ÇŞB 2026 Haziran elektrik rayici x 1,25</t>
        </is>
      </c>
      <c r="F28" s="20">
        <f>$B$3</f>
        <v/>
      </c>
      <c r="G28" s="5">
        <f>D28*(1-F28)</f>
        <v/>
      </c>
      <c r="H28" s="5">
        <f>D28*$D$3</f>
        <v/>
      </c>
      <c r="I28" s="13" t="n">
        <v>200</v>
      </c>
    </row>
    <row r="29" ht="14" customHeight="1">
      <c r="A29" s="17" t="inlineStr">
        <is>
          <t>30.150.1401</t>
        </is>
      </c>
      <c r="B29" s="18" t="inlineStr">
        <is>
          <t>Halojensiz H07Z tipi iletken 1x1,5 mm² ile kumanda tesisatı</t>
        </is>
      </c>
      <c r="C29" s="3" t="inlineStr">
        <is>
          <t>m</t>
        </is>
      </c>
      <c r="D29" s="5" t="n">
        <v>14.55</v>
      </c>
      <c r="E29" s="19" t="inlineStr">
        <is>
          <t>ÇŞB 2026 Haziran elektrik rayici x 1,25</t>
        </is>
      </c>
      <c r="F29" s="20">
        <f>$B$3</f>
        <v/>
      </c>
      <c r="G29" s="5">
        <f>D29*(1-F29)</f>
        <v/>
      </c>
      <c r="H29" s="5">
        <f>D29*$D$3</f>
        <v/>
      </c>
      <c r="I29" s="13" t="n">
        <v>12.22</v>
      </c>
    </row>
    <row r="30" ht="14" customHeight="1">
      <c r="A30" s="17" t="inlineStr">
        <is>
          <t>30.150.1402</t>
        </is>
      </c>
      <c r="B30" s="18" t="inlineStr">
        <is>
          <t>Halojensiz H07Z tipi iletken 1x2,5 mm² ile tesisat</t>
        </is>
      </c>
      <c r="C30" s="3" t="inlineStr">
        <is>
          <t>m</t>
        </is>
      </c>
      <c r="D30" s="5" t="n">
        <v>23.21</v>
      </c>
      <c r="E30" s="19" t="inlineStr">
        <is>
          <t>ÇŞB 2026 Haziran elektrik rayici x 1,25</t>
        </is>
      </c>
      <c r="F30" s="20">
        <f>$B$3</f>
        <v/>
      </c>
      <c r="G30" s="5">
        <f>D30*(1-F30)</f>
        <v/>
      </c>
      <c r="H30" s="5">
        <f>D30*$D$3</f>
        <v/>
      </c>
      <c r="I30" s="13" t="n">
        <v>19.5</v>
      </c>
    </row>
    <row r="31" ht="14" customHeight="1">
      <c r="A31" s="17" t="inlineStr">
        <is>
          <t>30.160.6102</t>
        </is>
      </c>
      <c r="B31" s="18" t="inlineStr">
        <is>
          <t>Boş boru döşemesi — 25-32 mm PVC boru</t>
        </is>
      </c>
      <c r="C31" s="3" t="inlineStr">
        <is>
          <t>m</t>
        </is>
      </c>
      <c r="D31" s="5" t="n">
        <v>34.59</v>
      </c>
      <c r="E31" s="19" t="inlineStr">
        <is>
          <t>ÇŞB 2026 Haziran elektrik rayici x 1,25</t>
        </is>
      </c>
      <c r="F31" s="20">
        <f>$B$3</f>
        <v/>
      </c>
      <c r="G31" s="5">
        <f>D31*(1-F31)</f>
        <v/>
      </c>
      <c r="H31" s="5">
        <f>D31*$D$3</f>
        <v/>
      </c>
      <c r="I31" s="13" t="n">
        <v>29.06</v>
      </c>
    </row>
    <row r="32" ht="22" customHeight="1">
      <c r="A32" s="17" t="inlineStr">
        <is>
          <t>30.170.1601</t>
        </is>
      </c>
      <c r="B32" s="18" t="inlineStr">
        <is>
          <t>LED sıva üstü etanj armatür (polikarbon gövdeli), ışık akısı en az 1800 lm — servis bölümü</t>
        </is>
      </c>
      <c r="C32" s="3" t="inlineStr">
        <is>
          <t>ad</t>
        </is>
      </c>
      <c r="D32" s="5" t="n">
        <v>1632.1</v>
      </c>
      <c r="E32" s="19" t="inlineStr">
        <is>
          <t>ÇŞB 2026 Haziran elektrik rayici x 1,25</t>
        </is>
      </c>
      <c r="F32" s="20">
        <f>$B$3</f>
        <v/>
      </c>
      <c r="G32" s="5">
        <f>D32*(1-F32)</f>
        <v/>
      </c>
      <c r="H32" s="5">
        <f>D32*$D$3</f>
        <v/>
      </c>
      <c r="I32" s="13" t="n">
        <v>1370.96</v>
      </c>
    </row>
    <row r="33" ht="22" customHeight="1">
      <c r="A33" s="17" t="inlineStr">
        <is>
          <t>30.170.1602</t>
        </is>
      </c>
      <c r="B33" s="18" t="inlineStr">
        <is>
          <t>LED sıva üstü etanj armatür (polikarbon gövdeli), ışık akısı en az 2700 lm — kümes genel aydınlatması</t>
        </is>
      </c>
      <c r="C33" s="3" t="inlineStr">
        <is>
          <t>ad</t>
        </is>
      </c>
      <c r="D33" s="5" t="n">
        <v>2376.28</v>
      </c>
      <c r="E33" s="19" t="inlineStr">
        <is>
          <t>ÇŞB 2026 Haziran elektrik rayici x 1,25</t>
        </is>
      </c>
      <c r="F33" s="20">
        <f>$B$3</f>
        <v/>
      </c>
      <c r="G33" s="5">
        <f>D33*(1-F33)</f>
        <v/>
      </c>
      <c r="H33" s="5">
        <f>D33*$D$3</f>
        <v/>
      </c>
      <c r="I33" s="13" t="n">
        <v>1996.08</v>
      </c>
    </row>
    <row r="34" ht="22" customHeight="1">
      <c r="A34" s="17" t="inlineStr">
        <is>
          <t>30.740.1106</t>
        </is>
      </c>
      <c r="B34" s="18" t="inlineStr">
        <is>
          <t>Dizel elektrojen grubu (jeneratör) 63 kVA / 50 kW — dizel motoru su veya hava ile soğuyan cinsten, 1500 d/dak</t>
        </is>
      </c>
      <c r="C34" s="3" t="inlineStr">
        <is>
          <t>ad</t>
        </is>
      </c>
      <c r="D34" s="5" t="n">
        <v>556368.2</v>
      </c>
      <c r="E34" s="19" t="inlineStr">
        <is>
          <t>ÇŞB 2026 Haziran elektrik rayici x 1,25</t>
        </is>
      </c>
      <c r="F34" s="20">
        <f>$B$3</f>
        <v/>
      </c>
      <c r="G34" s="5">
        <f>D34*(1-F34)</f>
        <v/>
      </c>
      <c r="H34" s="5">
        <f>D34*$D$3</f>
        <v/>
      </c>
      <c r="I34" s="13" t="n">
        <v>467349.29</v>
      </c>
    </row>
    <row r="35" ht="14" customHeight="1">
      <c r="A35" s="17" t="inlineStr">
        <is>
          <t>30.740.5406</t>
        </is>
      </c>
      <c r="B35" s="18" t="inlineStr">
        <is>
          <t>Jeneratör ses izolasyon kabini — 63 kVA</t>
        </is>
      </c>
      <c r="C35" s="3" t="inlineStr">
        <is>
          <t>ad</t>
        </is>
      </c>
      <c r="D35" s="5" t="n">
        <v>94825.64999999999</v>
      </c>
      <c r="E35" s="19" t="inlineStr">
        <is>
          <t>ÇŞB 2026 Haziran elektrik rayici x 1,25</t>
        </is>
      </c>
      <c r="F35" s="20">
        <f>$B$3</f>
        <v/>
      </c>
      <c r="G35" s="5">
        <f>D35*(1-F35)</f>
        <v/>
      </c>
      <c r="H35" s="5">
        <f>D35*$D$3</f>
        <v/>
      </c>
      <c r="I35" s="13" t="n">
        <v>79653.55</v>
      </c>
    </row>
    <row r="36" ht="14" customHeight="1">
      <c r="A36" s="17" t="inlineStr">
        <is>
          <t>30.750.1502</t>
        </is>
      </c>
      <c r="B36" s="18" t="inlineStr">
        <is>
          <t>Aktif yakalama ucu, ortalama uyarım yolu DL = 30-40 m</t>
        </is>
      </c>
      <c r="C36" s="3" t="inlineStr">
        <is>
          <t>ad</t>
        </is>
      </c>
      <c r="D36" s="5" t="n">
        <v>18566.2</v>
      </c>
      <c r="E36" s="19" t="inlineStr">
        <is>
          <t>ÇŞB 2026 Haziran elektrik rayici x 1,25</t>
        </is>
      </c>
      <c r="F36" s="20">
        <f>$B$3</f>
        <v/>
      </c>
      <c r="G36" s="5">
        <f>D36*(1-F36)</f>
        <v/>
      </c>
      <c r="H36" s="5">
        <f>D36*$D$3</f>
        <v/>
      </c>
      <c r="I36" s="13" t="n">
        <v>15595.61</v>
      </c>
    </row>
    <row r="37" ht="22" customHeight="1">
      <c r="A37" s="17" t="inlineStr">
        <is>
          <t>30.750.2001</t>
        </is>
      </c>
      <c r="B37" s="18" t="inlineStr">
        <is>
          <t>Çatı ihata ve indirme iletkeni tesisatı — 50 mm² elektrolitik bakır tel</t>
        </is>
      </c>
      <c r="C37" s="3" t="inlineStr">
        <is>
          <t>m</t>
        </is>
      </c>
      <c r="D37" s="5" t="n">
        <v>508</v>
      </c>
      <c r="E37" s="19" t="inlineStr">
        <is>
          <t>ÇŞB 2026 Haziran elektrik rayici x 1,25</t>
        </is>
      </c>
      <c r="F37" s="20">
        <f>$B$3</f>
        <v/>
      </c>
      <c r="G37" s="5">
        <f>D37*(1-F37)</f>
        <v/>
      </c>
      <c r="H37" s="5">
        <f>D37*$D$3</f>
        <v/>
      </c>
      <c r="I37" s="13" t="n">
        <v>426.72</v>
      </c>
    </row>
    <row r="38" ht="22" customHeight="1">
      <c r="A38" s="17" t="inlineStr">
        <is>
          <t>30.750.3002</t>
        </is>
      </c>
      <c r="B38" s="18" t="inlineStr">
        <is>
          <t>Bina ihata iletkeni tesisatı — 30x3,5 mm galvanizli çelik lama (temel topraklaması)</t>
        </is>
      </c>
      <c r="C38" s="3" t="inlineStr">
        <is>
          <t>m</t>
        </is>
      </c>
      <c r="D38" s="5" t="n">
        <v>138.05</v>
      </c>
      <c r="E38" s="19" t="inlineStr">
        <is>
          <t>ÇŞB 2026 Haziran elektrik rayici x 1,25</t>
        </is>
      </c>
      <c r="F38" s="20">
        <f>$B$3</f>
        <v/>
      </c>
      <c r="G38" s="5">
        <f>D38*(1-F38)</f>
        <v/>
      </c>
      <c r="H38" s="5">
        <f>D38*$D$3</f>
        <v/>
      </c>
      <c r="I38" s="13" t="n">
        <v>115.96</v>
      </c>
    </row>
    <row r="39" ht="22" customHeight="1">
      <c r="A39" s="17" t="inlineStr">
        <is>
          <t>43.527.1001</t>
        </is>
      </c>
      <c r="B39" s="18" t="inlineStr">
        <is>
          <t>ø150 HDPE koruge boru ile pissu hattı döşenmesi (SN 8, lastik conta ve boru bedeli dahil)</t>
        </is>
      </c>
      <c r="C39" s="3" t="inlineStr">
        <is>
          <t>m</t>
        </is>
      </c>
      <c r="D39" s="5" t="n">
        <v>393.69</v>
      </c>
      <c r="E39" s="19" t="inlineStr">
        <is>
          <t>TKDK 17.02.2026 Özel Poz Tablosu</t>
        </is>
      </c>
      <c r="F39" s="20">
        <f>$B$3</f>
        <v/>
      </c>
      <c r="G39" s="5">
        <f>D39*(1-F39)</f>
        <v/>
      </c>
      <c r="H39" s="5">
        <f>D39*$D$3</f>
        <v/>
      </c>
      <c r="I39" s="13" t="n">
        <v>330.7</v>
      </c>
    </row>
    <row r="40" ht="14" customHeight="1">
      <c r="A40" s="17" t="inlineStr">
        <is>
          <t>TKDK-0115</t>
        </is>
      </c>
      <c r="B40" s="18" t="inlineStr">
        <is>
          <t>Galvanizli düz sacdan yağmur oluğu yapılması — dere</t>
        </is>
      </c>
      <c r="C40" s="3" t="inlineStr">
        <is>
          <t>kg</t>
        </is>
      </c>
      <c r="D40" s="5" t="n">
        <v>271.25</v>
      </c>
      <c r="E40" s="19" t="inlineStr">
        <is>
          <t>TKDK 17.02.2026 Özel Poz Tablosu</t>
        </is>
      </c>
      <c r="F40" s="20">
        <f>$B$3</f>
        <v/>
      </c>
      <c r="G40" s="5">
        <f>D40*(1-F40)</f>
        <v/>
      </c>
      <c r="H40" s="5">
        <f>D40*$D$3</f>
        <v/>
      </c>
      <c r="I40" s="13" t="n">
        <v>227.85</v>
      </c>
    </row>
    <row r="41" ht="22" customHeight="1">
      <c r="A41" s="17" t="inlineStr">
        <is>
          <t>TKDK-0151</t>
        </is>
      </c>
      <c r="B41" s="18" t="inlineStr">
        <is>
          <t>5 cm poliüretan dolgulu panel ile ısı yalıtımlı kapı yapılması — kümes servis kapısı 100/220</t>
        </is>
      </c>
      <c r="C41" s="3" t="inlineStr">
        <is>
          <t>m²</t>
        </is>
      </c>
      <c r="D41" s="5" t="n">
        <v>1035.88</v>
      </c>
      <c r="E41" s="19" t="inlineStr">
        <is>
          <t>TKDK 17.02.2026 Özel Poz Tablosu</t>
        </is>
      </c>
      <c r="F41" s="20">
        <f>$B$3</f>
        <v/>
      </c>
      <c r="G41" s="5">
        <f>D41*(1-F41)</f>
        <v/>
      </c>
      <c r="H41" s="5">
        <f>D41*$D$3</f>
        <v/>
      </c>
      <c r="I41" s="13" t="n">
        <v>870.14</v>
      </c>
    </row>
    <row r="42" ht="22" customHeight="1">
      <c r="A42" s="17" t="inlineStr">
        <is>
          <t>TKDK-0175</t>
        </is>
      </c>
      <c r="B42" s="18" t="inlineStr">
        <is>
          <t>PVC kaplamalı MDF presli iç kapı kanadı yapılması, yerinde takılması — servis bölümü</t>
        </is>
      </c>
      <c r="C42" s="3" t="inlineStr">
        <is>
          <t>m²</t>
        </is>
      </c>
      <c r="D42" s="5" t="n">
        <v>3199.68</v>
      </c>
      <c r="E42" s="19" t="inlineStr">
        <is>
          <t>TKDK 17.02.2026 Özel Poz Tablosu</t>
        </is>
      </c>
      <c r="F42" s="20">
        <f>$B$3</f>
        <v/>
      </c>
      <c r="G42" s="5">
        <f>D42*(1-F42)</f>
        <v/>
      </c>
      <c r="H42" s="5">
        <f>D42*$D$3</f>
        <v/>
      </c>
      <c r="I42" s="13" t="n">
        <v>2687.73</v>
      </c>
    </row>
    <row r="43" ht="22" customHeight="1">
      <c r="A43" s="17" t="inlineStr">
        <is>
          <t>TKDK-0177</t>
        </is>
      </c>
      <c r="B43" s="18" t="inlineStr">
        <is>
          <t>Duvar karosu ile 3 mm derz aralıklı döşeme ve duvar kaplaması yapılması — servis bölümü</t>
        </is>
      </c>
      <c r="C43" s="3" t="inlineStr">
        <is>
          <t>m²</t>
        </is>
      </c>
      <c r="D43" s="5" t="n">
        <v>835.1</v>
      </c>
      <c r="E43" s="19" t="inlineStr">
        <is>
          <t>TKDK 17.02.2026 Özel Poz Tablosu</t>
        </is>
      </c>
      <c r="F43" s="20">
        <f>$B$3</f>
        <v/>
      </c>
      <c r="G43" s="5">
        <f>D43*(1-F43)</f>
        <v/>
      </c>
      <c r="H43" s="5">
        <f>D43*$D$3</f>
        <v/>
      </c>
      <c r="I43" s="13" t="n">
        <v>701.48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4" customWidth="1" min="3" max="3"/>
    <col width="9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YAPIM İŞLERİ TEKLİFİ — KÜMES A BLOK</t>
        </is>
      </c>
    </row>
    <row r="2">
      <c r="A2" s="14" t="inlineStr">
        <is>
          <t>MAHMUT TARI MAFREN MÜHENDİSLİK DANIŞMANLIK HİZMETLERİ · MAHMUT TARI · Ticaret sicil no Gölcük/6196 · Mersis 4943840532200001 · Tel 0541 553 66 86 · mahmuttari@gmail.com · 26.08.2026 · geçerlilik 26.12.2027 · KDV hariç fiyatlar</t>
        </is>
      </c>
    </row>
    <row r="3">
      <c r="A3" s="14" t="inlineStr">
        <is>
          <t>Birim fiyatlar Fiyatlar sekmesinden DÜŞEYARA ile çekilir; bu sekmede fiyat girilmez.</t>
        </is>
      </c>
    </row>
    <row r="5" ht="30" customHeight="1">
      <c r="A5" s="2" t="inlineStr">
        <is>
          <t>Sıra</t>
        </is>
      </c>
      <c r="B5" s="2" t="inlineStr">
        <is>
          <t>Poz / anahtar</t>
        </is>
      </c>
      <c r="C5" s="2" t="inlineStr">
        <is>
          <t>İşin tanımı</t>
        </is>
      </c>
      <c r="D5" s="2" t="inlineStr">
        <is>
          <t>Birim</t>
        </is>
      </c>
      <c r="E5" s="2" t="inlineStr">
        <is>
          <t>Miktar</t>
        </is>
      </c>
      <c r="F5" s="2" t="inlineStr">
        <is>
          <t>Birim fiyat (TL)</t>
        </is>
      </c>
      <c r="G5" s="2" t="inlineStr">
        <is>
          <t>Tutar (TL)</t>
        </is>
      </c>
    </row>
    <row r="6" ht="14" customHeight="1">
      <c r="A6" s="3" t="n">
        <v>1</v>
      </c>
      <c r="B6" s="21" t="inlineStr">
        <is>
          <t>15.120.1001</t>
        </is>
      </c>
      <c r="C6" s="18" t="inlineStr">
        <is>
          <t>Makine ile kazı yapılması — kümes A ve B blok</t>
        </is>
      </c>
      <c r="D6" s="3" t="inlineStr">
        <is>
          <t>m³</t>
        </is>
      </c>
      <c r="E6" s="22" t="n">
        <v>1684.39</v>
      </c>
      <c r="F6" s="23">
        <f>IFERROR(VLOOKUP($B6,'Fiyatlar'!$A:$I,9,FALSE),0)</f>
        <v/>
      </c>
      <c r="G6" s="5">
        <f>E6*F6</f>
        <v/>
      </c>
    </row>
    <row r="7" ht="14" customHeight="1">
      <c r="A7" s="3" t="n">
        <v>2</v>
      </c>
      <c r="B7" s="21" t="inlineStr">
        <is>
          <t>15.150.1003</t>
        </is>
      </c>
      <c r="C7" s="18" t="inlineStr">
        <is>
          <t>C 16/20 hazır beton dökülmesi — kümes temel altı grobeton</t>
        </is>
      </c>
      <c r="D7" s="3" t="inlineStr">
        <is>
          <t>m³</t>
        </is>
      </c>
      <c r="E7" s="22" t="n">
        <v>31.4285</v>
      </c>
      <c r="F7" s="23">
        <f>IFERROR(VLOOKUP($B7,'Fiyatlar'!$A:$I,9,FALSE),0)</f>
        <v/>
      </c>
      <c r="G7" s="5">
        <f>E7*F7</f>
        <v/>
      </c>
    </row>
    <row r="8" ht="14" customHeight="1">
      <c r="A8" s="3" t="n">
        <v>3</v>
      </c>
      <c r="B8" s="21" t="inlineStr">
        <is>
          <t>15.150.1005</t>
        </is>
      </c>
      <c r="C8" s="18" t="inlineStr">
        <is>
          <t>C 25/30 hazır beton dökülmesi — kümes şerit temel ve bağ kirişleri</t>
        </is>
      </c>
      <c r="D8" s="3" t="inlineStr">
        <is>
          <t>m³</t>
        </is>
      </c>
      <c r="E8" s="22" t="n">
        <v>115.71</v>
      </c>
      <c r="F8" s="23">
        <f>IFERROR(VLOOKUP($B8,'Fiyatlar'!$A:$I,9,FALSE),0)</f>
        <v/>
      </c>
      <c r="G8" s="5">
        <f>E8*F8</f>
        <v/>
      </c>
    </row>
    <row r="9" ht="14" customHeight="1">
      <c r="A9" s="3" t="n">
        <v>4</v>
      </c>
      <c r="B9" s="21" t="inlineStr">
        <is>
          <t>15.150.1005</t>
        </is>
      </c>
      <c r="C9" s="18" t="inlineStr">
        <is>
          <t>C 25/30 hazır beton dökülmesi — kümes zemin döşemeleri (15 cm)</t>
        </is>
      </c>
      <c r="D9" s="3" t="inlineStr">
        <is>
          <t>m³</t>
        </is>
      </c>
      <c r="E9" s="22" t="n">
        <v>162.63</v>
      </c>
      <c r="F9" s="23">
        <f>IFERROR(VLOOKUP($B9,'Fiyatlar'!$A:$I,9,FALSE),0)</f>
        <v/>
      </c>
      <c r="G9" s="5">
        <f>E9*F9</f>
        <v/>
      </c>
    </row>
    <row r="10" ht="14" customHeight="1">
      <c r="A10" s="3" t="n">
        <v>5</v>
      </c>
      <c r="B10" s="21" t="inlineStr">
        <is>
          <t>15.180.1003</t>
        </is>
      </c>
      <c r="C10" s="18" t="inlineStr">
        <is>
          <t>Plywood ile düz yüzeyli betonarme kalıbı — kümes temelleri</t>
        </is>
      </c>
      <c r="D10" s="3" t="inlineStr">
        <is>
          <t>m²</t>
        </is>
      </c>
      <c r="E10" s="22" t="n">
        <v>551.26</v>
      </c>
      <c r="F10" s="23">
        <f>IFERROR(VLOOKUP($B10,'Fiyatlar'!$A:$I,9,FALSE),0)</f>
        <v/>
      </c>
      <c r="G10" s="5">
        <f>E10*F10</f>
        <v/>
      </c>
    </row>
    <row r="11" ht="14" customHeight="1">
      <c r="A11" s="3" t="n">
        <v>6</v>
      </c>
      <c r="B11" s="21" t="inlineStr">
        <is>
          <t>15.160.1003</t>
        </is>
      </c>
      <c r="C11" s="18" t="inlineStr">
        <is>
          <t>Ø8-Ø12 nervürlü beton çelik çubuğu — kümes temelleri</t>
        </is>
      </c>
      <c r="D11" s="3" t="inlineStr">
        <is>
          <t>ton</t>
        </is>
      </c>
      <c r="E11" s="22" t="n">
        <v>4.1599</v>
      </c>
      <c r="F11" s="23">
        <f>IFERROR(VLOOKUP($B11,'Fiyatlar'!$A:$I,9,FALSE),0)</f>
        <v/>
      </c>
      <c r="G11" s="5">
        <f>E11*F11</f>
        <v/>
      </c>
    </row>
    <row r="12" ht="14" customHeight="1">
      <c r="A12" s="3" t="n">
        <v>7</v>
      </c>
      <c r="B12" s="21" t="inlineStr">
        <is>
          <t>15.160.1004</t>
        </is>
      </c>
      <c r="C12" s="18" t="inlineStr">
        <is>
          <t>Ø14-Ø28 nervürlü beton çelik çubuğu — kümes temelleri</t>
        </is>
      </c>
      <c r="D12" s="3" t="inlineStr">
        <is>
          <t>ton</t>
        </is>
      </c>
      <c r="E12" s="22" t="n">
        <v>7.2875</v>
      </c>
      <c r="F12" s="23">
        <f>IFERROR(VLOOKUP($B12,'Fiyatlar'!$A:$I,9,FALSE),0)</f>
        <v/>
      </c>
      <c r="G12" s="5">
        <f>E12*F12</f>
        <v/>
      </c>
    </row>
    <row r="13" ht="14" customHeight="1">
      <c r="A13" s="3" t="n">
        <v>8</v>
      </c>
      <c r="B13" s="21" t="inlineStr">
        <is>
          <t>15.160.1002</t>
        </is>
      </c>
      <c r="C13" s="18" t="inlineStr">
        <is>
          <t>Nervürlü çelik hasırın yerine konulması — kümes döşemeleri</t>
        </is>
      </c>
      <c r="D13" s="3" t="inlineStr">
        <is>
          <t>ton</t>
        </is>
      </c>
      <c r="E13" s="22" t="n">
        <v>3.6375</v>
      </c>
      <c r="F13" s="23">
        <f>IFERROR(VLOOKUP($B13,'Fiyatlar'!$A:$I,9,FALSE),0)</f>
        <v/>
      </c>
      <c r="G13" s="5">
        <f>E13*F13</f>
        <v/>
      </c>
    </row>
    <row r="14" ht="22" customHeight="1">
      <c r="A14" s="3" t="n">
        <v>9</v>
      </c>
      <c r="B14" s="21" t="inlineStr">
        <is>
          <t>15.165.1003</t>
        </is>
      </c>
      <c r="C14" s="18" t="inlineStr">
        <is>
          <t>Her çeşit profil, çelik çubuk ve saclarla karkas (çerçeve) inşaat yapılması, yerine tespiti — kümes çelik taşıyıcı sistemi</t>
        </is>
      </c>
      <c r="D14" s="3" t="inlineStr">
        <is>
          <t>ton</t>
        </is>
      </c>
      <c r="E14" s="22" t="n">
        <v>44.0481</v>
      </c>
      <c r="F14" s="23">
        <f>IFERROR(VLOOKUP($B14,'Fiyatlar'!$A:$I,9,FALSE),0)</f>
        <v/>
      </c>
      <c r="G14" s="5">
        <f>E14*F14</f>
        <v/>
      </c>
    </row>
    <row r="15" ht="22" customHeight="1">
      <c r="A15" s="3" t="n">
        <v>10</v>
      </c>
      <c r="B15" s="21" t="inlineStr">
        <is>
          <t>15.225.1010</t>
        </is>
      </c>
      <c r="C15" s="18" t="inlineStr">
        <is>
          <t>20 cm kalınlığındaki teçhizatsız gazbeton duvar blokları ile duvar yapılması (gazbeton tutkalı ile) — cephe duvarı</t>
        </is>
      </c>
      <c r="D15" s="3" t="inlineStr">
        <is>
          <t>m²</t>
        </is>
      </c>
      <c r="E15" s="22" t="n">
        <v>507.91</v>
      </c>
      <c r="F15" s="23">
        <f>IFERROR(VLOOKUP($B15,'Fiyatlar'!$A:$I,9,FALSE),0)</f>
        <v/>
      </c>
      <c r="G15" s="5">
        <f>E15*F15</f>
        <v/>
      </c>
    </row>
    <row r="16" ht="22" customHeight="1">
      <c r="A16" s="3" t="n">
        <v>11</v>
      </c>
      <c r="B16" s="21" t="inlineStr">
        <is>
          <t>15.225.1410</t>
        </is>
      </c>
      <c r="C16" s="18" t="inlineStr">
        <is>
          <t>20 cm kalınlığındaki teçhizatlı gazbeton lento temini ve yerine konulması — boşluk üstü lento ve yatay hatıl</t>
        </is>
      </c>
      <c r="D16" s="3" t="inlineStr">
        <is>
          <t>m²</t>
        </is>
      </c>
      <c r="E16" s="22" t="n">
        <v>49.85</v>
      </c>
      <c r="F16" s="23">
        <f>IFERROR(VLOOKUP($B16,'Fiyatlar'!$A:$I,9,FALSE),0)</f>
        <v/>
      </c>
      <c r="G16" s="5">
        <f>E16*F16</f>
        <v/>
      </c>
    </row>
    <row r="17" ht="14" customHeight="1">
      <c r="A17" s="3" t="n">
        <v>12</v>
      </c>
      <c r="B17" s="21" t="inlineStr">
        <is>
          <t>15.275.1116</t>
        </is>
      </c>
      <c r="C17" s="18" t="inlineStr">
        <is>
          <t>250 kg çimento dozlu harç ile kaba sıva yapılması — cephe duvarı dış yüzü</t>
        </is>
      </c>
      <c r="D17" s="3" t="inlineStr">
        <is>
          <t>m²</t>
        </is>
      </c>
      <c r="E17" s="22" t="n">
        <v>557.76</v>
      </c>
      <c r="F17" s="23">
        <f>IFERROR(VLOOKUP($B17,'Fiyatlar'!$A:$I,9,FALSE),0)</f>
        <v/>
      </c>
      <c r="G17" s="5">
        <f>E17*F17</f>
        <v/>
      </c>
    </row>
    <row r="18" ht="22" customHeight="1">
      <c r="A18" s="3" t="n">
        <v>13</v>
      </c>
      <c r="B18" s="21" t="inlineStr">
        <is>
          <t>15.275.1117</t>
        </is>
      </c>
      <c r="C18" s="18" t="inlineStr">
        <is>
          <t>200 kg çimento ve kireç karışımı harç ile kaba sıva yapılması (iç cephe) — cephe duvarı iç yüzü</t>
        </is>
      </c>
      <c r="D18" s="3" t="inlineStr">
        <is>
          <t>m²</t>
        </is>
      </c>
      <c r="E18" s="22" t="n">
        <v>557.76</v>
      </c>
      <c r="F18" s="23">
        <f>IFERROR(VLOOKUP($B18,'Fiyatlar'!$A:$I,9,FALSE),0)</f>
        <v/>
      </c>
      <c r="G18" s="5">
        <f>E18*F18</f>
        <v/>
      </c>
    </row>
    <row r="19" ht="22" customHeight="1">
      <c r="A19" s="3" t="n">
        <v>14</v>
      </c>
      <c r="B19" s="21" t="inlineStr">
        <is>
          <t>15.540.1606</t>
        </is>
      </c>
      <c r="C19" s="18" t="inlineStr">
        <is>
          <t>Brüt beton, sıvalı veya eski boyalı yüzeylere astar uygulanarak silikon esaslı su bazlı dış cephe boyası</t>
        </is>
      </c>
      <c r="D19" s="3" t="inlineStr">
        <is>
          <t>m²</t>
        </is>
      </c>
      <c r="E19" s="22" t="n">
        <v>557.76</v>
      </c>
      <c r="F19" s="23">
        <f>IFERROR(VLOOKUP($B19,'Fiyatlar'!$A:$I,9,FALSE),0)</f>
        <v/>
      </c>
      <c r="G19" s="5">
        <f>E19*F19</f>
        <v/>
      </c>
    </row>
    <row r="20" ht="22" customHeight="1">
      <c r="A20" s="3" t="n">
        <v>15</v>
      </c>
      <c r="B20" s="21" t="inlineStr">
        <is>
          <t>15.540.1537</t>
        </is>
      </c>
      <c r="C20" s="18" t="inlineStr">
        <is>
          <t>Yeni sıva yüzeylere astar uygulanarak iki kat su bazlı plastik antibakteriyel iç cephe boyası</t>
        </is>
      </c>
      <c r="D20" s="3" t="inlineStr">
        <is>
          <t>m²</t>
        </is>
      </c>
      <c r="E20" s="22" t="n">
        <v>557.76</v>
      </c>
      <c r="F20" s="23">
        <f>IFERROR(VLOOKUP($B20,'Fiyatlar'!$A:$I,9,FALSE),0)</f>
        <v/>
      </c>
      <c r="G20" s="5">
        <f>E20*F20</f>
        <v/>
      </c>
    </row>
    <row r="21" ht="14" customHeight="1">
      <c r="A21" s="3" t="n">
        <v>16</v>
      </c>
      <c r="B21" s="21" t="inlineStr">
        <is>
          <t>15.550.1202</t>
        </is>
      </c>
      <c r="C21" s="18" t="inlineStr">
        <is>
          <t>Lama ve profil demirlerden mahya, saçak ve köşe kapama profilleri</t>
        </is>
      </c>
      <c r="D21" s="3" t="inlineStr">
        <is>
          <t>kg</t>
        </is>
      </c>
      <c r="E21" s="22" t="n">
        <v>674</v>
      </c>
      <c r="F21" s="23">
        <f>IFERROR(VLOOKUP($B21,'Fiyatlar'!$A:$I,9,FALSE),0)</f>
        <v/>
      </c>
      <c r="G21" s="5">
        <f>E21*F21</f>
        <v/>
      </c>
    </row>
    <row r="22" ht="14" customHeight="1">
      <c r="A22" s="3" t="n">
        <v>17</v>
      </c>
      <c r="B22" s="21" t="inlineStr">
        <is>
          <t>TKDK-0115</t>
        </is>
      </c>
      <c r="C22" s="18" t="inlineStr">
        <is>
          <t>Galvanizli düz sacdan yağmur oluğu yapılması — dere</t>
        </is>
      </c>
      <c r="D22" s="3" t="inlineStr">
        <is>
          <t>kg</t>
        </is>
      </c>
      <c r="E22" s="22" t="n">
        <v>319.2</v>
      </c>
      <c r="F22" s="23">
        <f>IFERROR(VLOOKUP($B22,'Fiyatlar'!$A:$I,9,FALSE),0)</f>
        <v/>
      </c>
      <c r="G22" s="5">
        <f>E22*F22</f>
        <v/>
      </c>
    </row>
    <row r="23" ht="14" customHeight="1">
      <c r="A23" s="3" t="n">
        <v>18</v>
      </c>
      <c r="B23" s="21" t="inlineStr">
        <is>
          <t>15.315.1001</t>
        </is>
      </c>
      <c r="C23" s="18" t="inlineStr">
        <is>
          <t>Ø70 sert PVC yağmur suyu iniş borusu temini ve yerine tesbiti</t>
        </is>
      </c>
      <c r="D23" s="3" t="inlineStr">
        <is>
          <t>m</t>
        </is>
      </c>
      <c r="E23" s="22" t="n">
        <v>51.2</v>
      </c>
      <c r="F23" s="23">
        <f>IFERROR(VLOOKUP($B23,'Fiyatlar'!$A:$I,9,FALSE),0)</f>
        <v/>
      </c>
      <c r="G23" s="5">
        <f>E23*F23</f>
        <v/>
      </c>
    </row>
    <row r="24" ht="22" customHeight="1">
      <c r="A24" s="3" t="n">
        <v>19</v>
      </c>
      <c r="B24" s="21" t="inlineStr">
        <is>
          <t>TKDK-0151</t>
        </is>
      </c>
      <c r="C24" s="18" t="inlineStr">
        <is>
          <t>5 cm poliüretan dolgulu panel ile ısı yalıtımlı kapı yapılması — kümes servis kapısı 100/220</t>
        </is>
      </c>
      <c r="D24" s="3" t="inlineStr">
        <is>
          <t>m²</t>
        </is>
      </c>
      <c r="E24" s="22" t="n">
        <v>4.4</v>
      </c>
      <c r="F24" s="23">
        <f>IFERROR(VLOOKUP($B24,'Fiyatlar'!$A:$I,9,FALSE),0)</f>
        <v/>
      </c>
      <c r="G24" s="5">
        <f>E24*F24</f>
        <v/>
      </c>
    </row>
    <row r="25" ht="22" customHeight="1">
      <c r="A25" s="3" t="n">
        <v>20</v>
      </c>
      <c r="B25" s="21" t="inlineStr">
        <is>
          <t>TKDK-0151</t>
        </is>
      </c>
      <c r="C25" s="18" t="inlineStr">
        <is>
          <t>5 cm poliüretan dolgulu panel ile ısı yalıtımlı kapı yapılması — yükleme/temizlik kapısı 300/300 sürgülü</t>
        </is>
      </c>
      <c r="D25" s="3" t="inlineStr">
        <is>
          <t>m²</t>
        </is>
      </c>
      <c r="E25" s="22" t="n">
        <v>9</v>
      </c>
      <c r="F25" s="23">
        <f>IFERROR(VLOOKUP($B25,'Fiyatlar'!$A:$I,9,FALSE),0)</f>
        <v/>
      </c>
      <c r="G25" s="5">
        <f>E25*F25</f>
        <v/>
      </c>
    </row>
    <row r="26" ht="22" customHeight="1">
      <c r="A26" s="3" t="n">
        <v>21</v>
      </c>
      <c r="B26" s="21" t="inlineStr">
        <is>
          <t>15.225.1004</t>
        </is>
      </c>
      <c r="C26" s="18" t="inlineStr">
        <is>
          <t>10 cm kalınlığındaki teçhizatsız gazbeton duvar blokları ile bölme duvar yapılması — servis bölümü</t>
        </is>
      </c>
      <c r="D26" s="3" t="inlineStr">
        <is>
          <t>m²</t>
        </is>
      </c>
      <c r="E26" s="22" t="n">
        <v>45</v>
      </c>
      <c r="F26" s="23">
        <f>IFERROR(VLOOKUP($B26,'Fiyatlar'!$A:$I,9,FALSE),0)</f>
        <v/>
      </c>
      <c r="G26" s="5">
        <f>E26*F26</f>
        <v/>
      </c>
    </row>
    <row r="27" ht="22" customHeight="1">
      <c r="A27" s="3" t="n">
        <v>22</v>
      </c>
      <c r="B27" s="21" t="inlineStr">
        <is>
          <t>15.275.1117</t>
        </is>
      </c>
      <c r="C27" s="18" t="inlineStr">
        <is>
          <t>200 kg çimento ve kireç karışımı harç ile kaba sıva yapılması — servis bölümü bölme duvarları</t>
        </is>
      </c>
      <c r="D27" s="3" t="inlineStr">
        <is>
          <t>m²</t>
        </is>
      </c>
      <c r="E27" s="22" t="n">
        <v>90</v>
      </c>
      <c r="F27" s="23">
        <f>IFERROR(VLOOKUP($B27,'Fiyatlar'!$A:$I,9,FALSE),0)</f>
        <v/>
      </c>
      <c r="G27" s="5">
        <f>E27*F27</f>
        <v/>
      </c>
    </row>
    <row r="28" ht="22" customHeight="1">
      <c r="A28" s="3" t="n">
        <v>23</v>
      </c>
      <c r="B28" s="21" t="inlineStr">
        <is>
          <t>TKDK-0177</t>
        </is>
      </c>
      <c r="C28" s="18" t="inlineStr">
        <is>
          <t>Duvar karosu ile 3 mm derz aralıklı döşeme ve duvar kaplaması yapılması — servis bölümü</t>
        </is>
      </c>
      <c r="D28" s="3" t="inlineStr">
        <is>
          <t>m²</t>
        </is>
      </c>
      <c r="E28" s="22" t="n">
        <v>60</v>
      </c>
      <c r="F28" s="23">
        <f>IFERROR(VLOOKUP($B28,'Fiyatlar'!$A:$I,9,FALSE),0)</f>
        <v/>
      </c>
      <c r="G28" s="5">
        <f>E28*F28</f>
        <v/>
      </c>
    </row>
    <row r="29" ht="22" customHeight="1">
      <c r="A29" s="3" t="n">
        <v>24</v>
      </c>
      <c r="B29" s="21" t="inlineStr">
        <is>
          <t>15.540.1537</t>
        </is>
      </c>
      <c r="C29" s="18" t="inlineStr">
        <is>
          <t>Yeni sıva yüzeylere astar uygulanarak iki kat su bazlı plastik antibakteriyel boya — servis bölümü</t>
        </is>
      </c>
      <c r="D29" s="3" t="inlineStr">
        <is>
          <t>m²</t>
        </is>
      </c>
      <c r="E29" s="22" t="n">
        <v>55</v>
      </c>
      <c r="F29" s="23">
        <f>IFERROR(VLOOKUP($B29,'Fiyatlar'!$A:$I,9,FALSE),0)</f>
        <v/>
      </c>
      <c r="G29" s="5">
        <f>E29*F29</f>
        <v/>
      </c>
    </row>
    <row r="30" ht="22" customHeight="1">
      <c r="A30" s="3" t="n">
        <v>25</v>
      </c>
      <c r="B30" s="21" t="inlineStr">
        <is>
          <t>TKDK-0175</t>
        </is>
      </c>
      <c r="C30" s="18" t="inlineStr">
        <is>
          <t>PVC kaplamalı MDF presli iç kapı kanadı yapılması, yerinde takılması — servis bölümü</t>
        </is>
      </c>
      <c r="D30" s="3" t="inlineStr">
        <is>
          <t>m²</t>
        </is>
      </c>
      <c r="E30" s="22" t="n">
        <v>5.67</v>
      </c>
      <c r="F30" s="23">
        <f>IFERROR(VLOOKUP($B30,'Fiyatlar'!$A:$I,9,FALSE),0)</f>
        <v/>
      </c>
      <c r="G30" s="5">
        <f>E30*F30</f>
        <v/>
      </c>
    </row>
    <row r="31" ht="22" customHeight="1">
      <c r="A31" s="3" t="n">
        <v>26</v>
      </c>
      <c r="B31" s="21" t="inlineStr">
        <is>
          <t>15.550.1002</t>
        </is>
      </c>
      <c r="C31" s="18" t="inlineStr">
        <is>
          <t>1,50 mm sacdan bükme kapı kasası yapılması ve yerine konulması — servis bölümü iç kapıları</t>
        </is>
      </c>
      <c r="D31" s="3" t="inlineStr">
        <is>
          <t>kg</t>
        </is>
      </c>
      <c r="E31" s="22" t="n">
        <v>54.315</v>
      </c>
      <c r="F31" s="23">
        <f>IFERROR(VLOOKUP($B31,'Fiyatlar'!$A:$I,9,FALSE),0)</f>
        <v/>
      </c>
      <c r="G31" s="5">
        <f>E31*F31</f>
        <v/>
      </c>
    </row>
    <row r="32" ht="22" customHeight="1">
      <c r="A32" s="3" t="n">
        <v>27</v>
      </c>
      <c r="B32" s="21" t="inlineStr">
        <is>
          <t>43.527.1001</t>
        </is>
      </c>
      <c r="C32" s="18" t="inlineStr">
        <is>
          <t>ø150 HDPE koruge boru ile pissu hattı döşenmesi (SN 8, lastik conta ve boru bedeli dahil)</t>
        </is>
      </c>
      <c r="D32" s="3" t="inlineStr">
        <is>
          <t>m</t>
        </is>
      </c>
      <c r="E32" s="22" t="n">
        <v>25</v>
      </c>
      <c r="F32" s="23">
        <f>IFERROR(VLOOKUP($B32,'Fiyatlar'!$A:$I,9,FALSE),0)</f>
        <v/>
      </c>
      <c r="G32" s="5">
        <f>E32*F32</f>
        <v/>
      </c>
    </row>
    <row r="33" ht="14" customHeight="1">
      <c r="A33" s="3" t="n">
        <v>28</v>
      </c>
      <c r="B33" s="21" t="inlineStr">
        <is>
          <t>30.100.2105</t>
        </is>
      </c>
      <c r="C33" s="18" t="inlineStr">
        <is>
          <t>Kümes dağıtım panosu (sıva üstü galvanizli sac tablo, 0,40-0,50 m²)</t>
        </is>
      </c>
      <c r="D33" s="3" t="inlineStr">
        <is>
          <t>ad</t>
        </is>
      </c>
      <c r="E33" s="22" t="n">
        <v>1</v>
      </c>
      <c r="F33" s="23">
        <f>IFERROR(VLOOKUP($B33,'Fiyatlar'!$A:$I,9,FALSE),0)</f>
        <v/>
      </c>
      <c r="G33" s="5">
        <f>E33*F33</f>
        <v/>
      </c>
    </row>
    <row r="34" ht="14" customHeight="1">
      <c r="A34" s="3" t="n">
        <v>29</v>
      </c>
      <c r="B34" s="21" t="inlineStr">
        <is>
          <t>30.110.1102</t>
        </is>
      </c>
      <c r="C34" s="18" t="inlineStr">
        <is>
          <t>Termik-manyetik kompakt şalter 3x100 A, Icu 35 kA — kümes besleme</t>
        </is>
      </c>
      <c r="D34" s="3" t="inlineStr">
        <is>
          <t>ad</t>
        </is>
      </c>
      <c r="E34" s="22" t="n">
        <v>1</v>
      </c>
      <c r="F34" s="23">
        <f>IFERROR(VLOOKUP($B34,'Fiyatlar'!$A:$I,9,FALSE),0)</f>
        <v/>
      </c>
      <c r="G34" s="5">
        <f>E34*F34</f>
        <v/>
      </c>
    </row>
    <row r="35" ht="14" customHeight="1">
      <c r="A35" s="3" t="n">
        <v>30</v>
      </c>
      <c r="B35" s="21" t="inlineStr">
        <is>
          <t>30.115.1003</t>
        </is>
      </c>
      <c r="C35" s="18" t="inlineStr">
        <is>
          <t>Kaçak akım koruma şalteri 2x63 A, 30 mA</t>
        </is>
      </c>
      <c r="D35" s="3" t="inlineStr">
        <is>
          <t>ad</t>
        </is>
      </c>
      <c r="E35" s="22" t="n">
        <v>2</v>
      </c>
      <c r="F35" s="23">
        <f>IFERROR(VLOOKUP($B35,'Fiyatlar'!$A:$I,9,FALSE),0)</f>
        <v/>
      </c>
      <c r="G35" s="5">
        <f>E35*F35</f>
        <v/>
      </c>
    </row>
    <row r="36" ht="14" customHeight="1">
      <c r="A36" s="3" t="n">
        <v>31</v>
      </c>
      <c r="B36" s="21" t="inlineStr">
        <is>
          <t>30.140.3104</t>
        </is>
      </c>
      <c r="C36" s="18" t="inlineStr">
        <is>
          <t>YVV (NYY) 1 kV yeraltı kablosu ile kolon hattı tesisi — 1x25 mm²</t>
        </is>
      </c>
      <c r="D36" s="3" t="inlineStr">
        <is>
          <t>m</t>
        </is>
      </c>
      <c r="E36" s="22" t="n">
        <v>300</v>
      </c>
      <c r="F36" s="23">
        <f>IFERROR(VLOOKUP($B36,'Fiyatlar'!$A:$I,9,FALSE),0)</f>
        <v/>
      </c>
      <c r="G36" s="5">
        <f>E36*F36</f>
        <v/>
      </c>
    </row>
    <row r="37" ht="22" customHeight="1">
      <c r="A37" s="3" t="n">
        <v>32</v>
      </c>
      <c r="B37" s="21" t="inlineStr">
        <is>
          <t>30.170.1602</t>
        </is>
      </c>
      <c r="C37" s="18" t="inlineStr">
        <is>
          <t>LED sıva üstü etanj armatür (polikarbon gövdeli), ışık akısı en az 2700 lm — kümes genel aydınlatması</t>
        </is>
      </c>
      <c r="D37" s="3" t="inlineStr">
        <is>
          <t>ad</t>
        </is>
      </c>
      <c r="E37" s="22" t="n">
        <v>30</v>
      </c>
      <c r="F37" s="23">
        <f>IFERROR(VLOOKUP($B37,'Fiyatlar'!$A:$I,9,FALSE),0)</f>
        <v/>
      </c>
      <c r="G37" s="5">
        <f>E37*F37</f>
        <v/>
      </c>
    </row>
    <row r="38" ht="22" customHeight="1">
      <c r="A38" s="3" t="n">
        <v>33</v>
      </c>
      <c r="B38" s="21" t="inlineStr">
        <is>
          <t>30.170.1601</t>
        </is>
      </c>
      <c r="C38" s="18" t="inlineStr">
        <is>
          <t>LED sıva üstü etanj armatür (polikarbon gövdeli), ışık akısı en az 1800 lm — servis bölümü</t>
        </is>
      </c>
      <c r="D38" s="3" t="inlineStr">
        <is>
          <t>ad</t>
        </is>
      </c>
      <c r="E38" s="22" t="n">
        <v>2</v>
      </c>
      <c r="F38" s="23">
        <f>IFERROR(VLOOKUP($B38,'Fiyatlar'!$A:$I,9,FALSE),0)</f>
        <v/>
      </c>
      <c r="G38" s="5">
        <f>E38*F38</f>
        <v/>
      </c>
    </row>
    <row r="39" ht="14" customHeight="1">
      <c r="A39" s="3" t="n">
        <v>34</v>
      </c>
      <c r="B39" s="21" t="inlineStr">
        <is>
          <t>30.160.6102</t>
        </is>
      </c>
      <c r="C39" s="18" t="inlineStr">
        <is>
          <t>Boş boru döşemesi — 25-32 mm PVC boru</t>
        </is>
      </c>
      <c r="D39" s="3" t="inlineStr">
        <is>
          <t>m</t>
        </is>
      </c>
      <c r="E39" s="22" t="n">
        <v>500</v>
      </c>
      <c r="F39" s="23">
        <f>IFERROR(VLOOKUP($B39,'Fiyatlar'!$A:$I,9,FALSE),0)</f>
        <v/>
      </c>
      <c r="G39" s="5">
        <f>E39*F39</f>
        <v/>
      </c>
    </row>
    <row r="40" ht="14" customHeight="1">
      <c r="A40" s="3" t="n">
        <v>35</v>
      </c>
      <c r="B40" s="21" t="inlineStr">
        <is>
          <t>30.150.1402</t>
        </is>
      </c>
      <c r="C40" s="18" t="inlineStr">
        <is>
          <t>Halojensiz H07Z tipi iletken 1x2,5 mm² ile tesisat</t>
        </is>
      </c>
      <c r="D40" s="3" t="inlineStr">
        <is>
          <t>m</t>
        </is>
      </c>
      <c r="E40" s="22" t="n">
        <v>2000</v>
      </c>
      <c r="F40" s="23">
        <f>IFERROR(VLOOKUP($B40,'Fiyatlar'!$A:$I,9,FALSE),0)</f>
        <v/>
      </c>
      <c r="G40" s="5">
        <f>E40*F40</f>
        <v/>
      </c>
    </row>
    <row r="41" ht="14" customHeight="1">
      <c r="A41" s="3" t="n">
        <v>36</v>
      </c>
      <c r="B41" s="21" t="inlineStr">
        <is>
          <t>30.150.1401</t>
        </is>
      </c>
      <c r="C41" s="18" t="inlineStr">
        <is>
          <t>Halojensiz H07Z tipi iletken 1x1,5 mm² ile kumanda tesisatı</t>
        </is>
      </c>
      <c r="D41" s="3" t="inlineStr">
        <is>
          <t>m</t>
        </is>
      </c>
      <c r="E41" s="22" t="n">
        <v>600</v>
      </c>
      <c r="F41" s="23">
        <f>IFERROR(VLOOKUP($B41,'Fiyatlar'!$A:$I,9,FALSE),0)</f>
        <v/>
      </c>
      <c r="G41" s="5">
        <f>E41*F41</f>
        <v/>
      </c>
    </row>
    <row r="42" ht="14" customHeight="1">
      <c r="A42" s="3" t="n">
        <v>37</v>
      </c>
      <c r="B42" s="21" t="inlineStr">
        <is>
          <t>30.140.1105</t>
        </is>
      </c>
      <c r="C42" s="18" t="inlineStr">
        <is>
          <t>Çıplak bakır tel 25 mm² — eşpotansiyel bara ve topraklama iletkeni</t>
        </is>
      </c>
      <c r="D42" s="3" t="inlineStr">
        <is>
          <t>m</t>
        </is>
      </c>
      <c r="E42" s="22" t="n">
        <v>100</v>
      </c>
      <c r="F42" s="23">
        <f>IFERROR(VLOOKUP($B42,'Fiyatlar'!$A:$I,9,FALSE),0)</f>
        <v/>
      </c>
      <c r="G42" s="5">
        <f>E42*F42</f>
        <v/>
      </c>
    </row>
    <row r="43" ht="14" customHeight="1">
      <c r="A43" s="3" t="n">
        <v>38</v>
      </c>
      <c r="B43" s="21" t="inlineStr">
        <is>
          <t>30.750.3002</t>
        </is>
      </c>
      <c r="C43" s="18" t="inlineStr">
        <is>
          <t>Bina ihata iletkeni tesisatı — 30x3,5 mm galvanizli çelik lama (temel topraklaması)</t>
        </is>
      </c>
      <c r="D43" s="3" t="inlineStr">
        <is>
          <t>m</t>
        </is>
      </c>
      <c r="E43" s="22" t="n">
        <v>186</v>
      </c>
      <c r="F43" s="23">
        <f>IFERROR(VLOOKUP($B43,'Fiyatlar'!$A:$I,9,FALSE),0)</f>
        <v/>
      </c>
      <c r="G43" s="5">
        <f>E43*F43</f>
        <v/>
      </c>
    </row>
    <row r="44" ht="14" customHeight="1">
      <c r="A44" s="3" t="n">
        <v>39</v>
      </c>
      <c r="B44" s="21" t="inlineStr">
        <is>
          <t>30.750.1502</t>
        </is>
      </c>
      <c r="C44" s="18" t="inlineStr">
        <is>
          <t>Aktif yakalama ucu, ortalama uyarım yolu DL = 30-40 m</t>
        </is>
      </c>
      <c r="D44" s="3" t="inlineStr">
        <is>
          <t>ad</t>
        </is>
      </c>
      <c r="E44" s="22" t="n">
        <v>1</v>
      </c>
      <c r="F44" s="23">
        <f>IFERROR(VLOOKUP($B44,'Fiyatlar'!$A:$I,9,FALSE),0)</f>
        <v/>
      </c>
      <c r="G44" s="5">
        <f>E44*F44</f>
        <v/>
      </c>
    </row>
    <row r="45" ht="14" customHeight="1">
      <c r="A45" s="3" t="n">
        <v>40</v>
      </c>
      <c r="B45" s="21" t="inlineStr">
        <is>
          <t>30.750.2001</t>
        </is>
      </c>
      <c r="C45" s="18" t="inlineStr">
        <is>
          <t>Çatı ihata ve indirme iletkeni tesisatı — 50 mm² elektrolitik bakır tel</t>
        </is>
      </c>
      <c r="D45" s="3" t="inlineStr">
        <is>
          <t>m</t>
        </is>
      </c>
      <c r="E45" s="22" t="n">
        <v>16</v>
      </c>
      <c r="F45" s="23">
        <f>IFERROR(VLOOKUP($B45,'Fiyatlar'!$A:$I,9,FALSE),0)</f>
        <v/>
      </c>
      <c r="G45" s="5">
        <f>E45*F45</f>
        <v/>
      </c>
    </row>
    <row r="46" ht="22" customHeight="1">
      <c r="A46" s="3" t="n">
        <v>41</v>
      </c>
      <c r="B46" s="21" t="inlineStr">
        <is>
          <t>30.740.1106</t>
        </is>
      </c>
      <c r="C46" s="18" t="inlineStr">
        <is>
          <t>Dizel elektrojen grubu (jeneratör) 63 kVA / 50 kW — dizel motoru su veya hava ile soğuyan cinsten, 1500 d/dak</t>
        </is>
      </c>
      <c r="D46" s="3" t="inlineStr">
        <is>
          <t>ad</t>
        </is>
      </c>
      <c r="E46" s="22" t="n">
        <v>1</v>
      </c>
      <c r="F46" s="23">
        <f>IFERROR(VLOOKUP($B46,'Fiyatlar'!$A:$I,9,FALSE),0)</f>
        <v/>
      </c>
      <c r="G46" s="5">
        <f>E46*F46</f>
        <v/>
      </c>
    </row>
    <row r="47" ht="14" customHeight="1">
      <c r="A47" s="3" t="n">
        <v>42</v>
      </c>
      <c r="B47" s="21" t="inlineStr">
        <is>
          <t>30.740.5406</t>
        </is>
      </c>
      <c r="C47" s="18" t="inlineStr">
        <is>
          <t>Jeneratör ses izolasyon kabini — 63 kVA</t>
        </is>
      </c>
      <c r="D47" s="3" t="inlineStr">
        <is>
          <t>ad</t>
        </is>
      </c>
      <c r="E47" s="22" t="n">
        <v>1</v>
      </c>
      <c r="F47" s="23">
        <f>IFERROR(VLOOKUP($B47,'Fiyatlar'!$A:$I,9,FALSE),0)</f>
        <v/>
      </c>
      <c r="G47" s="5">
        <f>E47*F47</f>
        <v/>
      </c>
    </row>
    <row r="48">
      <c r="A48" s="7" t="n"/>
      <c r="B48" s="7" t="n"/>
      <c r="C48" s="24" t="inlineStr">
        <is>
          <t>ARA TOPLAM (KDV hariç)</t>
        </is>
      </c>
      <c r="D48" s="7" t="n"/>
      <c r="E48" s="7" t="n"/>
      <c r="F48" s="7" t="n"/>
      <c r="G48" s="9">
        <f>SUM(G6:G47)</f>
        <v/>
      </c>
    </row>
    <row r="49">
      <c r="A49" s="4" t="n"/>
      <c r="B49" s="4" t="n"/>
      <c r="C49" s="25" t="inlineStr">
        <is>
          <t>KDV</t>
        </is>
      </c>
      <c r="D49" s="4" t="n"/>
      <c r="E49" s="4" t="n"/>
      <c r="F49" s="4" t="n"/>
      <c r="G49" s="5">
        <f>G48*'Fiyatlar'!$F$3</f>
        <v/>
      </c>
    </row>
    <row r="50">
      <c r="A50" s="11" t="n"/>
      <c r="B50" s="11" t="n"/>
      <c r="C50" s="26" t="inlineStr">
        <is>
          <t>TEKLİF BEDELİ (KDV dâhil)</t>
        </is>
      </c>
      <c r="D50" s="11" t="n"/>
      <c r="E50" s="11" t="n"/>
      <c r="F50" s="11" t="n"/>
      <c r="G50" s="13">
        <f>G48+G49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4" customWidth="1" min="3" max="3"/>
    <col width="9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YAPIM İŞLERİ TEKLİFİ — KÜMES B BLOK</t>
        </is>
      </c>
    </row>
    <row r="2">
      <c r="A2" s="14" t="inlineStr">
        <is>
          <t>MAHMUT TARI MAFREN MÜHENDİSLİK DANIŞMANLIK HİZMETLERİ · MAHMUT TARI · Ticaret sicil no Gölcük/6196 · Mersis 4943840532200001 · Tel 0541 553 66 86 · mahmuttari@gmail.com · 26.08.2026 · geçerlilik 26.12.2027 · KDV hariç fiyatlar</t>
        </is>
      </c>
    </row>
    <row r="3">
      <c r="A3" s="14" t="inlineStr">
        <is>
          <t>Birim fiyatlar Fiyatlar sekmesinden DÜŞEYARA ile çekilir; bu sekmede fiyat girilmez.</t>
        </is>
      </c>
    </row>
    <row r="5" ht="30" customHeight="1">
      <c r="A5" s="2" t="inlineStr">
        <is>
          <t>Sıra</t>
        </is>
      </c>
      <c r="B5" s="2" t="inlineStr">
        <is>
          <t>Poz / anahtar</t>
        </is>
      </c>
      <c r="C5" s="2" t="inlineStr">
        <is>
          <t>İşin tanımı</t>
        </is>
      </c>
      <c r="D5" s="2" t="inlineStr">
        <is>
          <t>Birim</t>
        </is>
      </c>
      <c r="E5" s="2" t="inlineStr">
        <is>
          <t>Miktar</t>
        </is>
      </c>
      <c r="F5" s="2" t="inlineStr">
        <is>
          <t>Birim fiyat (TL)</t>
        </is>
      </c>
      <c r="G5" s="2" t="inlineStr">
        <is>
          <t>Tutar (TL)</t>
        </is>
      </c>
    </row>
    <row r="6" ht="14" customHeight="1">
      <c r="A6" s="3" t="n">
        <v>1</v>
      </c>
      <c r="B6" s="21" t="inlineStr">
        <is>
          <t>15.120.1001</t>
        </is>
      </c>
      <c r="C6" s="18" t="inlineStr">
        <is>
          <t>Makine ile kazı yapılması — kümes A ve B blok</t>
        </is>
      </c>
      <c r="D6" s="3" t="inlineStr">
        <is>
          <t>m³</t>
        </is>
      </c>
      <c r="E6" s="22" t="n">
        <v>1684.38</v>
      </c>
      <c r="F6" s="23">
        <f>IFERROR(VLOOKUP($B6,'Fiyatlar'!$A:$I,9,FALSE),0)</f>
        <v/>
      </c>
      <c r="G6" s="5">
        <f>E6*F6</f>
        <v/>
      </c>
    </row>
    <row r="7" ht="14" customHeight="1">
      <c r="A7" s="3" t="n">
        <v>2</v>
      </c>
      <c r="B7" s="21" t="inlineStr">
        <is>
          <t>15.150.1003</t>
        </is>
      </c>
      <c r="C7" s="18" t="inlineStr">
        <is>
          <t>C 16/20 hazır beton dökülmesi — kümes temel altı grobeton</t>
        </is>
      </c>
      <c r="D7" s="3" t="inlineStr">
        <is>
          <t>m³</t>
        </is>
      </c>
      <c r="E7" s="22" t="n">
        <v>31.4285</v>
      </c>
      <c r="F7" s="23">
        <f>IFERROR(VLOOKUP($B7,'Fiyatlar'!$A:$I,9,FALSE),0)</f>
        <v/>
      </c>
      <c r="G7" s="5">
        <f>E7*F7</f>
        <v/>
      </c>
    </row>
    <row r="8" ht="14" customHeight="1">
      <c r="A8" s="3" t="n">
        <v>3</v>
      </c>
      <c r="B8" s="21" t="inlineStr">
        <is>
          <t>15.150.1005</t>
        </is>
      </c>
      <c r="C8" s="18" t="inlineStr">
        <is>
          <t>C 25/30 hazır beton dökülmesi — kümes şerit temel ve bağ kirişleri</t>
        </is>
      </c>
      <c r="D8" s="3" t="inlineStr">
        <is>
          <t>m³</t>
        </is>
      </c>
      <c r="E8" s="22" t="n">
        <v>115.71</v>
      </c>
      <c r="F8" s="23">
        <f>IFERROR(VLOOKUP($B8,'Fiyatlar'!$A:$I,9,FALSE),0)</f>
        <v/>
      </c>
      <c r="G8" s="5">
        <f>E8*F8</f>
        <v/>
      </c>
    </row>
    <row r="9" ht="14" customHeight="1">
      <c r="A9" s="3" t="n">
        <v>4</v>
      </c>
      <c r="B9" s="21" t="inlineStr">
        <is>
          <t>15.150.1005</t>
        </is>
      </c>
      <c r="C9" s="18" t="inlineStr">
        <is>
          <t>C 25/30 hazır beton dökülmesi — kümes zemin döşemeleri (15 cm)</t>
        </is>
      </c>
      <c r="D9" s="3" t="inlineStr">
        <is>
          <t>m³</t>
        </is>
      </c>
      <c r="E9" s="22" t="n">
        <v>162.63</v>
      </c>
      <c r="F9" s="23">
        <f>IFERROR(VLOOKUP($B9,'Fiyatlar'!$A:$I,9,FALSE),0)</f>
        <v/>
      </c>
      <c r="G9" s="5">
        <f>E9*F9</f>
        <v/>
      </c>
    </row>
    <row r="10" ht="14" customHeight="1">
      <c r="A10" s="3" t="n">
        <v>5</v>
      </c>
      <c r="B10" s="21" t="inlineStr">
        <is>
          <t>15.180.1003</t>
        </is>
      </c>
      <c r="C10" s="18" t="inlineStr">
        <is>
          <t>Plywood ile düz yüzeyli betonarme kalıbı — kümes temelleri</t>
        </is>
      </c>
      <c r="D10" s="3" t="inlineStr">
        <is>
          <t>m²</t>
        </is>
      </c>
      <c r="E10" s="22" t="n">
        <v>551.26</v>
      </c>
      <c r="F10" s="23">
        <f>IFERROR(VLOOKUP($B10,'Fiyatlar'!$A:$I,9,FALSE),0)</f>
        <v/>
      </c>
      <c r="G10" s="5">
        <f>E10*F10</f>
        <v/>
      </c>
    </row>
    <row r="11" ht="14" customHeight="1">
      <c r="A11" s="3" t="n">
        <v>6</v>
      </c>
      <c r="B11" s="21" t="inlineStr">
        <is>
          <t>15.160.1003</t>
        </is>
      </c>
      <c r="C11" s="18" t="inlineStr">
        <is>
          <t>Ø8-Ø12 nervürlü beton çelik çubuğu — kümes temelleri</t>
        </is>
      </c>
      <c r="D11" s="3" t="inlineStr">
        <is>
          <t>ton</t>
        </is>
      </c>
      <c r="E11" s="22" t="n">
        <v>4.1599</v>
      </c>
      <c r="F11" s="23">
        <f>IFERROR(VLOOKUP($B11,'Fiyatlar'!$A:$I,9,FALSE),0)</f>
        <v/>
      </c>
      <c r="G11" s="5">
        <f>E11*F11</f>
        <v/>
      </c>
    </row>
    <row r="12" ht="14" customHeight="1">
      <c r="A12" s="3" t="n">
        <v>7</v>
      </c>
      <c r="B12" s="21" t="inlineStr">
        <is>
          <t>15.160.1004</t>
        </is>
      </c>
      <c r="C12" s="18" t="inlineStr">
        <is>
          <t>Ø14-Ø28 nervürlü beton çelik çubuğu — kümes temelleri</t>
        </is>
      </c>
      <c r="D12" s="3" t="inlineStr">
        <is>
          <t>ton</t>
        </is>
      </c>
      <c r="E12" s="22" t="n">
        <v>7.2875</v>
      </c>
      <c r="F12" s="23">
        <f>IFERROR(VLOOKUP($B12,'Fiyatlar'!$A:$I,9,FALSE),0)</f>
        <v/>
      </c>
      <c r="G12" s="5">
        <f>E12*F12</f>
        <v/>
      </c>
    </row>
    <row r="13" ht="14" customHeight="1">
      <c r="A13" s="3" t="n">
        <v>8</v>
      </c>
      <c r="B13" s="21" t="inlineStr">
        <is>
          <t>15.160.1002</t>
        </is>
      </c>
      <c r="C13" s="18" t="inlineStr">
        <is>
          <t>Nervürlü çelik hasırın yerine konulması — kümes döşemeleri</t>
        </is>
      </c>
      <c r="D13" s="3" t="inlineStr">
        <is>
          <t>ton</t>
        </is>
      </c>
      <c r="E13" s="22" t="n">
        <v>3.6375</v>
      </c>
      <c r="F13" s="23">
        <f>IFERROR(VLOOKUP($B13,'Fiyatlar'!$A:$I,9,FALSE),0)</f>
        <v/>
      </c>
      <c r="G13" s="5">
        <f>E13*F13</f>
        <v/>
      </c>
    </row>
    <row r="14" ht="22" customHeight="1">
      <c r="A14" s="3" t="n">
        <v>9</v>
      </c>
      <c r="B14" s="21" t="inlineStr">
        <is>
          <t>15.165.1003</t>
        </is>
      </c>
      <c r="C14" s="18" t="inlineStr">
        <is>
          <t>Her çeşit profil, çelik çubuk ve saclarla karkas (çerçeve) inşaat yapılması, yerine tespiti — kümes çelik taşıyıcı sistemi</t>
        </is>
      </c>
      <c r="D14" s="3" t="inlineStr">
        <is>
          <t>ton</t>
        </is>
      </c>
      <c r="E14" s="22" t="n">
        <v>44.0481</v>
      </c>
      <c r="F14" s="23">
        <f>IFERROR(VLOOKUP($B14,'Fiyatlar'!$A:$I,9,FALSE),0)</f>
        <v/>
      </c>
      <c r="G14" s="5">
        <f>E14*F14</f>
        <v/>
      </c>
    </row>
    <row r="15" ht="22" customHeight="1">
      <c r="A15" s="3" t="n">
        <v>10</v>
      </c>
      <c r="B15" s="21" t="inlineStr">
        <is>
          <t>15.225.1010</t>
        </is>
      </c>
      <c r="C15" s="18" t="inlineStr">
        <is>
          <t>20 cm kalınlığındaki teçhizatsız gazbeton duvar blokları ile duvar yapılması (gazbeton tutkalı ile) — cephe duvarı</t>
        </is>
      </c>
      <c r="D15" s="3" t="inlineStr">
        <is>
          <t>m²</t>
        </is>
      </c>
      <c r="E15" s="22" t="n">
        <v>507.91</v>
      </c>
      <c r="F15" s="23">
        <f>IFERROR(VLOOKUP($B15,'Fiyatlar'!$A:$I,9,FALSE),0)</f>
        <v/>
      </c>
      <c r="G15" s="5">
        <f>E15*F15</f>
        <v/>
      </c>
    </row>
    <row r="16" ht="22" customHeight="1">
      <c r="A16" s="3" t="n">
        <v>11</v>
      </c>
      <c r="B16" s="21" t="inlineStr">
        <is>
          <t>15.225.1410</t>
        </is>
      </c>
      <c r="C16" s="18" t="inlineStr">
        <is>
          <t>20 cm kalınlığındaki teçhizatlı gazbeton lento temini ve yerine konulması — boşluk üstü lento ve yatay hatıl</t>
        </is>
      </c>
      <c r="D16" s="3" t="inlineStr">
        <is>
          <t>m²</t>
        </is>
      </c>
      <c r="E16" s="22" t="n">
        <v>49.85</v>
      </c>
      <c r="F16" s="23">
        <f>IFERROR(VLOOKUP($B16,'Fiyatlar'!$A:$I,9,FALSE),0)</f>
        <v/>
      </c>
      <c r="G16" s="5">
        <f>E16*F16</f>
        <v/>
      </c>
    </row>
    <row r="17" ht="14" customHeight="1">
      <c r="A17" s="3" t="n">
        <v>12</v>
      </c>
      <c r="B17" s="21" t="inlineStr">
        <is>
          <t>15.275.1116</t>
        </is>
      </c>
      <c r="C17" s="18" t="inlineStr">
        <is>
          <t>250 kg çimento dozlu harç ile kaba sıva yapılması — cephe duvarı dış yüzü</t>
        </is>
      </c>
      <c r="D17" s="3" t="inlineStr">
        <is>
          <t>m²</t>
        </is>
      </c>
      <c r="E17" s="22" t="n">
        <v>557.76</v>
      </c>
      <c r="F17" s="23">
        <f>IFERROR(VLOOKUP($B17,'Fiyatlar'!$A:$I,9,FALSE),0)</f>
        <v/>
      </c>
      <c r="G17" s="5">
        <f>E17*F17</f>
        <v/>
      </c>
    </row>
    <row r="18" ht="22" customHeight="1">
      <c r="A18" s="3" t="n">
        <v>13</v>
      </c>
      <c r="B18" s="21" t="inlineStr">
        <is>
          <t>15.275.1117</t>
        </is>
      </c>
      <c r="C18" s="18" t="inlineStr">
        <is>
          <t>200 kg çimento ve kireç karışımı harç ile kaba sıva yapılması (iç cephe) — cephe duvarı iç yüzü</t>
        </is>
      </c>
      <c r="D18" s="3" t="inlineStr">
        <is>
          <t>m²</t>
        </is>
      </c>
      <c r="E18" s="22" t="n">
        <v>557.76</v>
      </c>
      <c r="F18" s="23">
        <f>IFERROR(VLOOKUP($B18,'Fiyatlar'!$A:$I,9,FALSE),0)</f>
        <v/>
      </c>
      <c r="G18" s="5">
        <f>E18*F18</f>
        <v/>
      </c>
    </row>
    <row r="19" ht="22" customHeight="1">
      <c r="A19" s="3" t="n">
        <v>14</v>
      </c>
      <c r="B19" s="21" t="inlineStr">
        <is>
          <t>15.540.1606</t>
        </is>
      </c>
      <c r="C19" s="18" t="inlineStr">
        <is>
          <t>Brüt beton, sıvalı veya eski boyalı yüzeylere astar uygulanarak silikon esaslı su bazlı dış cephe boyası</t>
        </is>
      </c>
      <c r="D19" s="3" t="inlineStr">
        <is>
          <t>m²</t>
        </is>
      </c>
      <c r="E19" s="22" t="n">
        <v>557.76</v>
      </c>
      <c r="F19" s="23">
        <f>IFERROR(VLOOKUP($B19,'Fiyatlar'!$A:$I,9,FALSE),0)</f>
        <v/>
      </c>
      <c r="G19" s="5">
        <f>E19*F19</f>
        <v/>
      </c>
    </row>
    <row r="20" ht="22" customHeight="1">
      <c r="A20" s="3" t="n">
        <v>15</v>
      </c>
      <c r="B20" s="21" t="inlineStr">
        <is>
          <t>15.540.1537</t>
        </is>
      </c>
      <c r="C20" s="18" t="inlineStr">
        <is>
          <t>Yeni sıva yüzeylere astar uygulanarak iki kat su bazlı plastik antibakteriyel iç cephe boyası</t>
        </is>
      </c>
      <c r="D20" s="3" t="inlineStr">
        <is>
          <t>m²</t>
        </is>
      </c>
      <c r="E20" s="22" t="n">
        <v>557.76</v>
      </c>
      <c r="F20" s="23">
        <f>IFERROR(VLOOKUP($B20,'Fiyatlar'!$A:$I,9,FALSE),0)</f>
        <v/>
      </c>
      <c r="G20" s="5">
        <f>E20*F20</f>
        <v/>
      </c>
    </row>
    <row r="21" ht="14" customHeight="1">
      <c r="A21" s="3" t="n">
        <v>16</v>
      </c>
      <c r="B21" s="21" t="inlineStr">
        <is>
          <t>15.550.1202</t>
        </is>
      </c>
      <c r="C21" s="18" t="inlineStr">
        <is>
          <t>Lama ve profil demirlerden mahya, saçak ve köşe kapama profilleri</t>
        </is>
      </c>
      <c r="D21" s="3" t="inlineStr">
        <is>
          <t>kg</t>
        </is>
      </c>
      <c r="E21" s="22" t="n">
        <v>674</v>
      </c>
      <c r="F21" s="23">
        <f>IFERROR(VLOOKUP($B21,'Fiyatlar'!$A:$I,9,FALSE),0)</f>
        <v/>
      </c>
      <c r="G21" s="5">
        <f>E21*F21</f>
        <v/>
      </c>
    </row>
    <row r="22" ht="14" customHeight="1">
      <c r="A22" s="3" t="n">
        <v>17</v>
      </c>
      <c r="B22" s="21" t="inlineStr">
        <is>
          <t>TKDK-0115</t>
        </is>
      </c>
      <c r="C22" s="18" t="inlineStr">
        <is>
          <t>Galvanizli düz sacdan yağmur oluğu yapılması — dere</t>
        </is>
      </c>
      <c r="D22" s="3" t="inlineStr">
        <is>
          <t>kg</t>
        </is>
      </c>
      <c r="E22" s="22" t="n">
        <v>319.2</v>
      </c>
      <c r="F22" s="23">
        <f>IFERROR(VLOOKUP($B22,'Fiyatlar'!$A:$I,9,FALSE),0)</f>
        <v/>
      </c>
      <c r="G22" s="5">
        <f>E22*F22</f>
        <v/>
      </c>
    </row>
    <row r="23" ht="14" customHeight="1">
      <c r="A23" s="3" t="n">
        <v>18</v>
      </c>
      <c r="B23" s="21" t="inlineStr">
        <is>
          <t>15.315.1001</t>
        </is>
      </c>
      <c r="C23" s="18" t="inlineStr">
        <is>
          <t>Ø70 sert PVC yağmur suyu iniş borusu temini ve yerine tesbiti</t>
        </is>
      </c>
      <c r="D23" s="3" t="inlineStr">
        <is>
          <t>m</t>
        </is>
      </c>
      <c r="E23" s="22" t="n">
        <v>51.2</v>
      </c>
      <c r="F23" s="23">
        <f>IFERROR(VLOOKUP($B23,'Fiyatlar'!$A:$I,9,FALSE),0)</f>
        <v/>
      </c>
      <c r="G23" s="5">
        <f>E23*F23</f>
        <v/>
      </c>
    </row>
    <row r="24" ht="22" customHeight="1">
      <c r="A24" s="3" t="n">
        <v>19</v>
      </c>
      <c r="B24" s="21" t="inlineStr">
        <is>
          <t>TKDK-0151</t>
        </is>
      </c>
      <c r="C24" s="18" t="inlineStr">
        <is>
          <t>5 cm poliüretan dolgulu panel ile ısı yalıtımlı kapı yapılması — kümes servis kapısı 100/220</t>
        </is>
      </c>
      <c r="D24" s="3" t="inlineStr">
        <is>
          <t>m²</t>
        </is>
      </c>
      <c r="E24" s="22" t="n">
        <v>4.4</v>
      </c>
      <c r="F24" s="23">
        <f>IFERROR(VLOOKUP($B24,'Fiyatlar'!$A:$I,9,FALSE),0)</f>
        <v/>
      </c>
      <c r="G24" s="5">
        <f>E24*F24</f>
        <v/>
      </c>
    </row>
    <row r="25" ht="22" customHeight="1">
      <c r="A25" s="3" t="n">
        <v>20</v>
      </c>
      <c r="B25" s="21" t="inlineStr">
        <is>
          <t>TKDK-0151</t>
        </is>
      </c>
      <c r="C25" s="18" t="inlineStr">
        <is>
          <t>5 cm poliüretan dolgulu panel ile ısı yalıtımlı kapı yapılması — yükleme/temizlik kapısı 300/300 sürgülü</t>
        </is>
      </c>
      <c r="D25" s="3" t="inlineStr">
        <is>
          <t>m²</t>
        </is>
      </c>
      <c r="E25" s="22" t="n">
        <v>9</v>
      </c>
      <c r="F25" s="23">
        <f>IFERROR(VLOOKUP($B25,'Fiyatlar'!$A:$I,9,FALSE),0)</f>
        <v/>
      </c>
      <c r="G25" s="5">
        <f>E25*F25</f>
        <v/>
      </c>
    </row>
    <row r="26" ht="22" customHeight="1">
      <c r="A26" s="3" t="n">
        <v>21</v>
      </c>
      <c r="B26" s="21" t="inlineStr">
        <is>
          <t>15.225.1004</t>
        </is>
      </c>
      <c r="C26" s="18" t="inlineStr">
        <is>
          <t>10 cm kalınlığındaki teçhizatsız gazbeton duvar blokları ile bölme duvar yapılması — servis bölümü</t>
        </is>
      </c>
      <c r="D26" s="3" t="inlineStr">
        <is>
          <t>m²</t>
        </is>
      </c>
      <c r="E26" s="22" t="n">
        <v>45</v>
      </c>
      <c r="F26" s="23">
        <f>IFERROR(VLOOKUP($B26,'Fiyatlar'!$A:$I,9,FALSE),0)</f>
        <v/>
      </c>
      <c r="G26" s="5">
        <f>E26*F26</f>
        <v/>
      </c>
    </row>
    <row r="27" ht="22" customHeight="1">
      <c r="A27" s="3" t="n">
        <v>22</v>
      </c>
      <c r="B27" s="21" t="inlineStr">
        <is>
          <t>15.275.1117</t>
        </is>
      </c>
      <c r="C27" s="18" t="inlineStr">
        <is>
          <t>200 kg çimento ve kireç karışımı harç ile kaba sıva yapılması — servis bölümü bölme duvarları</t>
        </is>
      </c>
      <c r="D27" s="3" t="inlineStr">
        <is>
          <t>m²</t>
        </is>
      </c>
      <c r="E27" s="22" t="n">
        <v>90</v>
      </c>
      <c r="F27" s="23">
        <f>IFERROR(VLOOKUP($B27,'Fiyatlar'!$A:$I,9,FALSE),0)</f>
        <v/>
      </c>
      <c r="G27" s="5">
        <f>E27*F27</f>
        <v/>
      </c>
    </row>
    <row r="28" ht="22" customHeight="1">
      <c r="A28" s="3" t="n">
        <v>23</v>
      </c>
      <c r="B28" s="21" t="inlineStr">
        <is>
          <t>TKDK-0177</t>
        </is>
      </c>
      <c r="C28" s="18" t="inlineStr">
        <is>
          <t>Duvar karosu ile 3 mm derz aralıklı döşeme ve duvar kaplaması yapılması — servis bölümü</t>
        </is>
      </c>
      <c r="D28" s="3" t="inlineStr">
        <is>
          <t>m²</t>
        </is>
      </c>
      <c r="E28" s="22" t="n">
        <v>60</v>
      </c>
      <c r="F28" s="23">
        <f>IFERROR(VLOOKUP($B28,'Fiyatlar'!$A:$I,9,FALSE),0)</f>
        <v/>
      </c>
      <c r="G28" s="5">
        <f>E28*F28</f>
        <v/>
      </c>
    </row>
    <row r="29" ht="22" customHeight="1">
      <c r="A29" s="3" t="n">
        <v>24</v>
      </c>
      <c r="B29" s="21" t="inlineStr">
        <is>
          <t>15.540.1537</t>
        </is>
      </c>
      <c r="C29" s="18" t="inlineStr">
        <is>
          <t>Yeni sıva yüzeylere astar uygulanarak iki kat su bazlı plastik antibakteriyel boya — servis bölümü</t>
        </is>
      </c>
      <c r="D29" s="3" t="inlineStr">
        <is>
          <t>m²</t>
        </is>
      </c>
      <c r="E29" s="22" t="n">
        <v>55</v>
      </c>
      <c r="F29" s="23">
        <f>IFERROR(VLOOKUP($B29,'Fiyatlar'!$A:$I,9,FALSE),0)</f>
        <v/>
      </c>
      <c r="G29" s="5">
        <f>E29*F29</f>
        <v/>
      </c>
    </row>
    <row r="30" ht="22" customHeight="1">
      <c r="A30" s="3" t="n">
        <v>25</v>
      </c>
      <c r="B30" s="21" t="inlineStr">
        <is>
          <t>TKDK-0175</t>
        </is>
      </c>
      <c r="C30" s="18" t="inlineStr">
        <is>
          <t>PVC kaplamalı MDF presli iç kapı kanadı yapılması, yerinde takılması — servis bölümü</t>
        </is>
      </c>
      <c r="D30" s="3" t="inlineStr">
        <is>
          <t>m²</t>
        </is>
      </c>
      <c r="E30" s="22" t="n">
        <v>5.67</v>
      </c>
      <c r="F30" s="23">
        <f>IFERROR(VLOOKUP($B30,'Fiyatlar'!$A:$I,9,FALSE),0)</f>
        <v/>
      </c>
      <c r="G30" s="5">
        <f>E30*F30</f>
        <v/>
      </c>
    </row>
    <row r="31" ht="22" customHeight="1">
      <c r="A31" s="3" t="n">
        <v>26</v>
      </c>
      <c r="B31" s="21" t="inlineStr">
        <is>
          <t>15.550.1002</t>
        </is>
      </c>
      <c r="C31" s="18" t="inlineStr">
        <is>
          <t>1,50 mm sacdan bükme kapı kasası yapılması ve yerine konulması — servis bölümü iç kapıları</t>
        </is>
      </c>
      <c r="D31" s="3" t="inlineStr">
        <is>
          <t>kg</t>
        </is>
      </c>
      <c r="E31" s="22" t="n">
        <v>54.315</v>
      </c>
      <c r="F31" s="23">
        <f>IFERROR(VLOOKUP($B31,'Fiyatlar'!$A:$I,9,FALSE),0)</f>
        <v/>
      </c>
      <c r="G31" s="5">
        <f>E31*F31</f>
        <v/>
      </c>
    </row>
    <row r="32" ht="22" customHeight="1">
      <c r="A32" s="3" t="n">
        <v>27</v>
      </c>
      <c r="B32" s="21" t="inlineStr">
        <is>
          <t>43.527.1001</t>
        </is>
      </c>
      <c r="C32" s="18" t="inlineStr">
        <is>
          <t>ø150 HDPE koruge boru ile pissu hattı döşenmesi (SN 8, lastik conta ve boru bedeli dahil)</t>
        </is>
      </c>
      <c r="D32" s="3" t="inlineStr">
        <is>
          <t>m</t>
        </is>
      </c>
      <c r="E32" s="22" t="n">
        <v>25</v>
      </c>
      <c r="F32" s="23">
        <f>IFERROR(VLOOKUP($B32,'Fiyatlar'!$A:$I,9,FALSE),0)</f>
        <v/>
      </c>
      <c r="G32" s="5">
        <f>E32*F32</f>
        <v/>
      </c>
    </row>
    <row r="33" ht="14" customHeight="1">
      <c r="A33" s="3" t="n">
        <v>28</v>
      </c>
      <c r="B33" s="21" t="inlineStr">
        <is>
          <t>30.100.2105</t>
        </is>
      </c>
      <c r="C33" s="18" t="inlineStr">
        <is>
          <t>Kümes dağıtım panosu (sıva üstü galvanizli sac tablo, 0,40-0,50 m²)</t>
        </is>
      </c>
      <c r="D33" s="3" t="inlineStr">
        <is>
          <t>ad</t>
        </is>
      </c>
      <c r="E33" s="22" t="n">
        <v>1</v>
      </c>
      <c r="F33" s="23">
        <f>IFERROR(VLOOKUP($B33,'Fiyatlar'!$A:$I,9,FALSE),0)</f>
        <v/>
      </c>
      <c r="G33" s="5">
        <f>E33*F33</f>
        <v/>
      </c>
    </row>
    <row r="34" ht="14" customHeight="1">
      <c r="A34" s="3" t="n">
        <v>29</v>
      </c>
      <c r="B34" s="21" t="inlineStr">
        <is>
          <t>30.110.1102</t>
        </is>
      </c>
      <c r="C34" s="18" t="inlineStr">
        <is>
          <t>Termik-manyetik kompakt şalter 3x100 A, Icu 35 kA — kümes besleme</t>
        </is>
      </c>
      <c r="D34" s="3" t="inlineStr">
        <is>
          <t>ad</t>
        </is>
      </c>
      <c r="E34" s="22" t="n">
        <v>1</v>
      </c>
      <c r="F34" s="23">
        <f>IFERROR(VLOOKUP($B34,'Fiyatlar'!$A:$I,9,FALSE),0)</f>
        <v/>
      </c>
      <c r="G34" s="5">
        <f>E34*F34</f>
        <v/>
      </c>
    </row>
    <row r="35" ht="14" customHeight="1">
      <c r="A35" s="3" t="n">
        <v>30</v>
      </c>
      <c r="B35" s="21" t="inlineStr">
        <is>
          <t>30.115.1003</t>
        </is>
      </c>
      <c r="C35" s="18" t="inlineStr">
        <is>
          <t>Kaçak akım koruma şalteri 2x63 A, 30 mA</t>
        </is>
      </c>
      <c r="D35" s="3" t="inlineStr">
        <is>
          <t>ad</t>
        </is>
      </c>
      <c r="E35" s="22" t="n">
        <v>2</v>
      </c>
      <c r="F35" s="23">
        <f>IFERROR(VLOOKUP($B35,'Fiyatlar'!$A:$I,9,FALSE),0)</f>
        <v/>
      </c>
      <c r="G35" s="5">
        <f>E35*F35</f>
        <v/>
      </c>
    </row>
    <row r="36" ht="14" customHeight="1">
      <c r="A36" s="3" t="n">
        <v>31</v>
      </c>
      <c r="B36" s="21" t="inlineStr">
        <is>
          <t>30.140.3104</t>
        </is>
      </c>
      <c r="C36" s="18" t="inlineStr">
        <is>
          <t>YVV (NYY) 1 kV yeraltı kablosu ile kolon hattı tesisi — 1x25 mm²</t>
        </is>
      </c>
      <c r="D36" s="3" t="inlineStr">
        <is>
          <t>m</t>
        </is>
      </c>
      <c r="E36" s="22" t="n">
        <v>300</v>
      </c>
      <c r="F36" s="23">
        <f>IFERROR(VLOOKUP($B36,'Fiyatlar'!$A:$I,9,FALSE),0)</f>
        <v/>
      </c>
      <c r="G36" s="5">
        <f>E36*F36</f>
        <v/>
      </c>
    </row>
    <row r="37" ht="22" customHeight="1">
      <c r="A37" s="3" t="n">
        <v>32</v>
      </c>
      <c r="B37" s="21" t="inlineStr">
        <is>
          <t>30.170.1602</t>
        </is>
      </c>
      <c r="C37" s="18" t="inlineStr">
        <is>
          <t>LED sıva üstü etanj armatür (polikarbon gövdeli), ışık akısı en az 2700 lm — kümes genel aydınlatması</t>
        </is>
      </c>
      <c r="D37" s="3" t="inlineStr">
        <is>
          <t>ad</t>
        </is>
      </c>
      <c r="E37" s="22" t="n">
        <v>30</v>
      </c>
      <c r="F37" s="23">
        <f>IFERROR(VLOOKUP($B37,'Fiyatlar'!$A:$I,9,FALSE),0)</f>
        <v/>
      </c>
      <c r="G37" s="5">
        <f>E37*F37</f>
        <v/>
      </c>
    </row>
    <row r="38" ht="22" customHeight="1">
      <c r="A38" s="3" t="n">
        <v>33</v>
      </c>
      <c r="B38" s="21" t="inlineStr">
        <is>
          <t>30.170.1601</t>
        </is>
      </c>
      <c r="C38" s="18" t="inlineStr">
        <is>
          <t>LED sıva üstü etanj armatür (polikarbon gövdeli), ışık akısı en az 1800 lm — servis bölümü</t>
        </is>
      </c>
      <c r="D38" s="3" t="inlineStr">
        <is>
          <t>ad</t>
        </is>
      </c>
      <c r="E38" s="22" t="n">
        <v>2</v>
      </c>
      <c r="F38" s="23">
        <f>IFERROR(VLOOKUP($B38,'Fiyatlar'!$A:$I,9,FALSE),0)</f>
        <v/>
      </c>
      <c r="G38" s="5">
        <f>E38*F38</f>
        <v/>
      </c>
    </row>
    <row r="39" ht="14" customHeight="1">
      <c r="A39" s="3" t="n">
        <v>34</v>
      </c>
      <c r="B39" s="21" t="inlineStr">
        <is>
          <t>30.160.6102</t>
        </is>
      </c>
      <c r="C39" s="18" t="inlineStr">
        <is>
          <t>Boş boru döşemesi — 25-32 mm PVC boru</t>
        </is>
      </c>
      <c r="D39" s="3" t="inlineStr">
        <is>
          <t>m</t>
        </is>
      </c>
      <c r="E39" s="22" t="n">
        <v>500</v>
      </c>
      <c r="F39" s="23">
        <f>IFERROR(VLOOKUP($B39,'Fiyatlar'!$A:$I,9,FALSE),0)</f>
        <v/>
      </c>
      <c r="G39" s="5">
        <f>E39*F39</f>
        <v/>
      </c>
    </row>
    <row r="40" ht="14" customHeight="1">
      <c r="A40" s="3" t="n">
        <v>35</v>
      </c>
      <c r="B40" s="21" t="inlineStr">
        <is>
          <t>30.150.1402</t>
        </is>
      </c>
      <c r="C40" s="18" t="inlineStr">
        <is>
          <t>Halojensiz H07Z tipi iletken 1x2,5 mm² ile tesisat</t>
        </is>
      </c>
      <c r="D40" s="3" t="inlineStr">
        <is>
          <t>m</t>
        </is>
      </c>
      <c r="E40" s="22" t="n">
        <v>2000</v>
      </c>
      <c r="F40" s="23">
        <f>IFERROR(VLOOKUP($B40,'Fiyatlar'!$A:$I,9,FALSE),0)</f>
        <v/>
      </c>
      <c r="G40" s="5">
        <f>E40*F40</f>
        <v/>
      </c>
    </row>
    <row r="41" ht="14" customHeight="1">
      <c r="A41" s="3" t="n">
        <v>36</v>
      </c>
      <c r="B41" s="21" t="inlineStr">
        <is>
          <t>30.150.1401</t>
        </is>
      </c>
      <c r="C41" s="18" t="inlineStr">
        <is>
          <t>Halojensiz H07Z tipi iletken 1x1,5 mm² ile kumanda tesisatı</t>
        </is>
      </c>
      <c r="D41" s="3" t="inlineStr">
        <is>
          <t>m</t>
        </is>
      </c>
      <c r="E41" s="22" t="n">
        <v>600</v>
      </c>
      <c r="F41" s="23">
        <f>IFERROR(VLOOKUP($B41,'Fiyatlar'!$A:$I,9,FALSE),0)</f>
        <v/>
      </c>
      <c r="G41" s="5">
        <f>E41*F41</f>
        <v/>
      </c>
    </row>
    <row r="42" ht="14" customHeight="1">
      <c r="A42" s="3" t="n">
        <v>37</v>
      </c>
      <c r="B42" s="21" t="inlineStr">
        <is>
          <t>30.140.1105</t>
        </is>
      </c>
      <c r="C42" s="18" t="inlineStr">
        <is>
          <t>Çıplak bakır tel 25 mm² — eşpotansiyel bara ve topraklama iletkeni</t>
        </is>
      </c>
      <c r="D42" s="3" t="inlineStr">
        <is>
          <t>m</t>
        </is>
      </c>
      <c r="E42" s="22" t="n">
        <v>100</v>
      </c>
      <c r="F42" s="23">
        <f>IFERROR(VLOOKUP($B42,'Fiyatlar'!$A:$I,9,FALSE),0)</f>
        <v/>
      </c>
      <c r="G42" s="5">
        <f>E42*F42</f>
        <v/>
      </c>
    </row>
    <row r="43" ht="14" customHeight="1">
      <c r="A43" s="3" t="n">
        <v>38</v>
      </c>
      <c r="B43" s="21" t="inlineStr">
        <is>
          <t>30.750.3002</t>
        </is>
      </c>
      <c r="C43" s="18" t="inlineStr">
        <is>
          <t>Bina ihata iletkeni tesisatı — 30x3,5 mm galvanizli çelik lama (temel topraklaması)</t>
        </is>
      </c>
      <c r="D43" s="3" t="inlineStr">
        <is>
          <t>m</t>
        </is>
      </c>
      <c r="E43" s="22" t="n">
        <v>186</v>
      </c>
      <c r="F43" s="23">
        <f>IFERROR(VLOOKUP($B43,'Fiyatlar'!$A:$I,9,FALSE),0)</f>
        <v/>
      </c>
      <c r="G43" s="5">
        <f>E43*F43</f>
        <v/>
      </c>
    </row>
    <row r="44" ht="14" customHeight="1">
      <c r="A44" s="3" t="n">
        <v>39</v>
      </c>
      <c r="B44" s="21" t="inlineStr">
        <is>
          <t>30.750.1502</t>
        </is>
      </c>
      <c r="C44" s="18" t="inlineStr">
        <is>
          <t>Aktif yakalama ucu, ortalama uyarım yolu DL = 30-40 m</t>
        </is>
      </c>
      <c r="D44" s="3" t="inlineStr">
        <is>
          <t>ad</t>
        </is>
      </c>
      <c r="E44" s="22" t="n">
        <v>1</v>
      </c>
      <c r="F44" s="23">
        <f>IFERROR(VLOOKUP($B44,'Fiyatlar'!$A:$I,9,FALSE),0)</f>
        <v/>
      </c>
      <c r="G44" s="5">
        <f>E44*F44</f>
        <v/>
      </c>
    </row>
    <row r="45" ht="14" customHeight="1">
      <c r="A45" s="3" t="n">
        <v>40</v>
      </c>
      <c r="B45" s="21" t="inlineStr">
        <is>
          <t>30.750.2001</t>
        </is>
      </c>
      <c r="C45" s="18" t="inlineStr">
        <is>
          <t>Çatı ihata ve indirme iletkeni tesisatı — 50 mm² elektrolitik bakır tel</t>
        </is>
      </c>
      <c r="D45" s="3" t="inlineStr">
        <is>
          <t>m</t>
        </is>
      </c>
      <c r="E45" s="22" t="n">
        <v>16</v>
      </c>
      <c r="F45" s="23">
        <f>IFERROR(VLOOKUP($B45,'Fiyatlar'!$A:$I,9,FALSE),0)</f>
        <v/>
      </c>
      <c r="G45" s="5">
        <f>E45*F45</f>
        <v/>
      </c>
    </row>
    <row r="46" ht="22" customHeight="1">
      <c r="A46" s="3" t="n">
        <v>41</v>
      </c>
      <c r="B46" s="21" t="inlineStr">
        <is>
          <t>30.740.1106</t>
        </is>
      </c>
      <c r="C46" s="18" t="inlineStr">
        <is>
          <t>Dizel elektrojen grubu (jeneratör) 63 kVA / 50 kW — dizel motoru su veya hava ile soğuyan cinsten, 1500 d/dak</t>
        </is>
      </c>
      <c r="D46" s="3" t="inlineStr">
        <is>
          <t>ad</t>
        </is>
      </c>
      <c r="E46" s="22" t="n">
        <v>1</v>
      </c>
      <c r="F46" s="23">
        <f>IFERROR(VLOOKUP($B46,'Fiyatlar'!$A:$I,9,FALSE),0)</f>
        <v/>
      </c>
      <c r="G46" s="5">
        <f>E46*F46</f>
        <v/>
      </c>
    </row>
    <row r="47" ht="14" customHeight="1">
      <c r="A47" s="3" t="n">
        <v>42</v>
      </c>
      <c r="B47" s="21" t="inlineStr">
        <is>
          <t>30.740.5406</t>
        </is>
      </c>
      <c r="C47" s="18" t="inlineStr">
        <is>
          <t>Jeneratör ses izolasyon kabini — 63 kVA</t>
        </is>
      </c>
      <c r="D47" s="3" t="inlineStr">
        <is>
          <t>ad</t>
        </is>
      </c>
      <c r="E47" s="22" t="n">
        <v>1</v>
      </c>
      <c r="F47" s="23">
        <f>IFERROR(VLOOKUP($B47,'Fiyatlar'!$A:$I,9,FALSE),0)</f>
        <v/>
      </c>
      <c r="G47" s="5">
        <f>E47*F47</f>
        <v/>
      </c>
    </row>
    <row r="48">
      <c r="A48" s="7" t="n"/>
      <c r="B48" s="7" t="n"/>
      <c r="C48" s="24" t="inlineStr">
        <is>
          <t>ARA TOPLAM (KDV hariç)</t>
        </is>
      </c>
      <c r="D48" s="7" t="n"/>
      <c r="E48" s="7" t="n"/>
      <c r="F48" s="7" t="n"/>
      <c r="G48" s="9">
        <f>SUM(G6:G47)</f>
        <v/>
      </c>
    </row>
    <row r="49">
      <c r="A49" s="4" t="n"/>
      <c r="B49" s="4" t="n"/>
      <c r="C49" s="25" t="inlineStr">
        <is>
          <t>KDV</t>
        </is>
      </c>
      <c r="D49" s="4" t="n"/>
      <c r="E49" s="4" t="n"/>
      <c r="F49" s="4" t="n"/>
      <c r="G49" s="5">
        <f>G48*'Fiyatlar'!$F$3</f>
        <v/>
      </c>
    </row>
    <row r="50">
      <c r="A50" s="11" t="n"/>
      <c r="B50" s="11" t="n"/>
      <c r="C50" s="26" t="inlineStr">
        <is>
          <t>TEKLİF BEDELİ (KDV dâhil)</t>
        </is>
      </c>
      <c r="D50" s="11" t="n"/>
      <c r="E50" s="11" t="n"/>
      <c r="F50" s="11" t="n"/>
      <c r="G50" s="13">
        <f>G48+G49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2026-08-29T08:12:37Z</dcterms:created>
  <dcterms:modified xmlns:dcterms="http://purl.org/dc/terms/" xmlns:xsi="http://www.w3.org/2001/XMLSchema-instance" xsi:type="dcterms:W3CDTF">2026-08-29T08:12:37Z</dcterms:modified>
</cp:coreProperties>
</file>