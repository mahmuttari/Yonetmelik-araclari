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2" t="n">
        <v>502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2" t="n">
        <v>361.2</v>
      </c>
      <c r="F46" s="23">
        <f>IFERROR(VLOOKUP($B46,'Fiyatlar'!$A:$I,9,FALSE),0)</f>
        <v/>
      </c>
      <c r="G46" s="5">
        <f>ROUND(E46*F46,2)</f>
        <v/>
      </c>
    </row>
    <row r="47" ht="22" customHeight="1">
      <c r="A47" s="3" t="n">
        <v>42</v>
      </c>
      <c r="B47" s="21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2" t="n">
        <v>361.2</v>
      </c>
      <c r="F47" s="23">
        <f>IFERROR(VLOOKUP($B47,'Fiyatlar'!$A:$I,9,FALSE),0)</f>
        <v/>
      </c>
      <c r="G47" s="5">
        <f>ROUND(E47*F47,2)</f>
        <v/>
      </c>
    </row>
    <row r="48" ht="22" customHeight="1">
      <c r="A48" s="3" t="n">
        <v>43</v>
      </c>
      <c r="B48" s="21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2" t="n">
        <v>123</v>
      </c>
      <c r="F48" s="23">
        <f>IFERROR(VLOOKUP($B48,'Fiyatlar'!$A:$I,9,FALSE),0)</f>
        <v/>
      </c>
      <c r="G48" s="5">
        <f>ROUND(E48*F48,2)</f>
        <v/>
      </c>
    </row>
    <row r="49">
      <c r="A49" s="7" t="n"/>
      <c r="B49" s="7" t="n"/>
      <c r="C49" s="24" t="inlineStr">
        <is>
          <t>ARA TOPLAM (KDV hariç)</t>
        </is>
      </c>
      <c r="D49" s="7" t="n"/>
      <c r="E49" s="7" t="n"/>
      <c r="F49" s="7" t="n"/>
      <c r="G49" s="9">
        <f>SUM(G6:G48)</f>
        <v/>
      </c>
    </row>
    <row r="50">
      <c r="A50" s="4" t="n"/>
      <c r="B50" s="4" t="n"/>
      <c r="C50" s="25" t="inlineStr">
        <is>
          <t>KDV</t>
        </is>
      </c>
      <c r="D50" s="4" t="n"/>
      <c r="E50" s="4" t="n"/>
      <c r="F50" s="4" t="n"/>
      <c r="G50" s="5">
        <f>G49*'Fiyatlar'!$F$3</f>
        <v/>
      </c>
    </row>
    <row r="51">
      <c r="A51" s="11" t="n"/>
      <c r="B51" s="11" t="n"/>
      <c r="C51" s="26" t="inlineStr">
        <is>
          <t>TEKLİF BEDELİ (KDV dâhil)</t>
        </is>
      </c>
      <c r="D51" s="11" t="n"/>
      <c r="E51" s="11" t="n"/>
      <c r="F51" s="11" t="n"/>
      <c r="G51" s="13">
        <f>G49+G50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2026-08-29T16:24:04Z</dcterms:created>
  <dcterms:modified xmlns:dcterms="http://purl.org/dc/terms/" xmlns:xsi="http://www.w3.org/2001/XMLSchema-instance" xsi:type="dcterms:W3CDTF">2026-08-29T16:24:04Z</dcterms:modified>
</cp:coreProperties>
</file>