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14" customHeight="1">
      <c r="A19" s="17" t="inlineStr">
        <is>
          <t>15.315.1001</t>
        </is>
      </c>
      <c r="B19" s="18" t="inlineStr">
        <is>
          <t>Ø70 sert PVC yağmur suyu iniş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14" customHeight="1">
      <c r="A26" s="17" t="inlineStr">
        <is>
          <t>30.115.1003</t>
        </is>
      </c>
      <c r="B26" s="18" t="inlineStr">
        <is>
          <t>Kaçak akım koruma şalteri 2x63 A, 30 mA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14" customHeight="1">
      <c r="A29" s="17" t="inlineStr">
        <is>
          <t>30.150.1401</t>
        </is>
      </c>
      <c r="B29" s="18" t="inlineStr">
        <is>
          <t>Halojensiz H07Z tipi iletken 1x1,5 mm² ile kumanda tesisatı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14" customHeight="1">
      <c r="A30" s="17" t="inlineStr">
        <is>
          <t>30.150.1402</t>
        </is>
      </c>
      <c r="B30" s="18" t="inlineStr">
        <is>
          <t>Halojensiz H07Z tipi iletken 1x2,5 mm² ile tesisat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14" customHeight="1">
      <c r="A31" s="17" t="inlineStr">
        <is>
          <t>30.160.6102</t>
        </is>
      </c>
      <c r="B31" s="18" t="inlineStr">
        <is>
          <t>Boş boru döşemesi — 25-32 mm PVC boru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22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14" customHeight="1">
      <c r="A35" s="17" t="inlineStr">
        <is>
          <t>30.740.5406</t>
        </is>
      </c>
      <c r="B35" s="18" t="inlineStr">
        <is>
          <t>Jeneratör ses izolasyon kabini — 63 kVA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14" customHeight="1">
      <c r="A36" s="17" t="inlineStr">
        <is>
          <t>30.750.1502</t>
        </is>
      </c>
      <c r="B36" s="18" t="inlineStr">
        <is>
          <t>Aktif yakalama ucu, ortalama uyarım yolu DL = 30-40 m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43.527.1001</t>
        </is>
      </c>
      <c r="B39" s="18" t="inlineStr">
        <is>
          <t>ø150 HDPE koruge boru ile pissu hattı döşenmesi (SN 8, lastik conta ve boru bedeli dahil)</t>
        </is>
      </c>
      <c r="C39" s="3" t="inlineStr">
        <is>
          <t>m</t>
        </is>
      </c>
      <c r="D39" s="5" t="n">
        <v>393.69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330.7</v>
      </c>
    </row>
    <row r="40" ht="14" customHeight="1">
      <c r="A40" s="17" t="inlineStr">
        <is>
          <t>TKDK-0115</t>
        </is>
      </c>
      <c r="B40" s="18" t="inlineStr">
        <is>
          <t>Galvanizli düz sacdan yağmur oluğu yapılması — dere</t>
        </is>
      </c>
      <c r="C40" s="3" t="inlineStr">
        <is>
          <t>kg</t>
        </is>
      </c>
      <c r="D40" s="5" t="n">
        <v>271.25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227.85</v>
      </c>
    </row>
    <row r="41" ht="22" customHeight="1">
      <c r="A41" s="17" t="inlineStr">
        <is>
          <t>TKDK-0151</t>
        </is>
      </c>
      <c r="B41" s="18" t="inlineStr">
        <is>
          <t>5 cm poliüretan dolgulu panel ile ısı yalıtımlı kapı yapılması — kümes servis kapısı 100/220</t>
        </is>
      </c>
      <c r="C41" s="3" t="inlineStr">
        <is>
          <t>m²</t>
        </is>
      </c>
      <c r="D41" s="5" t="n">
        <v>1035.88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870.14</v>
      </c>
    </row>
    <row r="42" ht="22" customHeight="1">
      <c r="A42" s="17" t="inlineStr">
        <is>
          <t>TKDK-0175</t>
        </is>
      </c>
      <c r="B42" s="18" t="inlineStr">
        <is>
          <t>PVC kaplamalı MDF presli iç kapı kanadı yapılması, yerinde takılması — servis bölümü</t>
        </is>
      </c>
      <c r="C42" s="3" t="inlineStr">
        <is>
          <t>m²</t>
        </is>
      </c>
      <c r="D42" s="5" t="n">
        <v>3199.68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2687.73</v>
      </c>
    </row>
    <row r="43" ht="22" customHeight="1">
      <c r="A43" s="17" t="inlineStr">
        <is>
          <t>TKDK-0177</t>
        </is>
      </c>
      <c r="B43" s="18" t="inlineStr">
        <is>
          <t>Duvar karosu ile 3 mm derz aralıklı döşeme ve duvar kaplaması yapılması — servis bölümü</t>
        </is>
      </c>
      <c r="C43" s="3" t="inlineStr">
        <is>
          <t>m²</t>
        </is>
      </c>
      <c r="D43" s="5" t="n">
        <v>835.1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ROUND(E6*F6,2)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ROUND(E9*F9,2)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ROUND(E10*F10,2)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7.288</v>
      </c>
      <c r="F12" s="23">
        <f>IFERROR(VLOOKUP($B12,'Fiyatlar'!$A:$I,9,FALSE),0)</f>
        <v/>
      </c>
      <c r="G12" s="5">
        <f>ROUND(E12*F12,2)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ROUND(E13*F13,2)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ROUND(E17*F17,2)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ROUND(E18*F18,2)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ROUND(E20*F20,2)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ROUND(E21*F21,2)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ROUND(E23*F23,2)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ROUND(E26*F26,2)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ROUND(E27*F27,2)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ROUND(E30*F30,2)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ROUND(E32*F32,2)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ROUND(E33*F33,2)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ROUND(E38*F38,2)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ROUND(E40*F40,2)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ROUND(E41*F41,2)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ROUND(E43*F43,2)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ROUND(E44*F44,2)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ROUND(E46*F46,2)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ROUND(E47*F47,2)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ROUND(E6*F6,2)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ROUND(E9*F9,2)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ROUND(E10*F10,2)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7.288</v>
      </c>
      <c r="F12" s="23">
        <f>IFERROR(VLOOKUP($B12,'Fiyatlar'!$A:$I,9,FALSE),0)</f>
        <v/>
      </c>
      <c r="G12" s="5">
        <f>ROUND(E12*F12,2)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ROUND(E13*F13,2)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ROUND(E17*F17,2)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ROUND(E18*F18,2)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ROUND(E20*F20,2)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ROUND(E21*F21,2)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ROUND(E23*F23,2)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ROUND(E26*F26,2)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ROUND(E27*F27,2)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ROUND(E30*F30,2)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ROUND(E32*F32,2)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ROUND(E33*F33,2)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ROUND(E38*F38,2)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ROUND(E40*F40,2)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ROUND(E41*F41,2)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ROUND(E43*F43,2)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ROUND(E44*F44,2)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ROUND(E46*F46,2)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ROUND(E47*F47,2)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2026-08-29T11:16:40Z</dcterms:created>
  <dcterms:modified xmlns:dcterms="http://purl.org/dc/terms/" xmlns:xsi="http://www.w3.org/2001/XMLSchema-instance" xsi:type="dcterms:W3CDTF">2026-08-29T11:16:40Z</dcterms:modified>
</cp:coreProperties>
</file>