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4" fillId="2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TEKLİF İCMALİ — MAFREN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Blok'!$G$46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Blok'!$G$46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TEKLİF BİRİM FİYATLARI</t>
        </is>
      </c>
    </row>
    <row r="2">
      <c r="A2" s="14" t="inlineStr">
        <is>
          <t>Fiyat soldan sağa türer: kitap fiyatı -&gt; %16 tenzilat -&gt; tenzilatlı fiyat; teklif fiyatı TKDK birim fiyatının %85'ini aşamaz. Sarı hücreler değiştirilebilir; teklif fiyatındaki her değişiklik bütün yapı sekmelerine ve icmale aynı anda yansır. Fiyatlar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TEKLİF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kazı yapılması — kümes A ve B blok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14" customHeight="1">
      <c r="A7" s="17" t="inlineStr">
        <is>
          <t>15.150.1003</t>
        </is>
      </c>
      <c r="B7" s="18" t="inlineStr">
        <is>
          <t>C 16/20 hazır beton dökülmesi — kümes temel altı grobeton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22" customHeight="1">
      <c r="A8" s="17" t="inlineStr">
        <is>
          <t>15.150.1005</t>
        </is>
      </c>
      <c r="B8" s="18" t="inlineStr">
        <is>
          <t>C 25/30 hazır beton dökülmesi — kümes şerit temel ve bağ kirişleri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 — kümes döşemeleri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14" customHeight="1">
      <c r="A10" s="17" t="inlineStr">
        <is>
          <t>15.160.1003</t>
        </is>
      </c>
      <c r="B10" s="18" t="inlineStr">
        <is>
          <t>Ø8-Ø12 nervürlü beton çelik çubuğu — kümes temelleri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14" customHeight="1">
      <c r="A11" s="17" t="inlineStr">
        <is>
          <t>15.160.1004</t>
        </is>
      </c>
      <c r="B11" s="18" t="inlineStr">
        <is>
          <t>Ø14-Ø28 nervürlü beton çelik çubuğu — kümes temelleri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saclarla karkas (çerçeve) inşaat yapılması, yerine tespiti — kümes çelik taşıyıcı sistemi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— kümes temelleri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bölme duvar yapılması — servis bölümü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 — cephe duvarı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 — boşluk üstü lento ve yatay hatıl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22" customHeight="1">
      <c r="A17" s="17" t="inlineStr">
        <is>
          <t>15.275.1116</t>
        </is>
      </c>
      <c r="B17" s="18" t="inlineStr">
        <is>
          <t>250 kg çimento dozlu harç ile kaba sıva yapılması — cephe duvarı dış yüzü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 — cephe duvarı iç yüzü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14" customHeight="1">
      <c r="A19" s="17" t="inlineStr">
        <is>
          <t>15.315.1001</t>
        </is>
      </c>
      <c r="B19" s="18" t="inlineStr">
        <is>
          <t>Ø70 sert PVC yağmur suyu iniş borusu temini ve yerine tesbiti</t>
        </is>
      </c>
      <c r="C19" s="3" t="inlineStr">
        <is>
          <t>m</t>
        </is>
      </c>
      <c r="D19" s="5" t="n">
        <v>207.41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174.22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sacdan bükme kapı kasası yapılması ve yerine konulması — servis bölümü iç kapıları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mahya, saçak ve köşe kapama profilleri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22" customHeight="1">
      <c r="A24" s="17" t="inlineStr">
        <is>
          <t>30.100.2105</t>
        </is>
      </c>
      <c r="B24" s="18" t="inlineStr">
        <is>
          <t>Kümes dağıtım panosu (sıva üstü galvanizli sac tablo, 0,40-0,50 m²)</t>
        </is>
      </c>
      <c r="C24" s="3" t="inlineStr">
        <is>
          <t>ad</t>
        </is>
      </c>
      <c r="D24" s="5" t="n">
        <v>8433.52</v>
      </c>
      <c r="E24" s="19" t="inlineStr">
        <is>
          <t>ÇŞB 2026 Haziran elektrik rayici x 1,25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7084.16</v>
      </c>
    </row>
    <row r="25" ht="22" customHeight="1">
      <c r="A25" s="17" t="inlineStr">
        <is>
          <t>30.110.1102</t>
        </is>
      </c>
      <c r="B25" s="18" t="inlineStr">
        <is>
          <t>Termik-manyetik kompakt şalter 3x100 A, Icu 35 kA — kümes besleme</t>
        </is>
      </c>
      <c r="C25" s="3" t="inlineStr">
        <is>
          <t>ad</t>
        </is>
      </c>
      <c r="D25" s="5" t="n">
        <v>4200.06</v>
      </c>
      <c r="E25" s="19" t="inlineStr">
        <is>
          <t>ÇŞB 2026 Haziran elektrik rayici x 1,25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3528.05</v>
      </c>
    </row>
    <row r="26" ht="14" customHeight="1">
      <c r="A26" s="17" t="inlineStr">
        <is>
          <t>30.115.1003</t>
        </is>
      </c>
      <c r="B26" s="18" t="inlineStr">
        <is>
          <t>Kaçak akım koruma şalteri 2x63 A, 30 mA</t>
        </is>
      </c>
      <c r="C26" s="3" t="inlineStr">
        <is>
          <t>ad</t>
        </is>
      </c>
      <c r="D26" s="5" t="n">
        <v>1284.76</v>
      </c>
      <c r="E26" s="19" t="inlineStr">
        <is>
          <t>ÇŞB 2026 Haziran elektrik rayici x 1,25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1079.2</v>
      </c>
    </row>
    <row r="27" ht="22" customHeight="1">
      <c r="A27" s="17" t="inlineStr">
        <is>
          <t>30.140.1105</t>
        </is>
      </c>
      <c r="B27" s="18" t="inlineStr">
        <is>
          <t>Çıplak bakır tel 25 mm² — eşpotansiyel bara ve topraklama iletkeni</t>
        </is>
      </c>
      <c r="C27" s="3" t="inlineStr">
        <is>
          <t>m</t>
        </is>
      </c>
      <c r="D27" s="5" t="n">
        <v>186.96</v>
      </c>
      <c r="E27" s="19" t="inlineStr">
        <is>
          <t>ÇŞB 2026 Haziran elektrik rayici x 1,25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157.05</v>
      </c>
    </row>
    <row r="28" ht="22" customHeight="1">
      <c r="A28" s="17" t="inlineStr">
        <is>
          <t>30.140.3104</t>
        </is>
      </c>
      <c r="B28" s="18" t="inlineStr">
        <is>
          <t>YVV (NYY) 1 kV yeraltı kablosu ile kolon hattı tesisi — 1x25 mm²</t>
        </is>
      </c>
      <c r="C28" s="3" t="inlineStr">
        <is>
          <t>m</t>
        </is>
      </c>
      <c r="D28" s="5" t="n">
        <v>238.1</v>
      </c>
      <c r="E28" s="19" t="inlineStr">
        <is>
          <t>ÇŞB 2026 Haziran elektrik rayici x 1,25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200</v>
      </c>
    </row>
    <row r="29" ht="14" customHeight="1">
      <c r="A29" s="17" t="inlineStr">
        <is>
          <t>30.150.1401</t>
        </is>
      </c>
      <c r="B29" s="18" t="inlineStr">
        <is>
          <t>Halojensiz H07Z tipi iletken 1x1,5 mm² ile kumanda tesisatı</t>
        </is>
      </c>
      <c r="C29" s="3" t="inlineStr">
        <is>
          <t>m</t>
        </is>
      </c>
      <c r="D29" s="5" t="n">
        <v>14.55</v>
      </c>
      <c r="E29" s="19" t="inlineStr">
        <is>
          <t>ÇŞB 2026 Haziran elektrik rayici x 1,25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12.22</v>
      </c>
    </row>
    <row r="30" ht="14" customHeight="1">
      <c r="A30" s="17" t="inlineStr">
        <is>
          <t>30.150.1402</t>
        </is>
      </c>
      <c r="B30" s="18" t="inlineStr">
        <is>
          <t>Halojensiz H07Z tipi iletken 1x2,5 mm² ile tesisat</t>
        </is>
      </c>
      <c r="C30" s="3" t="inlineStr">
        <is>
          <t>m</t>
        </is>
      </c>
      <c r="D30" s="5" t="n">
        <v>23.21</v>
      </c>
      <c r="E30" s="19" t="inlineStr">
        <is>
          <t>ÇŞB 2026 Haziran elektrik rayici x 1,25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19.5</v>
      </c>
    </row>
    <row r="31" ht="14" customHeight="1">
      <c r="A31" s="17" t="inlineStr">
        <is>
          <t>30.160.6102</t>
        </is>
      </c>
      <c r="B31" s="18" t="inlineStr">
        <is>
          <t>Boş boru döşemesi — 25-32 mm PVC boru</t>
        </is>
      </c>
      <c r="C31" s="3" t="inlineStr">
        <is>
          <t>m</t>
        </is>
      </c>
      <c r="D31" s="5" t="n">
        <v>34.59</v>
      </c>
      <c r="E31" s="19" t="inlineStr">
        <is>
          <t>ÇŞB 2026 Haziran elektrik rayici x 1,25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29.06</v>
      </c>
    </row>
    <row r="32" ht="22" customHeight="1">
      <c r="A32" s="17" t="inlineStr">
        <is>
          <t>30.170.1601</t>
        </is>
      </c>
      <c r="B32" s="18" t="inlineStr">
        <is>
          <t>LED sıva üstü etanj armatür (polikarbon gövdeli), ışık akısı en az 1800 lm — servis bölümü</t>
        </is>
      </c>
      <c r="C32" s="3" t="inlineStr">
        <is>
          <t>ad</t>
        </is>
      </c>
      <c r="D32" s="5" t="n">
        <v>1632.1</v>
      </c>
      <c r="E32" s="19" t="inlineStr">
        <is>
          <t>ÇŞB 2026 Haziran elektrik rayici x 1,25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1370.96</v>
      </c>
    </row>
    <row r="33" ht="22" customHeight="1">
      <c r="A33" s="17" t="inlineStr">
        <is>
          <t>30.170.1602</t>
        </is>
      </c>
      <c r="B33" s="18" t="inlineStr">
        <is>
          <t>LED sıva üstü etanj armatür (polikarbon gövdeli), ışık akısı en az 2700 lm — kümes genel aydınlatması</t>
        </is>
      </c>
      <c r="C33" s="3" t="inlineStr">
        <is>
          <t>ad</t>
        </is>
      </c>
      <c r="D33" s="5" t="n">
        <v>2376.28</v>
      </c>
      <c r="E33" s="19" t="inlineStr">
        <is>
          <t>ÇŞB 2026 Haziran elektrik rayici x 1,25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1996.08</v>
      </c>
    </row>
    <row r="34" ht="14" customHeight="1">
      <c r="A34" s="17" t="inlineStr">
        <is>
          <t>30.750.1502</t>
        </is>
      </c>
      <c r="B34" s="18" t="inlineStr">
        <is>
          <t>Aktif yakalama ucu, ortalama uyarım yolu DL = 30-40 m</t>
        </is>
      </c>
      <c r="C34" s="3" t="inlineStr">
        <is>
          <t>ad</t>
        </is>
      </c>
      <c r="D34" s="5" t="n">
        <v>18566.2</v>
      </c>
      <c r="E34" s="19" t="inlineStr">
        <is>
          <t>ÇŞB 2026 Haziran elektrik rayici x 1,25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15595.61</v>
      </c>
    </row>
    <row r="35" ht="22" customHeight="1">
      <c r="A35" s="17" t="inlineStr">
        <is>
          <t>30.750.2001</t>
        </is>
      </c>
      <c r="B35" s="18" t="inlineStr">
        <is>
          <t>Çatı ihata ve indirme iletkeni tesisatı — 50 mm² elektrolitik bakır tel</t>
        </is>
      </c>
      <c r="C35" s="3" t="inlineStr">
        <is>
          <t>m</t>
        </is>
      </c>
      <c r="D35" s="5" t="n">
        <v>508</v>
      </c>
      <c r="E35" s="19" t="inlineStr">
        <is>
          <t>ÇŞB 2026 Haziran elektrik rayici x 1,25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426.72</v>
      </c>
    </row>
    <row r="36" ht="22" customHeight="1">
      <c r="A36" s="17" t="inlineStr">
        <is>
          <t>30.750.3002</t>
        </is>
      </c>
      <c r="B36" s="18" t="inlineStr">
        <is>
          <t>Bina ihata iletkeni tesisatı — 30x3,5 mm galvanizli çelik lama (temel topraklaması)</t>
        </is>
      </c>
      <c r="C36" s="3" t="inlineStr">
        <is>
          <t>m</t>
        </is>
      </c>
      <c r="D36" s="5" t="n">
        <v>138.05</v>
      </c>
      <c r="E36" s="19" t="inlineStr">
        <is>
          <t>ÇŞB 2026 Haziran elektrik rayici x 1,25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115.96</v>
      </c>
    </row>
    <row r="37" ht="22" customHeight="1">
      <c r="A37" s="17" t="inlineStr">
        <is>
          <t>43.527.1001</t>
        </is>
      </c>
      <c r="B37" s="18" t="inlineStr">
        <is>
          <t>ø150 HDPE koruge boru ile pissu hattı döşenmesi (SN 8, lastik conta ve boru bedeli dahil)</t>
        </is>
      </c>
      <c r="C37" s="3" t="inlineStr">
        <is>
          <t>m</t>
        </is>
      </c>
      <c r="D37" s="5" t="n">
        <v>393.69</v>
      </c>
      <c r="E37" s="19" t="inlineStr">
        <is>
          <t>TKDK 17.02.2026 Özel Poz Tablosu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330.7</v>
      </c>
    </row>
    <row r="38" ht="14" customHeight="1">
      <c r="A38" s="17" t="inlineStr">
        <is>
          <t>TKDK-0115</t>
        </is>
      </c>
      <c r="B38" s="18" t="inlineStr">
        <is>
          <t>Galvanizli düz sacdan yağmur oluğu yapılması — dere</t>
        </is>
      </c>
      <c r="C38" s="3" t="inlineStr">
        <is>
          <t>kg</t>
        </is>
      </c>
      <c r="D38" s="5" t="n">
        <v>271.25</v>
      </c>
      <c r="E38" s="19" t="inlineStr">
        <is>
          <t>TKDK 17.02.2026 Özel Poz Tablosu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227.85</v>
      </c>
    </row>
    <row r="39" ht="22" customHeight="1">
      <c r="A39" s="17" t="inlineStr">
        <is>
          <t>TKDK-0151</t>
        </is>
      </c>
      <c r="B39" s="18" t="inlineStr">
        <is>
          <t>5 cm poliüretan dolgulu panel ile ısı yalıtımlı kapı yapılması — kümes servis kapısı 100/220</t>
        </is>
      </c>
      <c r="C39" s="3" t="inlineStr">
        <is>
          <t>m²</t>
        </is>
      </c>
      <c r="D39" s="5" t="n">
        <v>1035.88</v>
      </c>
      <c r="E39" s="19" t="inlineStr">
        <is>
          <t>TKDK 17.02.2026 Özel Poz Tablosu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870.14</v>
      </c>
    </row>
    <row r="40" ht="22" customHeight="1">
      <c r="A40" s="17" t="inlineStr">
        <is>
          <t>TKDK-0175</t>
        </is>
      </c>
      <c r="B40" s="18" t="inlineStr">
        <is>
          <t>PVC kaplamalı MDF presli iç kapı kanadı yapılması, yerinde takılması — servis bölümü</t>
        </is>
      </c>
      <c r="C40" s="3" t="inlineStr">
        <is>
          <t>m²</t>
        </is>
      </c>
      <c r="D40" s="5" t="n">
        <v>3199.68</v>
      </c>
      <c r="E40" s="19" t="inlineStr">
        <is>
          <t>TKDK 17.02.2026 Özel Poz Tablosu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2687.73</v>
      </c>
    </row>
    <row r="41" ht="22" customHeight="1">
      <c r="A41" s="17" t="inlineStr">
        <is>
          <t>TKDK-0177</t>
        </is>
      </c>
      <c r="B41" s="18" t="inlineStr">
        <is>
          <t>Duvar karosu ile 3 mm derz aralıklı döşeme ve duvar kaplaması yapılması — servis bölümü</t>
        </is>
      </c>
      <c r="C41" s="3" t="inlineStr">
        <is>
          <t>m²</t>
        </is>
      </c>
      <c r="D41" s="5" t="n">
        <v>835.1</v>
      </c>
      <c r="E41" s="19" t="inlineStr">
        <is>
          <t>TKDK 17.02.2026 Özel Poz Tablosu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A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kazı yapılması — kümes A ve B blok</t>
        </is>
      </c>
      <c r="D6" s="3" t="inlineStr">
        <is>
          <t>m³</t>
        </is>
      </c>
      <c r="E6" s="22" t="n">
        <v>1684.39</v>
      </c>
      <c r="F6" s="23">
        <f>IFERROR(VLOOKUP($B6,'Fiyatlar'!$A:$I,9,FALSE),0)</f>
        <v/>
      </c>
      <c r="G6" s="5">
        <f>E6*F6</f>
        <v/>
      </c>
    </row>
    <row r="7" ht="14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kümes temel altı grobeton</t>
        </is>
      </c>
      <c r="D7" s="3" t="inlineStr">
        <is>
          <t>m³</t>
        </is>
      </c>
      <c r="E7" s="22" t="n">
        <v>31.4285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kümes şerit temel ve bağ kirişleri</t>
        </is>
      </c>
      <c r="D8" s="3" t="inlineStr">
        <is>
          <t>m³</t>
        </is>
      </c>
      <c r="E8" s="22" t="n">
        <v>115.71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15.150.1005</t>
        </is>
      </c>
      <c r="C9" s="18" t="inlineStr">
        <is>
          <t>C 25/30 hazır beton dökülmesi — kümes zemin döşemeleri (15 cm)</t>
        </is>
      </c>
      <c r="D9" s="3" t="inlineStr">
        <is>
          <t>m³</t>
        </is>
      </c>
      <c r="E9" s="22" t="n">
        <v>162.63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15.180.1003</t>
        </is>
      </c>
      <c r="C10" s="18" t="inlineStr">
        <is>
          <t>Plywood ile düz yüzeyli betonarme kalıbı — kümes temelleri</t>
        </is>
      </c>
      <c r="D10" s="3" t="inlineStr">
        <is>
          <t>m²</t>
        </is>
      </c>
      <c r="E10" s="22" t="n">
        <v>551.26</v>
      </c>
      <c r="F10" s="23">
        <f>IFERROR(VLOOKUP($B10,'Fiyatlar'!$A:$I,9,FALSE),0)</f>
        <v/>
      </c>
      <c r="G10" s="5">
        <f>E10*F10</f>
        <v/>
      </c>
    </row>
    <row r="11" ht="14" customHeight="1">
      <c r="A11" s="3" t="n">
        <v>6</v>
      </c>
      <c r="B11" s="21" t="inlineStr">
        <is>
          <t>15.160.1003</t>
        </is>
      </c>
      <c r="C11" s="18" t="inlineStr">
        <is>
          <t>Ø8-Ø12 nervürlü beton çelik çubuğu — kümes temelleri</t>
        </is>
      </c>
      <c r="D11" s="3" t="inlineStr">
        <is>
          <t>ton</t>
        </is>
      </c>
      <c r="E11" s="22" t="n">
        <v>4.1599</v>
      </c>
      <c r="F11" s="23">
        <f>IFERROR(VLOOKUP($B11,'Fiyatlar'!$A:$I,9,FALSE),0)</f>
        <v/>
      </c>
      <c r="G11" s="5">
        <f>E11*F11</f>
        <v/>
      </c>
    </row>
    <row r="12" ht="14" customHeight="1">
      <c r="A12" s="3" t="n">
        <v>7</v>
      </c>
      <c r="B12" s="21" t="inlineStr">
        <is>
          <t>15.160.1004</t>
        </is>
      </c>
      <c r="C12" s="18" t="inlineStr">
        <is>
          <t>Ø14-Ø28 nervürlü beton çelik çubuğu — kümes temelleri</t>
        </is>
      </c>
      <c r="D12" s="3" t="inlineStr">
        <is>
          <t>ton</t>
        </is>
      </c>
      <c r="E12" s="22" t="n">
        <v>7.2875</v>
      </c>
      <c r="F12" s="23">
        <f>IFERROR(VLOOKUP($B12,'Fiyatlar'!$A:$I,9,FALSE),0)</f>
        <v/>
      </c>
      <c r="G12" s="5">
        <f>E12*F12</f>
        <v/>
      </c>
    </row>
    <row r="13" ht="14" customHeight="1">
      <c r="A13" s="3" t="n">
        <v>8</v>
      </c>
      <c r="B13" s="21" t="inlineStr">
        <is>
          <t>15.160.1002</t>
        </is>
      </c>
      <c r="C13" s="18" t="inlineStr">
        <is>
          <t>Nervürlü çelik hasırın yerine konulması — kümes döşemeleri</t>
        </is>
      </c>
      <c r="D13" s="3" t="inlineStr">
        <is>
          <t>ton</t>
        </is>
      </c>
      <c r="E13" s="22" t="n">
        <v>3.6375</v>
      </c>
      <c r="F13" s="23">
        <f>IFERROR(VLOOKUP($B13,'Fiyatlar'!$A:$I,9,FALSE),0)</f>
        <v/>
      </c>
      <c r="G13" s="5">
        <f>E13*F13</f>
        <v/>
      </c>
    </row>
    <row r="14" ht="22" customHeight="1">
      <c r="A14" s="3" t="n">
        <v>9</v>
      </c>
      <c r="B14" s="21" t="inlineStr">
        <is>
          <t>15.165.1003</t>
        </is>
      </c>
      <c r="C14" s="18" t="inlineStr">
        <is>
          <t>Her çeşit profil, çelik çubuk ve saclarla karkas (çerçeve) inşaat yapılması, yerine tespiti — kümes çelik taşıyıcı sistemi</t>
        </is>
      </c>
      <c r="D14" s="3" t="inlineStr">
        <is>
          <t>ton</t>
        </is>
      </c>
      <c r="E14" s="22" t="n">
        <v>44.0481</v>
      </c>
      <c r="F14" s="23">
        <f>IFERROR(VLOOKUP($B14,'Fiyatlar'!$A:$I,9,FALSE),0)</f>
        <v/>
      </c>
      <c r="G14" s="5">
        <f>E14*F14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 — cephe duvarı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E15*F15</f>
        <v/>
      </c>
    </row>
    <row r="16" ht="22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 — boşluk üstü lento ve yatay hatıl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E16*F16</f>
        <v/>
      </c>
    </row>
    <row r="17" ht="14" customHeight="1">
      <c r="A17" s="3" t="n">
        <v>12</v>
      </c>
      <c r="B17" s="21" t="inlineStr">
        <is>
          <t>15.275.1116</t>
        </is>
      </c>
      <c r="C17" s="18" t="inlineStr">
        <is>
          <t>250 kg çimento dozlu harç ile kaba sıva yapılması — cephe duvarı dış yüzü</t>
        </is>
      </c>
      <c r="D17" s="3" t="inlineStr">
        <is>
          <t>m²</t>
        </is>
      </c>
      <c r="E17" s="22" t="n">
        <v>557.76</v>
      </c>
      <c r="F17" s="23">
        <f>IFERROR(VLOOKUP($B17,'Fiyatlar'!$A:$I,9,FALSE),0)</f>
        <v/>
      </c>
      <c r="G17" s="5">
        <f>E17*F17</f>
        <v/>
      </c>
    </row>
    <row r="18" ht="22" customHeight="1">
      <c r="A18" s="3" t="n">
        <v>13</v>
      </c>
      <c r="B18" s="21" t="inlineStr">
        <is>
          <t>15.275.1117</t>
        </is>
      </c>
      <c r="C18" s="18" t="inlineStr">
        <is>
          <t>200 kg çimento ve kireç karışımı harç ile kaba sıva yapılması (iç cephe) — cephe duvarı iç yüzü</t>
        </is>
      </c>
      <c r="D18" s="3" t="inlineStr">
        <is>
          <t>m²</t>
        </is>
      </c>
      <c r="E18" s="22" t="n">
        <v>557.76</v>
      </c>
      <c r="F18" s="23">
        <f>IFERROR(VLOOKUP($B18,'Fiyatlar'!$A:$I,9,FALSE),0)</f>
        <v/>
      </c>
      <c r="G18" s="5">
        <f>E18*F18</f>
        <v/>
      </c>
    </row>
    <row r="19" ht="22" customHeight="1">
      <c r="A19" s="3" t="n">
        <v>14</v>
      </c>
      <c r="B19" s="21" t="inlineStr">
        <is>
          <t>15.540.1606</t>
        </is>
      </c>
      <c r="C19" s="18" t="inlineStr">
        <is>
          <t>Brüt beton, sıvalı veya eski boyalı yüzeylere astar uygulanarak silikon esaslı su bazlı dış cephe boyası</t>
        </is>
      </c>
      <c r="D19" s="3" t="inlineStr">
        <is>
          <t>m²</t>
        </is>
      </c>
      <c r="E19" s="22" t="n">
        <v>557.76</v>
      </c>
      <c r="F19" s="23">
        <f>IFERROR(VLOOKUP($B19,'Fiyatlar'!$A:$I,9,FALSE),0)</f>
        <v/>
      </c>
      <c r="G19" s="5">
        <f>E19*F19</f>
        <v/>
      </c>
    </row>
    <row r="20" ht="22" customHeight="1">
      <c r="A20" s="3" t="n">
        <v>15</v>
      </c>
      <c r="B20" s="21" t="inlineStr">
        <is>
          <t>15.540.1537</t>
        </is>
      </c>
      <c r="C20" s="18" t="inlineStr">
        <is>
          <t>Yeni sıva yüzeylere astar uygulanarak iki kat su bazlı plastik antibakteriyel iç cephe boyası</t>
        </is>
      </c>
      <c r="D20" s="3" t="inlineStr">
        <is>
          <t>m²</t>
        </is>
      </c>
      <c r="E20" s="22" t="n">
        <v>557.76</v>
      </c>
      <c r="F20" s="23">
        <f>IFERROR(VLOOKUP($B20,'Fiyatlar'!$A:$I,9,FALSE),0)</f>
        <v/>
      </c>
      <c r="G20" s="5">
        <f>E20*F20</f>
        <v/>
      </c>
    </row>
    <row r="21" ht="14" customHeight="1">
      <c r="A21" s="3" t="n">
        <v>16</v>
      </c>
      <c r="B21" s="21" t="inlineStr">
        <is>
          <t>15.550.1202</t>
        </is>
      </c>
      <c r="C21" s="18" t="inlineStr">
        <is>
          <t>Lama ve profil demirlerden mahya, saçak ve köşe kapama profilleri</t>
        </is>
      </c>
      <c r="D21" s="3" t="inlineStr">
        <is>
          <t>kg</t>
        </is>
      </c>
      <c r="E21" s="22" t="n">
        <v>674</v>
      </c>
      <c r="F21" s="23">
        <f>IFERROR(VLOOKUP($B21,'Fiyatlar'!$A:$I,9,FALSE),0)</f>
        <v/>
      </c>
      <c r="G21" s="5">
        <f>E21*F21</f>
        <v/>
      </c>
    </row>
    <row r="22" ht="14" customHeight="1">
      <c r="A22" s="3" t="n">
        <v>17</v>
      </c>
      <c r="B22" s="21" t="inlineStr">
        <is>
          <t>TKDK-0115</t>
        </is>
      </c>
      <c r="C22" s="18" t="inlineStr">
        <is>
          <t>Galvanizli düz sacdan yağmur oluğu yapılması — dere</t>
        </is>
      </c>
      <c r="D22" s="3" t="inlineStr">
        <is>
          <t>kg</t>
        </is>
      </c>
      <c r="E22" s="22" t="n">
        <v>319.2</v>
      </c>
      <c r="F22" s="23">
        <f>IFERROR(VLOOKUP($B22,'Fiyatlar'!$A:$I,9,FALSE),0)</f>
        <v/>
      </c>
      <c r="G22" s="5">
        <f>E22*F22</f>
        <v/>
      </c>
    </row>
    <row r="23" ht="14" customHeight="1">
      <c r="A23" s="3" t="n">
        <v>18</v>
      </c>
      <c r="B23" s="21" t="inlineStr">
        <is>
          <t>15.315.1001</t>
        </is>
      </c>
      <c r="C23" s="18" t="inlineStr">
        <is>
          <t>Ø70 sert PVC yağmur suyu iniş borusu temini ve yerine tesbiti</t>
        </is>
      </c>
      <c r="D23" s="3" t="inlineStr">
        <is>
          <t>m</t>
        </is>
      </c>
      <c r="E23" s="22" t="n">
        <v>51.2</v>
      </c>
      <c r="F23" s="23">
        <f>IFERROR(VLOOKUP($B23,'Fiyatlar'!$A:$I,9,FALSE),0)</f>
        <v/>
      </c>
      <c r="G23" s="5">
        <f>E23*F23</f>
        <v/>
      </c>
    </row>
    <row r="24" ht="22" customHeight="1">
      <c r="A24" s="3" t="n">
        <v>19</v>
      </c>
      <c r="B24" s="21" t="inlineStr">
        <is>
          <t>TKDK-0151</t>
        </is>
      </c>
      <c r="C24" s="18" t="inlineStr">
        <is>
          <t>5 cm poliüretan dolgulu panel ile ısı yalıtımlı kapı yapılması — kümes servis kapısı 100/220</t>
        </is>
      </c>
      <c r="D24" s="3" t="inlineStr">
        <is>
          <t>m²</t>
        </is>
      </c>
      <c r="E24" s="22" t="n">
        <v>4.4</v>
      </c>
      <c r="F24" s="23">
        <f>IFERROR(VLOOKUP($B24,'Fiyatlar'!$A:$I,9,FALSE),0)</f>
        <v/>
      </c>
      <c r="G24" s="5">
        <f>E24*F24</f>
        <v/>
      </c>
    </row>
    <row r="25" ht="22" customHeight="1">
      <c r="A25" s="3" t="n">
        <v>20</v>
      </c>
      <c r="B25" s="21" t="inlineStr">
        <is>
          <t>TKDK-0151</t>
        </is>
      </c>
      <c r="C25" s="18" t="inlineStr">
        <is>
          <t>5 cm poliüretan dolgulu panel ile ısı yalıtımlı kapı yapılması — yükleme/temizlik kapısı 300/300 sürgülü</t>
        </is>
      </c>
      <c r="D25" s="3" t="inlineStr">
        <is>
          <t>m²</t>
        </is>
      </c>
      <c r="E25" s="22" t="n">
        <v>9</v>
      </c>
      <c r="F25" s="23">
        <f>IFERROR(VLOOKUP($B25,'Fiyatlar'!$A:$I,9,FALSE),0)</f>
        <v/>
      </c>
      <c r="G25" s="5">
        <f>E25*F25</f>
        <v/>
      </c>
    </row>
    <row r="26" ht="22" customHeight="1">
      <c r="A26" s="3" t="n">
        <v>21</v>
      </c>
      <c r="B26" s="21" t="inlineStr">
        <is>
          <t>15.225.1004</t>
        </is>
      </c>
      <c r="C26" s="18" t="inlineStr">
        <is>
          <t>10 cm kalınlığındaki teçhizatsız gazbeton duvar blokları ile bölme duvar yapılması — servis bölümü</t>
        </is>
      </c>
      <c r="D26" s="3" t="inlineStr">
        <is>
          <t>m²</t>
        </is>
      </c>
      <c r="E26" s="22" t="n">
        <v>45</v>
      </c>
      <c r="F26" s="23">
        <f>IFERROR(VLOOKUP($B26,'Fiyatlar'!$A:$I,9,FALSE),0)</f>
        <v/>
      </c>
      <c r="G26" s="5">
        <f>E26*F26</f>
        <v/>
      </c>
    </row>
    <row r="27" ht="22" customHeight="1">
      <c r="A27" s="3" t="n">
        <v>22</v>
      </c>
      <c r="B27" s="21" t="inlineStr">
        <is>
          <t>15.275.1117</t>
        </is>
      </c>
      <c r="C27" s="18" t="inlineStr">
        <is>
          <t>200 kg çimento ve kireç karışımı harç ile kaba sıva yapılması — servis bölümü bölme duvarları</t>
        </is>
      </c>
      <c r="D27" s="3" t="inlineStr">
        <is>
          <t>m²</t>
        </is>
      </c>
      <c r="E27" s="22" t="n">
        <v>90</v>
      </c>
      <c r="F27" s="23">
        <f>IFERROR(VLOOKUP($B27,'Fiyatlar'!$A:$I,9,FALSE),0)</f>
        <v/>
      </c>
      <c r="G27" s="5">
        <f>E27*F27</f>
        <v/>
      </c>
    </row>
    <row r="28" ht="22" customHeight="1">
      <c r="A28" s="3" t="n">
        <v>23</v>
      </c>
      <c r="B28" s="21" t="inlineStr">
        <is>
          <t>TKDK-0177</t>
        </is>
      </c>
      <c r="C28" s="18" t="inlineStr">
        <is>
          <t>Duvar karosu ile 3 mm derz aralıklı döşeme ve duvar kaplaması yapılması — servis bölümü</t>
        </is>
      </c>
      <c r="D28" s="3" t="inlineStr">
        <is>
          <t>m²</t>
        </is>
      </c>
      <c r="E28" s="22" t="n">
        <v>60</v>
      </c>
      <c r="F28" s="23">
        <f>IFERROR(VLOOKUP($B28,'Fiyatlar'!$A:$I,9,FALSE),0)</f>
        <v/>
      </c>
      <c r="G28" s="5">
        <f>E28*F28</f>
        <v/>
      </c>
    </row>
    <row r="29" ht="22" customHeight="1">
      <c r="A29" s="3" t="n">
        <v>24</v>
      </c>
      <c r="B29" s="21" t="inlineStr">
        <is>
          <t>15.540.1537</t>
        </is>
      </c>
      <c r="C29" s="18" t="inlineStr">
        <is>
          <t>Yeni sıva yüzeylere astar uygulanarak iki kat su bazlı plastik antibakteriyel boya — servis bölümü</t>
        </is>
      </c>
      <c r="D29" s="3" t="inlineStr">
        <is>
          <t>m²</t>
        </is>
      </c>
      <c r="E29" s="22" t="n">
        <v>55</v>
      </c>
      <c r="F29" s="23">
        <f>IFERROR(VLOOKUP($B29,'Fiyatlar'!$A:$I,9,FALSE),0)</f>
        <v/>
      </c>
      <c r="G29" s="5">
        <f>E29*F29</f>
        <v/>
      </c>
    </row>
    <row r="30" ht="22" customHeight="1">
      <c r="A30" s="3" t="n">
        <v>25</v>
      </c>
      <c r="B30" s="21" t="inlineStr">
        <is>
          <t>TKDK-0175</t>
        </is>
      </c>
      <c r="C30" s="18" t="inlineStr">
        <is>
          <t>PVC kaplamalı MDF presli iç kapı kanadı yapılması, yerinde takılması — servis bölümü</t>
        </is>
      </c>
      <c r="D30" s="3" t="inlineStr">
        <is>
          <t>m²</t>
        </is>
      </c>
      <c r="E30" s="22" t="n">
        <v>5.67</v>
      </c>
      <c r="F30" s="23">
        <f>IFERROR(VLOOKUP($B30,'Fiyatlar'!$A:$I,9,FALSE),0)</f>
        <v/>
      </c>
      <c r="G30" s="5">
        <f>E30*F30</f>
        <v/>
      </c>
    </row>
    <row r="31" ht="22" customHeight="1">
      <c r="A31" s="3" t="n">
        <v>26</v>
      </c>
      <c r="B31" s="21" t="inlineStr">
        <is>
          <t>15.550.1002</t>
        </is>
      </c>
      <c r="C31" s="18" t="inlineStr">
        <is>
          <t>1,50 mm sacdan bükme kapı kasası yapılması ve yerine konulması — servis bölümü iç kapıları</t>
        </is>
      </c>
      <c r="D31" s="3" t="inlineStr">
        <is>
          <t>kg</t>
        </is>
      </c>
      <c r="E31" s="22" t="n">
        <v>54.315</v>
      </c>
      <c r="F31" s="23">
        <f>IFERROR(VLOOKUP($B31,'Fiyatlar'!$A:$I,9,FALSE),0)</f>
        <v/>
      </c>
      <c r="G31" s="5">
        <f>E31*F31</f>
        <v/>
      </c>
    </row>
    <row r="32" ht="22" customHeight="1">
      <c r="A32" s="3" t="n">
        <v>27</v>
      </c>
      <c r="B32" s="21" t="inlineStr">
        <is>
          <t>43.527.1001</t>
        </is>
      </c>
      <c r="C32" s="18" t="inlineStr">
        <is>
          <t>ø150 HDPE koruge boru ile pissu hattı döşenmesi (SN 8, lastik conta ve boru bedeli dahil)</t>
        </is>
      </c>
      <c r="D32" s="3" t="inlineStr">
        <is>
          <t>m</t>
        </is>
      </c>
      <c r="E32" s="22" t="n">
        <v>25</v>
      </c>
      <c r="F32" s="23">
        <f>IFERROR(VLOOKUP($B32,'Fiyatlar'!$A:$I,9,FALSE),0)</f>
        <v/>
      </c>
      <c r="G32" s="5">
        <f>E32*F32</f>
        <v/>
      </c>
    </row>
    <row r="33" ht="14" customHeight="1">
      <c r="A33" s="3" t="n">
        <v>28</v>
      </c>
      <c r="B33" s="21" t="inlineStr">
        <is>
          <t>30.100.2105</t>
        </is>
      </c>
      <c r="C33" s="18" t="inlineStr">
        <is>
          <t>Kümes dağıtım panosu (sıva üstü galvanizli sac tablo, 0,40-0,50 m²)</t>
        </is>
      </c>
      <c r="D33" s="3" t="inlineStr">
        <is>
          <t>ad</t>
        </is>
      </c>
      <c r="E33" s="22" t="n">
        <v>1</v>
      </c>
      <c r="F33" s="23">
        <f>IFERROR(VLOOKUP($B33,'Fiyatlar'!$A:$I,9,FALSE),0)</f>
        <v/>
      </c>
      <c r="G33" s="5">
        <f>E33*F33</f>
        <v/>
      </c>
    </row>
    <row r="34" ht="14" customHeight="1">
      <c r="A34" s="3" t="n">
        <v>29</v>
      </c>
      <c r="B34" s="21" t="inlineStr">
        <is>
          <t>30.110.1102</t>
        </is>
      </c>
      <c r="C34" s="18" t="inlineStr">
        <is>
          <t>Termik-manyetik kompakt şalter 3x100 A, Icu 35 kA — kümes besleme</t>
        </is>
      </c>
      <c r="D34" s="3" t="inlineStr">
        <is>
          <t>ad</t>
        </is>
      </c>
      <c r="E34" s="22" t="n">
        <v>1</v>
      </c>
      <c r="F34" s="23">
        <f>IFERROR(VLOOKUP($B34,'Fiyatlar'!$A:$I,9,FALSE),0)</f>
        <v/>
      </c>
      <c r="G34" s="5">
        <f>E34*F34</f>
        <v/>
      </c>
    </row>
    <row r="35" ht="14" customHeight="1">
      <c r="A35" s="3" t="n">
        <v>30</v>
      </c>
      <c r="B35" s="21" t="inlineStr">
        <is>
          <t>30.115.1003</t>
        </is>
      </c>
      <c r="C35" s="18" t="inlineStr">
        <is>
          <t>Kaçak akım koruma şalteri 2x63 A, 30 mA</t>
        </is>
      </c>
      <c r="D35" s="3" t="inlineStr">
        <is>
          <t>ad</t>
        </is>
      </c>
      <c r="E35" s="22" t="n">
        <v>2</v>
      </c>
      <c r="F35" s="23">
        <f>IFERROR(VLOOKUP($B35,'Fiyatlar'!$A:$I,9,FALSE),0)</f>
        <v/>
      </c>
      <c r="G35" s="5">
        <f>E35*F35</f>
        <v/>
      </c>
    </row>
    <row r="36" ht="14" customHeight="1">
      <c r="A36" s="3" t="n">
        <v>31</v>
      </c>
      <c r="B36" s="21" t="inlineStr">
        <is>
          <t>30.140.3104</t>
        </is>
      </c>
      <c r="C36" s="18" t="inlineStr">
        <is>
          <t>YVV (NYY) 1 kV yeraltı kablosu ile kolon hattı tesisi — 1x25 mm²</t>
        </is>
      </c>
      <c r="D36" s="3" t="inlineStr">
        <is>
          <t>m</t>
        </is>
      </c>
      <c r="E36" s="22" t="n">
        <v>300</v>
      </c>
      <c r="F36" s="23">
        <f>IFERROR(VLOOKUP($B36,'Fiyatlar'!$A:$I,9,FALSE),0)</f>
        <v/>
      </c>
      <c r="G36" s="5">
        <f>E36*F36</f>
        <v/>
      </c>
    </row>
    <row r="37" ht="22" customHeight="1">
      <c r="A37" s="3" t="n">
        <v>32</v>
      </c>
      <c r="B37" s="21" t="inlineStr">
        <is>
          <t>30.170.1602</t>
        </is>
      </c>
      <c r="C37" s="18" t="inlineStr">
        <is>
          <t>LED sıva üstü etanj armatür (polikarbon gövdeli), ışık akısı en az 2700 lm — kümes genel aydınlatması</t>
        </is>
      </c>
      <c r="D37" s="3" t="inlineStr">
        <is>
          <t>ad</t>
        </is>
      </c>
      <c r="E37" s="22" t="n">
        <v>30</v>
      </c>
      <c r="F37" s="23">
        <f>IFERROR(VLOOKUP($B37,'Fiyatlar'!$A:$I,9,FALSE),0)</f>
        <v/>
      </c>
      <c r="G37" s="5">
        <f>E37*F37</f>
        <v/>
      </c>
    </row>
    <row r="38" ht="22" customHeight="1">
      <c r="A38" s="3" t="n">
        <v>33</v>
      </c>
      <c r="B38" s="21" t="inlineStr">
        <is>
          <t>30.170.1601</t>
        </is>
      </c>
      <c r="C38" s="18" t="inlineStr">
        <is>
          <t>LED sıva üstü etanj armatür (polikarbon gövdeli), ışık akısı en az 1800 lm — servis bölümü</t>
        </is>
      </c>
      <c r="D38" s="3" t="inlineStr">
        <is>
          <t>ad</t>
        </is>
      </c>
      <c r="E38" s="22" t="n">
        <v>2</v>
      </c>
      <c r="F38" s="23">
        <f>IFERROR(VLOOKUP($B38,'Fiyatlar'!$A:$I,9,FALSE),0)</f>
        <v/>
      </c>
      <c r="G38" s="5">
        <f>E38*F38</f>
        <v/>
      </c>
    </row>
    <row r="39" ht="14" customHeight="1">
      <c r="A39" s="3" t="n">
        <v>34</v>
      </c>
      <c r="B39" s="21" t="inlineStr">
        <is>
          <t>30.160.6102</t>
        </is>
      </c>
      <c r="C39" s="18" t="inlineStr">
        <is>
          <t>Boş boru döşemesi — 25-32 mm PVC boru</t>
        </is>
      </c>
      <c r="D39" s="3" t="inlineStr">
        <is>
          <t>m</t>
        </is>
      </c>
      <c r="E39" s="22" t="n">
        <v>500</v>
      </c>
      <c r="F39" s="23">
        <f>IFERROR(VLOOKUP($B39,'Fiyatlar'!$A:$I,9,FALSE),0)</f>
        <v/>
      </c>
      <c r="G39" s="5">
        <f>E39*F39</f>
        <v/>
      </c>
    </row>
    <row r="40" ht="14" customHeight="1">
      <c r="A40" s="3" t="n">
        <v>35</v>
      </c>
      <c r="B40" s="21" t="inlineStr">
        <is>
          <t>30.150.1402</t>
        </is>
      </c>
      <c r="C40" s="18" t="inlineStr">
        <is>
          <t>Halojensiz H07Z tipi iletken 1x2,5 mm² ile tesisat</t>
        </is>
      </c>
      <c r="D40" s="3" t="inlineStr">
        <is>
          <t>m</t>
        </is>
      </c>
      <c r="E40" s="22" t="n">
        <v>2000</v>
      </c>
      <c r="F40" s="23">
        <f>IFERROR(VLOOKUP($B40,'Fiyatlar'!$A:$I,9,FALSE),0)</f>
        <v/>
      </c>
      <c r="G40" s="5">
        <f>E40*F40</f>
        <v/>
      </c>
    </row>
    <row r="41" ht="14" customHeight="1">
      <c r="A41" s="3" t="n">
        <v>36</v>
      </c>
      <c r="B41" s="21" t="inlineStr">
        <is>
          <t>30.150.1401</t>
        </is>
      </c>
      <c r="C41" s="18" t="inlineStr">
        <is>
          <t>Halojensiz H07Z tipi iletken 1x1,5 mm² ile kumanda tesisatı</t>
        </is>
      </c>
      <c r="D41" s="3" t="inlineStr">
        <is>
          <t>m</t>
        </is>
      </c>
      <c r="E41" s="22" t="n">
        <v>600</v>
      </c>
      <c r="F41" s="23">
        <f>IFERROR(VLOOKUP($B41,'Fiyatlar'!$A:$I,9,FALSE),0)</f>
        <v/>
      </c>
      <c r="G41" s="5">
        <f>E41*F41</f>
        <v/>
      </c>
    </row>
    <row r="42" ht="14" customHeight="1">
      <c r="A42" s="3" t="n">
        <v>37</v>
      </c>
      <c r="B42" s="21" t="inlineStr">
        <is>
          <t>30.140.1105</t>
        </is>
      </c>
      <c r="C42" s="18" t="inlineStr">
        <is>
          <t>Çıplak bakır tel 25 mm² — eşpotansiyel bara ve topraklama iletkeni</t>
        </is>
      </c>
      <c r="D42" s="3" t="inlineStr">
        <is>
          <t>m</t>
        </is>
      </c>
      <c r="E42" s="22" t="n">
        <v>100</v>
      </c>
      <c r="F42" s="23">
        <f>IFERROR(VLOOKUP($B42,'Fiyatlar'!$A:$I,9,FALSE),0)</f>
        <v/>
      </c>
      <c r="G42" s="5">
        <f>E42*F42</f>
        <v/>
      </c>
    </row>
    <row r="43" ht="14" customHeight="1">
      <c r="A43" s="3" t="n">
        <v>38</v>
      </c>
      <c r="B43" s="21" t="inlineStr">
        <is>
          <t>30.750.3002</t>
        </is>
      </c>
      <c r="C43" s="18" t="inlineStr">
        <is>
          <t>Bina ihata iletkeni tesisatı — 30x3,5 mm galvanizli çelik lama (temel topraklaması)</t>
        </is>
      </c>
      <c r="D43" s="3" t="inlineStr">
        <is>
          <t>m</t>
        </is>
      </c>
      <c r="E43" s="22" t="n">
        <v>186</v>
      </c>
      <c r="F43" s="23">
        <f>IFERROR(VLOOKUP($B43,'Fiyatlar'!$A:$I,9,FALSE),0)</f>
        <v/>
      </c>
      <c r="G43" s="5">
        <f>E43*F43</f>
        <v/>
      </c>
    </row>
    <row r="44" ht="14" customHeight="1">
      <c r="A44" s="3" t="n">
        <v>39</v>
      </c>
      <c r="B44" s="21" t="inlineStr">
        <is>
          <t>30.750.1502</t>
        </is>
      </c>
      <c r="C44" s="18" t="inlineStr">
        <is>
          <t>Aktif yakalama ucu, ortalama uyarım yolu DL = 30-40 m</t>
        </is>
      </c>
      <c r="D44" s="3" t="inlineStr">
        <is>
          <t>ad</t>
        </is>
      </c>
      <c r="E44" s="22" t="n">
        <v>1</v>
      </c>
      <c r="F44" s="23">
        <f>IFERROR(VLOOKUP($B44,'Fiyatlar'!$A:$I,9,FALSE),0)</f>
        <v/>
      </c>
      <c r="G44" s="5">
        <f>E44*F44</f>
        <v/>
      </c>
    </row>
    <row r="45" ht="14" customHeight="1">
      <c r="A45" s="3" t="n">
        <v>40</v>
      </c>
      <c r="B45" s="21" t="inlineStr">
        <is>
          <t>30.750.2001</t>
        </is>
      </c>
      <c r="C45" s="18" t="inlineStr">
        <is>
          <t>Çatı ihata ve indirme iletkeni tesisatı — 50 mm² elektrolitik bakır tel</t>
        </is>
      </c>
      <c r="D45" s="3" t="inlineStr">
        <is>
          <t>m</t>
        </is>
      </c>
      <c r="E45" s="22" t="n">
        <v>16</v>
      </c>
      <c r="F45" s="23">
        <f>IFERROR(VLOOKUP($B45,'Fiyatlar'!$A:$I,9,FALSE),0)</f>
        <v/>
      </c>
      <c r="G45" s="5">
        <f>E45*F45</f>
        <v/>
      </c>
    </row>
    <row r="46">
      <c r="A46" s="7" t="n"/>
      <c r="B46" s="7" t="n"/>
      <c r="C46" s="24" t="inlineStr">
        <is>
          <t>ARA TOPLAM (KDV hariç)</t>
        </is>
      </c>
      <c r="D46" s="7" t="n"/>
      <c r="E46" s="7" t="n"/>
      <c r="F46" s="7" t="n"/>
      <c r="G46" s="9">
        <f>SUM(G6:G45)</f>
        <v/>
      </c>
    </row>
    <row r="47">
      <c r="A47" s="4" t="n"/>
      <c r="B47" s="4" t="n"/>
      <c r="C47" s="25" t="inlineStr">
        <is>
          <t>KDV</t>
        </is>
      </c>
      <c r="D47" s="4" t="n"/>
      <c r="E47" s="4" t="n"/>
      <c r="F47" s="4" t="n"/>
      <c r="G47" s="5">
        <f>G46*'Fiyatlar'!$F$3</f>
        <v/>
      </c>
    </row>
    <row r="48">
      <c r="A48" s="11" t="n"/>
      <c r="B48" s="11" t="n"/>
      <c r="C48" s="26" t="inlineStr">
        <is>
          <t>TEKLİF BEDELİ (KDV dâhil)</t>
        </is>
      </c>
      <c r="D48" s="11" t="n"/>
      <c r="E48" s="11" t="n"/>
      <c r="F48" s="11" t="n"/>
      <c r="G48" s="13">
        <f>G46+G47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B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kazı yapılması — kümes A ve B blok</t>
        </is>
      </c>
      <c r="D6" s="3" t="inlineStr">
        <is>
          <t>m³</t>
        </is>
      </c>
      <c r="E6" s="22" t="n">
        <v>1684.38</v>
      </c>
      <c r="F6" s="23">
        <f>IFERROR(VLOOKUP($B6,'Fiyatlar'!$A:$I,9,FALSE),0)</f>
        <v/>
      </c>
      <c r="G6" s="5">
        <f>E6*F6</f>
        <v/>
      </c>
    </row>
    <row r="7" ht="14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kümes temel altı grobeton</t>
        </is>
      </c>
      <c r="D7" s="3" t="inlineStr">
        <is>
          <t>m³</t>
        </is>
      </c>
      <c r="E7" s="22" t="n">
        <v>31.4285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kümes şerit temel ve bağ kirişleri</t>
        </is>
      </c>
      <c r="D8" s="3" t="inlineStr">
        <is>
          <t>m³</t>
        </is>
      </c>
      <c r="E8" s="22" t="n">
        <v>115.71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15.150.1005</t>
        </is>
      </c>
      <c r="C9" s="18" t="inlineStr">
        <is>
          <t>C 25/30 hazır beton dökülmesi — kümes zemin döşemeleri (15 cm)</t>
        </is>
      </c>
      <c r="D9" s="3" t="inlineStr">
        <is>
          <t>m³</t>
        </is>
      </c>
      <c r="E9" s="22" t="n">
        <v>162.63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15.180.1003</t>
        </is>
      </c>
      <c r="C10" s="18" t="inlineStr">
        <is>
          <t>Plywood ile düz yüzeyli betonarme kalıbı — kümes temelleri</t>
        </is>
      </c>
      <c r="D10" s="3" t="inlineStr">
        <is>
          <t>m²</t>
        </is>
      </c>
      <c r="E10" s="22" t="n">
        <v>551.26</v>
      </c>
      <c r="F10" s="23">
        <f>IFERROR(VLOOKUP($B10,'Fiyatlar'!$A:$I,9,FALSE),0)</f>
        <v/>
      </c>
      <c r="G10" s="5">
        <f>E10*F10</f>
        <v/>
      </c>
    </row>
    <row r="11" ht="14" customHeight="1">
      <c r="A11" s="3" t="n">
        <v>6</v>
      </c>
      <c r="B11" s="21" t="inlineStr">
        <is>
          <t>15.160.1003</t>
        </is>
      </c>
      <c r="C11" s="18" t="inlineStr">
        <is>
          <t>Ø8-Ø12 nervürlü beton çelik çubuğu — kümes temelleri</t>
        </is>
      </c>
      <c r="D11" s="3" t="inlineStr">
        <is>
          <t>ton</t>
        </is>
      </c>
      <c r="E11" s="22" t="n">
        <v>4.1599</v>
      </c>
      <c r="F11" s="23">
        <f>IFERROR(VLOOKUP($B11,'Fiyatlar'!$A:$I,9,FALSE),0)</f>
        <v/>
      </c>
      <c r="G11" s="5">
        <f>E11*F11</f>
        <v/>
      </c>
    </row>
    <row r="12" ht="14" customHeight="1">
      <c r="A12" s="3" t="n">
        <v>7</v>
      </c>
      <c r="B12" s="21" t="inlineStr">
        <is>
          <t>15.160.1004</t>
        </is>
      </c>
      <c r="C12" s="18" t="inlineStr">
        <is>
          <t>Ø14-Ø28 nervürlü beton çelik çubuğu — kümes temelleri</t>
        </is>
      </c>
      <c r="D12" s="3" t="inlineStr">
        <is>
          <t>ton</t>
        </is>
      </c>
      <c r="E12" s="22" t="n">
        <v>7.2875</v>
      </c>
      <c r="F12" s="23">
        <f>IFERROR(VLOOKUP($B12,'Fiyatlar'!$A:$I,9,FALSE),0)</f>
        <v/>
      </c>
      <c r="G12" s="5">
        <f>E12*F12</f>
        <v/>
      </c>
    </row>
    <row r="13" ht="14" customHeight="1">
      <c r="A13" s="3" t="n">
        <v>8</v>
      </c>
      <c r="B13" s="21" t="inlineStr">
        <is>
          <t>15.160.1002</t>
        </is>
      </c>
      <c r="C13" s="18" t="inlineStr">
        <is>
          <t>Nervürlü çelik hasırın yerine konulması — kümes döşemeleri</t>
        </is>
      </c>
      <c r="D13" s="3" t="inlineStr">
        <is>
          <t>ton</t>
        </is>
      </c>
      <c r="E13" s="22" t="n">
        <v>3.6375</v>
      </c>
      <c r="F13" s="23">
        <f>IFERROR(VLOOKUP($B13,'Fiyatlar'!$A:$I,9,FALSE),0)</f>
        <v/>
      </c>
      <c r="G13" s="5">
        <f>E13*F13</f>
        <v/>
      </c>
    </row>
    <row r="14" ht="22" customHeight="1">
      <c r="A14" s="3" t="n">
        <v>9</v>
      </c>
      <c r="B14" s="21" t="inlineStr">
        <is>
          <t>15.165.1003</t>
        </is>
      </c>
      <c r="C14" s="18" t="inlineStr">
        <is>
          <t>Her çeşit profil, çelik çubuk ve saclarla karkas (çerçeve) inşaat yapılması, yerine tespiti — kümes çelik taşıyıcı sistemi</t>
        </is>
      </c>
      <c r="D14" s="3" t="inlineStr">
        <is>
          <t>ton</t>
        </is>
      </c>
      <c r="E14" s="22" t="n">
        <v>44.0481</v>
      </c>
      <c r="F14" s="23">
        <f>IFERROR(VLOOKUP($B14,'Fiyatlar'!$A:$I,9,FALSE),0)</f>
        <v/>
      </c>
      <c r="G14" s="5">
        <f>E14*F14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 — cephe duvarı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E15*F15</f>
        <v/>
      </c>
    </row>
    <row r="16" ht="22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 — boşluk üstü lento ve yatay hatıl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E16*F16</f>
        <v/>
      </c>
    </row>
    <row r="17" ht="14" customHeight="1">
      <c r="A17" s="3" t="n">
        <v>12</v>
      </c>
      <c r="B17" s="21" t="inlineStr">
        <is>
          <t>15.275.1116</t>
        </is>
      </c>
      <c r="C17" s="18" t="inlineStr">
        <is>
          <t>250 kg çimento dozlu harç ile kaba sıva yapılması — cephe duvarı dış yüzü</t>
        </is>
      </c>
      <c r="D17" s="3" t="inlineStr">
        <is>
          <t>m²</t>
        </is>
      </c>
      <c r="E17" s="22" t="n">
        <v>557.76</v>
      </c>
      <c r="F17" s="23">
        <f>IFERROR(VLOOKUP($B17,'Fiyatlar'!$A:$I,9,FALSE),0)</f>
        <v/>
      </c>
      <c r="G17" s="5">
        <f>E17*F17</f>
        <v/>
      </c>
    </row>
    <row r="18" ht="22" customHeight="1">
      <c r="A18" s="3" t="n">
        <v>13</v>
      </c>
      <c r="B18" s="21" t="inlineStr">
        <is>
          <t>15.275.1117</t>
        </is>
      </c>
      <c r="C18" s="18" t="inlineStr">
        <is>
          <t>200 kg çimento ve kireç karışımı harç ile kaba sıva yapılması (iç cephe) — cephe duvarı iç yüzü</t>
        </is>
      </c>
      <c r="D18" s="3" t="inlineStr">
        <is>
          <t>m²</t>
        </is>
      </c>
      <c r="E18" s="22" t="n">
        <v>557.76</v>
      </c>
      <c r="F18" s="23">
        <f>IFERROR(VLOOKUP($B18,'Fiyatlar'!$A:$I,9,FALSE),0)</f>
        <v/>
      </c>
      <c r="G18" s="5">
        <f>E18*F18</f>
        <v/>
      </c>
    </row>
    <row r="19" ht="22" customHeight="1">
      <c r="A19" s="3" t="n">
        <v>14</v>
      </c>
      <c r="B19" s="21" t="inlineStr">
        <is>
          <t>15.540.1606</t>
        </is>
      </c>
      <c r="C19" s="18" t="inlineStr">
        <is>
          <t>Brüt beton, sıvalı veya eski boyalı yüzeylere astar uygulanarak silikon esaslı su bazlı dış cephe boyası</t>
        </is>
      </c>
      <c r="D19" s="3" t="inlineStr">
        <is>
          <t>m²</t>
        </is>
      </c>
      <c r="E19" s="22" t="n">
        <v>557.76</v>
      </c>
      <c r="F19" s="23">
        <f>IFERROR(VLOOKUP($B19,'Fiyatlar'!$A:$I,9,FALSE),0)</f>
        <v/>
      </c>
      <c r="G19" s="5">
        <f>E19*F19</f>
        <v/>
      </c>
    </row>
    <row r="20" ht="22" customHeight="1">
      <c r="A20" s="3" t="n">
        <v>15</v>
      </c>
      <c r="B20" s="21" t="inlineStr">
        <is>
          <t>15.540.1537</t>
        </is>
      </c>
      <c r="C20" s="18" t="inlineStr">
        <is>
          <t>Yeni sıva yüzeylere astar uygulanarak iki kat su bazlı plastik antibakteriyel iç cephe boyası</t>
        </is>
      </c>
      <c r="D20" s="3" t="inlineStr">
        <is>
          <t>m²</t>
        </is>
      </c>
      <c r="E20" s="22" t="n">
        <v>557.76</v>
      </c>
      <c r="F20" s="23">
        <f>IFERROR(VLOOKUP($B20,'Fiyatlar'!$A:$I,9,FALSE),0)</f>
        <v/>
      </c>
      <c r="G20" s="5">
        <f>E20*F20</f>
        <v/>
      </c>
    </row>
    <row r="21" ht="14" customHeight="1">
      <c r="A21" s="3" t="n">
        <v>16</v>
      </c>
      <c r="B21" s="21" t="inlineStr">
        <is>
          <t>15.550.1202</t>
        </is>
      </c>
      <c r="C21" s="18" t="inlineStr">
        <is>
          <t>Lama ve profil demirlerden mahya, saçak ve köşe kapama profilleri</t>
        </is>
      </c>
      <c r="D21" s="3" t="inlineStr">
        <is>
          <t>kg</t>
        </is>
      </c>
      <c r="E21" s="22" t="n">
        <v>674</v>
      </c>
      <c r="F21" s="23">
        <f>IFERROR(VLOOKUP($B21,'Fiyatlar'!$A:$I,9,FALSE),0)</f>
        <v/>
      </c>
      <c r="G21" s="5">
        <f>E21*F21</f>
        <v/>
      </c>
    </row>
    <row r="22" ht="14" customHeight="1">
      <c r="A22" s="3" t="n">
        <v>17</v>
      </c>
      <c r="B22" s="21" t="inlineStr">
        <is>
          <t>TKDK-0115</t>
        </is>
      </c>
      <c r="C22" s="18" t="inlineStr">
        <is>
          <t>Galvanizli düz sacdan yağmur oluğu yapılması — dere</t>
        </is>
      </c>
      <c r="D22" s="3" t="inlineStr">
        <is>
          <t>kg</t>
        </is>
      </c>
      <c r="E22" s="22" t="n">
        <v>319.2</v>
      </c>
      <c r="F22" s="23">
        <f>IFERROR(VLOOKUP($B22,'Fiyatlar'!$A:$I,9,FALSE),0)</f>
        <v/>
      </c>
      <c r="G22" s="5">
        <f>E22*F22</f>
        <v/>
      </c>
    </row>
    <row r="23" ht="14" customHeight="1">
      <c r="A23" s="3" t="n">
        <v>18</v>
      </c>
      <c r="B23" s="21" t="inlineStr">
        <is>
          <t>15.315.1001</t>
        </is>
      </c>
      <c r="C23" s="18" t="inlineStr">
        <is>
          <t>Ø70 sert PVC yağmur suyu iniş borusu temini ve yerine tesbiti</t>
        </is>
      </c>
      <c r="D23" s="3" t="inlineStr">
        <is>
          <t>m</t>
        </is>
      </c>
      <c r="E23" s="22" t="n">
        <v>51.2</v>
      </c>
      <c r="F23" s="23">
        <f>IFERROR(VLOOKUP($B23,'Fiyatlar'!$A:$I,9,FALSE),0)</f>
        <v/>
      </c>
      <c r="G23" s="5">
        <f>E23*F23</f>
        <v/>
      </c>
    </row>
    <row r="24" ht="22" customHeight="1">
      <c r="A24" s="3" t="n">
        <v>19</v>
      </c>
      <c r="B24" s="21" t="inlineStr">
        <is>
          <t>TKDK-0151</t>
        </is>
      </c>
      <c r="C24" s="18" t="inlineStr">
        <is>
          <t>5 cm poliüretan dolgulu panel ile ısı yalıtımlı kapı yapılması — kümes servis kapısı 100/220</t>
        </is>
      </c>
      <c r="D24" s="3" t="inlineStr">
        <is>
          <t>m²</t>
        </is>
      </c>
      <c r="E24" s="22" t="n">
        <v>4.4</v>
      </c>
      <c r="F24" s="23">
        <f>IFERROR(VLOOKUP($B24,'Fiyatlar'!$A:$I,9,FALSE),0)</f>
        <v/>
      </c>
      <c r="G24" s="5">
        <f>E24*F24</f>
        <v/>
      </c>
    </row>
    <row r="25" ht="22" customHeight="1">
      <c r="A25" s="3" t="n">
        <v>20</v>
      </c>
      <c r="B25" s="21" t="inlineStr">
        <is>
          <t>TKDK-0151</t>
        </is>
      </c>
      <c r="C25" s="18" t="inlineStr">
        <is>
          <t>5 cm poliüretan dolgulu panel ile ısı yalıtımlı kapı yapılması — yükleme/temizlik kapısı 300/300 sürgülü</t>
        </is>
      </c>
      <c r="D25" s="3" t="inlineStr">
        <is>
          <t>m²</t>
        </is>
      </c>
      <c r="E25" s="22" t="n">
        <v>9</v>
      </c>
      <c r="F25" s="23">
        <f>IFERROR(VLOOKUP($B25,'Fiyatlar'!$A:$I,9,FALSE),0)</f>
        <v/>
      </c>
      <c r="G25" s="5">
        <f>E25*F25</f>
        <v/>
      </c>
    </row>
    <row r="26" ht="22" customHeight="1">
      <c r="A26" s="3" t="n">
        <v>21</v>
      </c>
      <c r="B26" s="21" t="inlineStr">
        <is>
          <t>15.225.1004</t>
        </is>
      </c>
      <c r="C26" s="18" t="inlineStr">
        <is>
          <t>10 cm kalınlığındaki teçhizatsız gazbeton duvar blokları ile bölme duvar yapılması — servis bölümü</t>
        </is>
      </c>
      <c r="D26" s="3" t="inlineStr">
        <is>
          <t>m²</t>
        </is>
      </c>
      <c r="E26" s="22" t="n">
        <v>45</v>
      </c>
      <c r="F26" s="23">
        <f>IFERROR(VLOOKUP($B26,'Fiyatlar'!$A:$I,9,FALSE),0)</f>
        <v/>
      </c>
      <c r="G26" s="5">
        <f>E26*F26</f>
        <v/>
      </c>
    </row>
    <row r="27" ht="22" customHeight="1">
      <c r="A27" s="3" t="n">
        <v>22</v>
      </c>
      <c r="B27" s="21" t="inlineStr">
        <is>
          <t>15.275.1117</t>
        </is>
      </c>
      <c r="C27" s="18" t="inlineStr">
        <is>
          <t>200 kg çimento ve kireç karışımı harç ile kaba sıva yapılması — servis bölümü bölme duvarları</t>
        </is>
      </c>
      <c r="D27" s="3" t="inlineStr">
        <is>
          <t>m²</t>
        </is>
      </c>
      <c r="E27" s="22" t="n">
        <v>90</v>
      </c>
      <c r="F27" s="23">
        <f>IFERROR(VLOOKUP($B27,'Fiyatlar'!$A:$I,9,FALSE),0)</f>
        <v/>
      </c>
      <c r="G27" s="5">
        <f>E27*F27</f>
        <v/>
      </c>
    </row>
    <row r="28" ht="22" customHeight="1">
      <c r="A28" s="3" t="n">
        <v>23</v>
      </c>
      <c r="B28" s="21" t="inlineStr">
        <is>
          <t>TKDK-0177</t>
        </is>
      </c>
      <c r="C28" s="18" t="inlineStr">
        <is>
          <t>Duvar karosu ile 3 mm derz aralıklı döşeme ve duvar kaplaması yapılması — servis bölümü</t>
        </is>
      </c>
      <c r="D28" s="3" t="inlineStr">
        <is>
          <t>m²</t>
        </is>
      </c>
      <c r="E28" s="22" t="n">
        <v>60</v>
      </c>
      <c r="F28" s="23">
        <f>IFERROR(VLOOKUP($B28,'Fiyatlar'!$A:$I,9,FALSE),0)</f>
        <v/>
      </c>
      <c r="G28" s="5">
        <f>E28*F28</f>
        <v/>
      </c>
    </row>
    <row r="29" ht="22" customHeight="1">
      <c r="A29" s="3" t="n">
        <v>24</v>
      </c>
      <c r="B29" s="21" t="inlineStr">
        <is>
          <t>15.540.1537</t>
        </is>
      </c>
      <c r="C29" s="18" t="inlineStr">
        <is>
          <t>Yeni sıva yüzeylere astar uygulanarak iki kat su bazlı plastik antibakteriyel boya — servis bölümü</t>
        </is>
      </c>
      <c r="D29" s="3" t="inlineStr">
        <is>
          <t>m²</t>
        </is>
      </c>
      <c r="E29" s="22" t="n">
        <v>55</v>
      </c>
      <c r="F29" s="23">
        <f>IFERROR(VLOOKUP($B29,'Fiyatlar'!$A:$I,9,FALSE),0)</f>
        <v/>
      </c>
      <c r="G29" s="5">
        <f>E29*F29</f>
        <v/>
      </c>
    </row>
    <row r="30" ht="22" customHeight="1">
      <c r="A30" s="3" t="n">
        <v>25</v>
      </c>
      <c r="B30" s="21" t="inlineStr">
        <is>
          <t>TKDK-0175</t>
        </is>
      </c>
      <c r="C30" s="18" t="inlineStr">
        <is>
          <t>PVC kaplamalı MDF presli iç kapı kanadı yapılması, yerinde takılması — servis bölümü</t>
        </is>
      </c>
      <c r="D30" s="3" t="inlineStr">
        <is>
          <t>m²</t>
        </is>
      </c>
      <c r="E30" s="22" t="n">
        <v>5.67</v>
      </c>
      <c r="F30" s="23">
        <f>IFERROR(VLOOKUP($B30,'Fiyatlar'!$A:$I,9,FALSE),0)</f>
        <v/>
      </c>
      <c r="G30" s="5">
        <f>E30*F30</f>
        <v/>
      </c>
    </row>
    <row r="31" ht="22" customHeight="1">
      <c r="A31" s="3" t="n">
        <v>26</v>
      </c>
      <c r="B31" s="21" t="inlineStr">
        <is>
          <t>15.550.1002</t>
        </is>
      </c>
      <c r="C31" s="18" t="inlineStr">
        <is>
          <t>1,50 mm sacdan bükme kapı kasası yapılması ve yerine konulması — servis bölümü iç kapıları</t>
        </is>
      </c>
      <c r="D31" s="3" t="inlineStr">
        <is>
          <t>kg</t>
        </is>
      </c>
      <c r="E31" s="22" t="n">
        <v>54.315</v>
      </c>
      <c r="F31" s="23">
        <f>IFERROR(VLOOKUP($B31,'Fiyatlar'!$A:$I,9,FALSE),0)</f>
        <v/>
      </c>
      <c r="G31" s="5">
        <f>E31*F31</f>
        <v/>
      </c>
    </row>
    <row r="32" ht="22" customHeight="1">
      <c r="A32" s="3" t="n">
        <v>27</v>
      </c>
      <c r="B32" s="21" t="inlineStr">
        <is>
          <t>43.527.1001</t>
        </is>
      </c>
      <c r="C32" s="18" t="inlineStr">
        <is>
          <t>ø150 HDPE koruge boru ile pissu hattı döşenmesi (SN 8, lastik conta ve boru bedeli dahil)</t>
        </is>
      </c>
      <c r="D32" s="3" t="inlineStr">
        <is>
          <t>m</t>
        </is>
      </c>
      <c r="E32" s="22" t="n">
        <v>25</v>
      </c>
      <c r="F32" s="23">
        <f>IFERROR(VLOOKUP($B32,'Fiyatlar'!$A:$I,9,FALSE),0)</f>
        <v/>
      </c>
      <c r="G32" s="5">
        <f>E32*F32</f>
        <v/>
      </c>
    </row>
    <row r="33" ht="14" customHeight="1">
      <c r="A33" s="3" t="n">
        <v>28</v>
      </c>
      <c r="B33" s="21" t="inlineStr">
        <is>
          <t>30.100.2105</t>
        </is>
      </c>
      <c r="C33" s="18" t="inlineStr">
        <is>
          <t>Kümes dağıtım panosu (sıva üstü galvanizli sac tablo, 0,40-0,50 m²)</t>
        </is>
      </c>
      <c r="D33" s="3" t="inlineStr">
        <is>
          <t>ad</t>
        </is>
      </c>
      <c r="E33" s="22" t="n">
        <v>1</v>
      </c>
      <c r="F33" s="23">
        <f>IFERROR(VLOOKUP($B33,'Fiyatlar'!$A:$I,9,FALSE),0)</f>
        <v/>
      </c>
      <c r="G33" s="5">
        <f>E33*F33</f>
        <v/>
      </c>
    </row>
    <row r="34" ht="14" customHeight="1">
      <c r="A34" s="3" t="n">
        <v>29</v>
      </c>
      <c r="B34" s="21" t="inlineStr">
        <is>
          <t>30.110.1102</t>
        </is>
      </c>
      <c r="C34" s="18" t="inlineStr">
        <is>
          <t>Termik-manyetik kompakt şalter 3x100 A, Icu 35 kA — kümes besleme</t>
        </is>
      </c>
      <c r="D34" s="3" t="inlineStr">
        <is>
          <t>ad</t>
        </is>
      </c>
      <c r="E34" s="22" t="n">
        <v>1</v>
      </c>
      <c r="F34" s="23">
        <f>IFERROR(VLOOKUP($B34,'Fiyatlar'!$A:$I,9,FALSE),0)</f>
        <v/>
      </c>
      <c r="G34" s="5">
        <f>E34*F34</f>
        <v/>
      </c>
    </row>
    <row r="35" ht="14" customHeight="1">
      <c r="A35" s="3" t="n">
        <v>30</v>
      </c>
      <c r="B35" s="21" t="inlineStr">
        <is>
          <t>30.115.1003</t>
        </is>
      </c>
      <c r="C35" s="18" t="inlineStr">
        <is>
          <t>Kaçak akım koruma şalteri 2x63 A, 30 mA</t>
        </is>
      </c>
      <c r="D35" s="3" t="inlineStr">
        <is>
          <t>ad</t>
        </is>
      </c>
      <c r="E35" s="22" t="n">
        <v>2</v>
      </c>
      <c r="F35" s="23">
        <f>IFERROR(VLOOKUP($B35,'Fiyatlar'!$A:$I,9,FALSE),0)</f>
        <v/>
      </c>
      <c r="G35" s="5">
        <f>E35*F35</f>
        <v/>
      </c>
    </row>
    <row r="36" ht="14" customHeight="1">
      <c r="A36" s="3" t="n">
        <v>31</v>
      </c>
      <c r="B36" s="21" t="inlineStr">
        <is>
          <t>30.140.3104</t>
        </is>
      </c>
      <c r="C36" s="18" t="inlineStr">
        <is>
          <t>YVV (NYY) 1 kV yeraltı kablosu ile kolon hattı tesisi — 1x25 mm²</t>
        </is>
      </c>
      <c r="D36" s="3" t="inlineStr">
        <is>
          <t>m</t>
        </is>
      </c>
      <c r="E36" s="22" t="n">
        <v>300</v>
      </c>
      <c r="F36" s="23">
        <f>IFERROR(VLOOKUP($B36,'Fiyatlar'!$A:$I,9,FALSE),0)</f>
        <v/>
      </c>
      <c r="G36" s="5">
        <f>E36*F36</f>
        <v/>
      </c>
    </row>
    <row r="37" ht="22" customHeight="1">
      <c r="A37" s="3" t="n">
        <v>32</v>
      </c>
      <c r="B37" s="21" t="inlineStr">
        <is>
          <t>30.170.1602</t>
        </is>
      </c>
      <c r="C37" s="18" t="inlineStr">
        <is>
          <t>LED sıva üstü etanj armatür (polikarbon gövdeli), ışık akısı en az 2700 lm — kümes genel aydınlatması</t>
        </is>
      </c>
      <c r="D37" s="3" t="inlineStr">
        <is>
          <t>ad</t>
        </is>
      </c>
      <c r="E37" s="22" t="n">
        <v>30</v>
      </c>
      <c r="F37" s="23">
        <f>IFERROR(VLOOKUP($B37,'Fiyatlar'!$A:$I,9,FALSE),0)</f>
        <v/>
      </c>
      <c r="G37" s="5">
        <f>E37*F37</f>
        <v/>
      </c>
    </row>
    <row r="38" ht="22" customHeight="1">
      <c r="A38" s="3" t="n">
        <v>33</v>
      </c>
      <c r="B38" s="21" t="inlineStr">
        <is>
          <t>30.170.1601</t>
        </is>
      </c>
      <c r="C38" s="18" t="inlineStr">
        <is>
          <t>LED sıva üstü etanj armatür (polikarbon gövdeli), ışık akısı en az 1800 lm — servis bölümü</t>
        </is>
      </c>
      <c r="D38" s="3" t="inlineStr">
        <is>
          <t>ad</t>
        </is>
      </c>
      <c r="E38" s="22" t="n">
        <v>2</v>
      </c>
      <c r="F38" s="23">
        <f>IFERROR(VLOOKUP($B38,'Fiyatlar'!$A:$I,9,FALSE),0)</f>
        <v/>
      </c>
      <c r="G38" s="5">
        <f>E38*F38</f>
        <v/>
      </c>
    </row>
    <row r="39" ht="14" customHeight="1">
      <c r="A39" s="3" t="n">
        <v>34</v>
      </c>
      <c r="B39" s="21" t="inlineStr">
        <is>
          <t>30.160.6102</t>
        </is>
      </c>
      <c r="C39" s="18" t="inlineStr">
        <is>
          <t>Boş boru döşemesi — 25-32 mm PVC boru</t>
        </is>
      </c>
      <c r="D39" s="3" t="inlineStr">
        <is>
          <t>m</t>
        </is>
      </c>
      <c r="E39" s="22" t="n">
        <v>500</v>
      </c>
      <c r="F39" s="23">
        <f>IFERROR(VLOOKUP($B39,'Fiyatlar'!$A:$I,9,FALSE),0)</f>
        <v/>
      </c>
      <c r="G39" s="5">
        <f>E39*F39</f>
        <v/>
      </c>
    </row>
    <row r="40" ht="14" customHeight="1">
      <c r="A40" s="3" t="n">
        <v>35</v>
      </c>
      <c r="B40" s="21" t="inlineStr">
        <is>
          <t>30.150.1402</t>
        </is>
      </c>
      <c r="C40" s="18" t="inlineStr">
        <is>
          <t>Halojensiz H07Z tipi iletken 1x2,5 mm² ile tesisat</t>
        </is>
      </c>
      <c r="D40" s="3" t="inlineStr">
        <is>
          <t>m</t>
        </is>
      </c>
      <c r="E40" s="22" t="n">
        <v>2000</v>
      </c>
      <c r="F40" s="23">
        <f>IFERROR(VLOOKUP($B40,'Fiyatlar'!$A:$I,9,FALSE),0)</f>
        <v/>
      </c>
      <c r="G40" s="5">
        <f>E40*F40</f>
        <v/>
      </c>
    </row>
    <row r="41" ht="14" customHeight="1">
      <c r="A41" s="3" t="n">
        <v>36</v>
      </c>
      <c r="B41" s="21" t="inlineStr">
        <is>
          <t>30.150.1401</t>
        </is>
      </c>
      <c r="C41" s="18" t="inlineStr">
        <is>
          <t>Halojensiz H07Z tipi iletken 1x1,5 mm² ile kumanda tesisatı</t>
        </is>
      </c>
      <c r="D41" s="3" t="inlineStr">
        <is>
          <t>m</t>
        </is>
      </c>
      <c r="E41" s="22" t="n">
        <v>600</v>
      </c>
      <c r="F41" s="23">
        <f>IFERROR(VLOOKUP($B41,'Fiyatlar'!$A:$I,9,FALSE),0)</f>
        <v/>
      </c>
      <c r="G41" s="5">
        <f>E41*F41</f>
        <v/>
      </c>
    </row>
    <row r="42" ht="14" customHeight="1">
      <c r="A42" s="3" t="n">
        <v>37</v>
      </c>
      <c r="B42" s="21" t="inlineStr">
        <is>
          <t>30.140.1105</t>
        </is>
      </c>
      <c r="C42" s="18" t="inlineStr">
        <is>
          <t>Çıplak bakır tel 25 mm² — eşpotansiyel bara ve topraklama iletkeni</t>
        </is>
      </c>
      <c r="D42" s="3" t="inlineStr">
        <is>
          <t>m</t>
        </is>
      </c>
      <c r="E42" s="22" t="n">
        <v>100</v>
      </c>
      <c r="F42" s="23">
        <f>IFERROR(VLOOKUP($B42,'Fiyatlar'!$A:$I,9,FALSE),0)</f>
        <v/>
      </c>
      <c r="G42" s="5">
        <f>E42*F42</f>
        <v/>
      </c>
    </row>
    <row r="43" ht="14" customHeight="1">
      <c r="A43" s="3" t="n">
        <v>38</v>
      </c>
      <c r="B43" s="21" t="inlineStr">
        <is>
          <t>30.750.3002</t>
        </is>
      </c>
      <c r="C43" s="18" t="inlineStr">
        <is>
          <t>Bina ihata iletkeni tesisatı — 30x3,5 mm galvanizli çelik lama (temel topraklaması)</t>
        </is>
      </c>
      <c r="D43" s="3" t="inlineStr">
        <is>
          <t>m</t>
        </is>
      </c>
      <c r="E43" s="22" t="n">
        <v>186</v>
      </c>
      <c r="F43" s="23">
        <f>IFERROR(VLOOKUP($B43,'Fiyatlar'!$A:$I,9,FALSE),0)</f>
        <v/>
      </c>
      <c r="G43" s="5">
        <f>E43*F43</f>
        <v/>
      </c>
    </row>
    <row r="44" ht="14" customHeight="1">
      <c r="A44" s="3" t="n">
        <v>39</v>
      </c>
      <c r="B44" s="21" t="inlineStr">
        <is>
          <t>30.750.1502</t>
        </is>
      </c>
      <c r="C44" s="18" t="inlineStr">
        <is>
          <t>Aktif yakalama ucu, ortalama uyarım yolu DL = 30-40 m</t>
        </is>
      </c>
      <c r="D44" s="3" t="inlineStr">
        <is>
          <t>ad</t>
        </is>
      </c>
      <c r="E44" s="22" t="n">
        <v>1</v>
      </c>
      <c r="F44" s="23">
        <f>IFERROR(VLOOKUP($B44,'Fiyatlar'!$A:$I,9,FALSE),0)</f>
        <v/>
      </c>
      <c r="G44" s="5">
        <f>E44*F44</f>
        <v/>
      </c>
    </row>
    <row r="45" ht="14" customHeight="1">
      <c r="A45" s="3" t="n">
        <v>40</v>
      </c>
      <c r="B45" s="21" t="inlineStr">
        <is>
          <t>30.750.2001</t>
        </is>
      </c>
      <c r="C45" s="18" t="inlineStr">
        <is>
          <t>Çatı ihata ve indirme iletkeni tesisatı — 50 mm² elektrolitik bakır tel</t>
        </is>
      </c>
      <c r="D45" s="3" t="inlineStr">
        <is>
          <t>m</t>
        </is>
      </c>
      <c r="E45" s="22" t="n">
        <v>16</v>
      </c>
      <c r="F45" s="23">
        <f>IFERROR(VLOOKUP($B45,'Fiyatlar'!$A:$I,9,FALSE),0)</f>
        <v/>
      </c>
      <c r="G45" s="5">
        <f>E45*F45</f>
        <v/>
      </c>
    </row>
    <row r="46">
      <c r="A46" s="7" t="n"/>
      <c r="B46" s="7" t="n"/>
      <c r="C46" s="24" t="inlineStr">
        <is>
          <t>ARA TOPLAM (KDV hariç)</t>
        </is>
      </c>
      <c r="D46" s="7" t="n"/>
      <c r="E46" s="7" t="n"/>
      <c r="F46" s="7" t="n"/>
      <c r="G46" s="9">
        <f>SUM(G6:G45)</f>
        <v/>
      </c>
    </row>
    <row r="47">
      <c r="A47" s="4" t="n"/>
      <c r="B47" s="4" t="n"/>
      <c r="C47" s="25" t="inlineStr">
        <is>
          <t>KDV</t>
        </is>
      </c>
      <c r="D47" s="4" t="n"/>
      <c r="E47" s="4" t="n"/>
      <c r="F47" s="4" t="n"/>
      <c r="G47" s="5">
        <f>G46*'Fiyatlar'!$F$3</f>
        <v/>
      </c>
    </row>
    <row r="48">
      <c r="A48" s="11" t="n"/>
      <c r="B48" s="11" t="n"/>
      <c r="C48" s="26" t="inlineStr">
        <is>
          <t>TEKLİF BEDELİ (KDV dâhil)</t>
        </is>
      </c>
      <c r="D48" s="11" t="n"/>
      <c r="E48" s="11" t="n"/>
      <c r="F48" s="11" t="n"/>
      <c r="G48" s="13">
        <f>G46+G47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2026-08-29T08:36:28Z</dcterms:created>
  <dcterms:modified xmlns:dcterms="http://purl.org/dc/terms/" xmlns:xsi="http://www.w3.org/2001/XMLSchema-instance" xsi:type="dcterms:W3CDTF">2026-08-29T08:36:28Z</dcterms:modified>
</cp:coreProperties>
</file>