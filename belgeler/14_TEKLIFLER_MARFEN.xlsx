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Blok'!$G$48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Blok'!$G$48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kazı yapılması — kümes A ve B blok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14" customHeight="1">
      <c r="A7" s="17" t="inlineStr">
        <is>
          <t>15.150.1003</t>
        </is>
      </c>
      <c r="B7" s="18" t="inlineStr">
        <is>
          <t>C 16/20 hazır beton dökülmesi — kümes temel altı grobeton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22" customHeight="1">
      <c r="A8" s="17" t="inlineStr">
        <is>
          <t>15.150.1005</t>
        </is>
      </c>
      <c r="B8" s="18" t="inlineStr">
        <is>
          <t>C 25/30 hazır beton dökülmesi — kümes şerit temel ve bağ kirişleri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 — kümes döşemeleri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14" customHeight="1">
      <c r="A10" s="17" t="inlineStr">
        <is>
          <t>15.160.1003</t>
        </is>
      </c>
      <c r="B10" s="18" t="inlineStr">
        <is>
          <t>Ø8-Ø12 nervürlü beton çelik çubuğu — kümes temelleri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14" customHeight="1">
      <c r="A11" s="17" t="inlineStr">
        <is>
          <t>15.160.1004</t>
        </is>
      </c>
      <c r="B11" s="18" t="inlineStr">
        <is>
          <t>Ø14-Ø28 nervürlü beton çelik çubuğu — kümes temelleri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saclarla karkas (çerçeve) inşaat yapılması, yerine tespiti — kümes çelik taşıyıcı sistemi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— kümes temelleri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bölme duvar yapılması — servis bölümü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 — cephe duvarı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 — boşluk üstü lento ve yatay hatıl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22" customHeight="1">
      <c r="A17" s="17" t="inlineStr">
        <is>
          <t>15.275.1116</t>
        </is>
      </c>
      <c r="B17" s="18" t="inlineStr">
        <is>
          <t>250 kg çimento dozlu harç ile kaba sıva yapılması — cephe duvarı dış yüzü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 — cephe duvarı iç yüzü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15.540.1537</t>
        </is>
      </c>
      <c r="B19" s="18" t="inlineStr">
        <is>
          <t>Yeni sıva yüzeylere astar uygulanarak iki kat su bazlı plastik antibakteriyel iç cephe boyası</t>
        </is>
      </c>
      <c r="C19" s="3" t="inlineStr">
        <is>
          <t>m²</t>
        </is>
      </c>
      <c r="D19" s="5" t="n">
        <v>296.13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248.75</v>
      </c>
    </row>
    <row r="20" ht="22" customHeight="1">
      <c r="A20" s="17" t="inlineStr">
        <is>
          <t>15.540.1606</t>
        </is>
      </c>
      <c r="B20" s="18" t="inlineStr">
        <is>
          <t>Brüt beton, sıvalı veya eski boyalı yüzeylere astar uygulanarak silikon esaslı su bazlı dış cephe boyası</t>
        </is>
      </c>
      <c r="C20" s="3" t="inlineStr">
        <is>
          <t>m²</t>
        </is>
      </c>
      <c r="D20" s="5" t="n">
        <v>386.03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324.27</v>
      </c>
    </row>
    <row r="21" ht="22" customHeight="1">
      <c r="A21" s="17" t="inlineStr">
        <is>
          <t>15.550.1002</t>
        </is>
      </c>
      <c r="B21" s="18" t="inlineStr">
        <is>
          <t>1,50 mm sacdan bükme kapı kasası yapılması ve yerine konulması — servis bölümü iç kapıları</t>
        </is>
      </c>
      <c r="C21" s="3" t="inlineStr">
        <is>
          <t>kg</t>
        </is>
      </c>
      <c r="D21" s="5" t="n">
        <v>218.54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183.57</v>
      </c>
    </row>
    <row r="22" ht="22" customHeight="1">
      <c r="A22" s="17" t="inlineStr">
        <is>
          <t>15.550.1202</t>
        </is>
      </c>
      <c r="B22" s="18" t="inlineStr">
        <is>
          <t>Lama ve profil demirlerden mahya, saçak ve köşe kapama profilleri</t>
        </is>
      </c>
      <c r="C22" s="3" t="inlineStr">
        <is>
          <t>kg</t>
        </is>
      </c>
      <c r="D22" s="5" t="n">
        <v>175.8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147.67</v>
      </c>
    </row>
    <row r="23" ht="22" customHeight="1">
      <c r="A23" s="17" t="inlineStr">
        <is>
          <t>30.100.2105</t>
        </is>
      </c>
      <c r="B23" s="18" t="inlineStr">
        <is>
          <t>Kümes dağıtım panosu (sıva üstü galvanizli sac tablo, 0,40-0,50 m²)</t>
        </is>
      </c>
      <c r="C23" s="3" t="inlineStr">
        <is>
          <t>ad</t>
        </is>
      </c>
      <c r="D23" s="5" t="n">
        <v>8433.52</v>
      </c>
      <c r="E23" s="19" t="inlineStr">
        <is>
          <t>ÇŞB 2026 Haziran elektrik rayici x 1,25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7084.16</v>
      </c>
    </row>
    <row r="24" ht="22" customHeight="1">
      <c r="A24" s="17" t="inlineStr">
        <is>
          <t>30.110.1102</t>
        </is>
      </c>
      <c r="B24" s="18" t="inlineStr">
        <is>
          <t>Termik-manyetik kompakt şalter 3x100 A, Icu 35 kA — kümes besleme</t>
        </is>
      </c>
      <c r="C24" s="3" t="inlineStr">
        <is>
          <t>ad</t>
        </is>
      </c>
      <c r="D24" s="5" t="n">
        <v>4200.06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3528.05</v>
      </c>
    </row>
    <row r="25" ht="14" customHeight="1">
      <c r="A25" s="17" t="inlineStr">
        <is>
          <t>30.115.1003</t>
        </is>
      </c>
      <c r="B25" s="18" t="inlineStr">
        <is>
          <t>Kaçak akım koruma şalteri 2x63 A, 30 mA</t>
        </is>
      </c>
      <c r="C25" s="3" t="inlineStr">
        <is>
          <t>ad</t>
        </is>
      </c>
      <c r="D25" s="5" t="n">
        <v>1284.76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1079.2</v>
      </c>
    </row>
    <row r="26" ht="22" customHeight="1">
      <c r="A26" s="17" t="inlineStr">
        <is>
          <t>30.140.1105</t>
        </is>
      </c>
      <c r="B26" s="18" t="inlineStr">
        <is>
          <t>Çıplak bakır tel 25 mm² — eşpotansiyel bara ve topraklama iletkeni</t>
        </is>
      </c>
      <c r="C26" s="3" t="inlineStr">
        <is>
          <t>m</t>
        </is>
      </c>
      <c r="D26" s="5" t="n">
        <v>186.96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157.05</v>
      </c>
    </row>
    <row r="27" ht="22" customHeight="1">
      <c r="A27" s="17" t="inlineStr">
        <is>
          <t>30.140.3104</t>
        </is>
      </c>
      <c r="B27" s="18" t="inlineStr">
        <is>
          <t>YVV (NYY) 1 kV yeraltı kablosu ile kolon hattı tesisi — 1x25 mm²</t>
        </is>
      </c>
      <c r="C27" s="3" t="inlineStr">
        <is>
          <t>m</t>
        </is>
      </c>
      <c r="D27" s="5" t="n">
        <v>238.1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200</v>
      </c>
    </row>
    <row r="28" ht="14" customHeight="1">
      <c r="A28" s="17" t="inlineStr">
        <is>
          <t>30.150.1401</t>
        </is>
      </c>
      <c r="B28" s="18" t="inlineStr">
        <is>
          <t>Halojensiz H07Z tipi iletken 1x1,5 mm² ile kumanda tesisatı</t>
        </is>
      </c>
      <c r="C28" s="3" t="inlineStr">
        <is>
          <t>m</t>
        </is>
      </c>
      <c r="D28" s="5" t="n">
        <v>14.55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12.22</v>
      </c>
    </row>
    <row r="29" ht="14" customHeight="1">
      <c r="A29" s="17" t="inlineStr">
        <is>
          <t>30.150.1402</t>
        </is>
      </c>
      <c r="B29" s="18" t="inlineStr">
        <is>
          <t>Halojensiz H07Z tipi iletken 1x2,5 mm² ile tesisat</t>
        </is>
      </c>
      <c r="C29" s="3" t="inlineStr">
        <is>
          <t>m</t>
        </is>
      </c>
      <c r="D29" s="5" t="n">
        <v>23.21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19.5</v>
      </c>
    </row>
    <row r="30" ht="14" customHeight="1">
      <c r="A30" s="17" t="inlineStr">
        <is>
          <t>30.160.6102</t>
        </is>
      </c>
      <c r="B30" s="18" t="inlineStr">
        <is>
          <t>Boş boru döşemesi — 25-32 mm PVC boru</t>
        </is>
      </c>
      <c r="C30" s="3" t="inlineStr">
        <is>
          <t>m</t>
        </is>
      </c>
      <c r="D30" s="5" t="n">
        <v>34.59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29.06</v>
      </c>
    </row>
    <row r="31" ht="22" customHeight="1">
      <c r="A31" s="17" t="inlineStr">
        <is>
          <t>30.170.1601</t>
        </is>
      </c>
      <c r="B31" s="18" t="inlineStr">
        <is>
          <t>LED sıva üstü etanj armatür (polikarbon gövdeli), ışık akısı en az 1800 lm — servis bölümü</t>
        </is>
      </c>
      <c r="C31" s="3" t="inlineStr">
        <is>
          <t>ad</t>
        </is>
      </c>
      <c r="D31" s="5" t="n">
        <v>1632.1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1370.96</v>
      </c>
    </row>
    <row r="32" ht="22" customHeight="1">
      <c r="A32" s="17" t="inlineStr">
        <is>
          <t>30.170.1602</t>
        </is>
      </c>
      <c r="B32" s="18" t="inlineStr">
        <is>
          <t>LED sıva üstü etanj armatür (polikarbon gövdeli), ışık akısı en az 2700 lm — kümes genel aydınlatması</t>
        </is>
      </c>
      <c r="C32" s="3" t="inlineStr">
        <is>
          <t>ad</t>
        </is>
      </c>
      <c r="D32" s="5" t="n">
        <v>2376.28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1996.08</v>
      </c>
    </row>
    <row r="33" ht="22" customHeight="1">
      <c r="A33" s="17" t="inlineStr">
        <is>
          <t>30.740.1106</t>
        </is>
      </c>
      <c r="B33" s="18" t="inlineStr">
        <is>
          <t>Dizel elektrojen grubu (jeneratör) 63 kVA / 50 kW — dizel motoru su veya hava ile soğuyan cinsten, 1500 d/dak</t>
        </is>
      </c>
      <c r="C33" s="3" t="inlineStr">
        <is>
          <t>ad</t>
        </is>
      </c>
      <c r="D33" s="5" t="n">
        <v>556368.2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467349.29</v>
      </c>
    </row>
    <row r="34" ht="14" customHeight="1">
      <c r="A34" s="17" t="inlineStr">
        <is>
          <t>30.740.5406</t>
        </is>
      </c>
      <c r="B34" s="18" t="inlineStr">
        <is>
          <t>Jeneratör ses izolasyon kabini — 63 kVA</t>
        </is>
      </c>
      <c r="C34" s="3" t="inlineStr">
        <is>
          <t>ad</t>
        </is>
      </c>
      <c r="D34" s="5" t="n">
        <v>94825.64999999999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79653.55</v>
      </c>
    </row>
    <row r="35" ht="14" customHeight="1">
      <c r="A35" s="17" t="inlineStr">
        <is>
          <t>30.750.1502</t>
        </is>
      </c>
      <c r="B35" s="18" t="inlineStr">
        <is>
          <t>Aktif yakalama ucu, ortalama uyarım yolu DL = 30-40 m</t>
        </is>
      </c>
      <c r="C35" s="3" t="inlineStr">
        <is>
          <t>ad</t>
        </is>
      </c>
      <c r="D35" s="5" t="n">
        <v>18566.2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15595.61</v>
      </c>
    </row>
    <row r="36" ht="22" customHeight="1">
      <c r="A36" s="17" t="inlineStr">
        <is>
          <t>30.750.2001</t>
        </is>
      </c>
      <c r="B36" s="18" t="inlineStr">
        <is>
          <t>Çatı ihata ve indirme iletkeni tesisatı — 50 mm² elektrolitik bakır tel</t>
        </is>
      </c>
      <c r="C36" s="3" t="inlineStr">
        <is>
          <t>m</t>
        </is>
      </c>
      <c r="D36" s="5" t="n">
        <v>508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426.72</v>
      </c>
    </row>
    <row r="37" ht="22" customHeight="1">
      <c r="A37" s="17" t="inlineStr">
        <is>
          <t>30.750.3002</t>
        </is>
      </c>
      <c r="B37" s="18" t="inlineStr">
        <is>
          <t>Bina ihata iletkeni tesisatı — 30x3,5 mm galvanizli çelik lama (temel topraklaması)</t>
        </is>
      </c>
      <c r="C37" s="3" t="inlineStr">
        <is>
          <t>m</t>
        </is>
      </c>
      <c r="D37" s="5" t="n">
        <v>138.05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115.96</v>
      </c>
    </row>
    <row r="38" ht="22" customHeight="1">
      <c r="A38" s="17" t="inlineStr">
        <is>
          <t>43.527.1001</t>
        </is>
      </c>
      <c r="B38" s="18" t="inlineStr">
        <is>
          <t>ø150 HDPE koruge boru ile pissu hattı döşenmesi (SN 8, lastik conta ve boru bedeli dahil)</t>
        </is>
      </c>
      <c r="C38" s="3" t="inlineStr">
        <is>
          <t>m</t>
        </is>
      </c>
      <c r="D38" s="5" t="n">
        <v>393.69</v>
      </c>
      <c r="E38" s="19" t="inlineStr">
        <is>
          <t>TKDK 17.02.2026 Özel Poz Tablosu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330.7</v>
      </c>
    </row>
    <row r="39" ht="14" customHeight="1">
      <c r="A39" s="17" t="inlineStr">
        <is>
          <t>TKDK-0115</t>
        </is>
      </c>
      <c r="B39" s="18" t="inlineStr">
        <is>
          <t>Galvanizli düz sacdan yağmur oluğu yapılması — dere</t>
        </is>
      </c>
      <c r="C39" s="3" t="inlineStr">
        <is>
          <t>kg</t>
        </is>
      </c>
      <c r="D39" s="5" t="n">
        <v>271.25</v>
      </c>
      <c r="E39" s="19" t="inlineStr">
        <is>
          <t>TKDK 17.02.2026 Özel Poz Tablosu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227.85</v>
      </c>
    </row>
    <row r="40" ht="22" customHeight="1">
      <c r="A40" s="17" t="inlineStr">
        <is>
          <t>TKDK-0151</t>
        </is>
      </c>
      <c r="B40" s="18" t="inlineStr">
        <is>
          <t>5 cm poliüretan dolgulu panel ile ısı yalıtımlı kapı yapılması — kümes servis kapısı 100/220</t>
        </is>
      </c>
      <c r="C40" s="3" t="inlineStr">
        <is>
          <t>m²</t>
        </is>
      </c>
      <c r="D40" s="5" t="n">
        <v>1035.88</v>
      </c>
      <c r="E40" s="19" t="inlineStr">
        <is>
          <t>TKDK 17.02.2026 Özel Poz Tablosu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870.14</v>
      </c>
    </row>
    <row r="41" ht="22" customHeight="1">
      <c r="A41" s="17" t="inlineStr">
        <is>
          <t>TKDK-0175</t>
        </is>
      </c>
      <c r="B41" s="18" t="inlineStr">
        <is>
          <t>PVC kaplamalı MDF presli iç kapı kanadı yapılması, yerinde takılması — servis bölümü</t>
        </is>
      </c>
      <c r="C41" s="3" t="inlineStr">
        <is>
          <t>m²</t>
        </is>
      </c>
      <c r="D41" s="5" t="n">
        <v>3199.68</v>
      </c>
      <c r="E41" s="19" t="inlineStr">
        <is>
          <t>TKDK 17.02.2026 Özel Poz Tablosu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2687.73</v>
      </c>
    </row>
    <row r="42" ht="22" customHeight="1">
      <c r="A42" s="17" t="inlineStr">
        <is>
          <t>TKDK-0177</t>
        </is>
      </c>
      <c r="B42" s="18" t="inlineStr">
        <is>
          <t>Duvar karosu ile 3 mm derz aralıklı döşeme ve duvar kaplaması yapılması — servis bölümü</t>
        </is>
      </c>
      <c r="C42" s="3" t="inlineStr">
        <is>
          <t>m²</t>
        </is>
      </c>
      <c r="D42" s="5" t="n">
        <v>835.1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1684.39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E17*F17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iniş borusu yapılması — ø100</t>
        </is>
      </c>
      <c r="D23" s="3" t="inlineStr">
        <is>
          <t>kg</t>
        </is>
      </c>
      <c r="E23" s="22" t="n">
        <v>40.96</v>
      </c>
      <c r="F23" s="23">
        <f>IFERROR(VLOOKUP($B23,'Fiyatlar'!$A:$I,9,FALSE),0)</f>
        <v/>
      </c>
      <c r="G23" s="5">
        <f>E23*F23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E32*F32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E36*F36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E38*F38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E45*F45</f>
        <v/>
      </c>
    </row>
    <row r="46" ht="22" customHeight="1">
      <c r="A46" s="3" t="n">
        <v>41</v>
      </c>
      <c r="B46" s="21" t="inlineStr">
        <is>
          <t>30.740.1106</t>
        </is>
      </c>
      <c r="C46" s="18" t="inlineStr">
        <is>
          <t>Dizel elektrojen grubu (jeneratör) 63 kVA / 50 kW — dizel motoru su veya hava ile soğuyan cinsten, 1500 d/dak</t>
        </is>
      </c>
      <c r="D46" s="3" t="inlineStr">
        <is>
          <t>ad</t>
        </is>
      </c>
      <c r="E46" s="22" t="n">
        <v>1</v>
      </c>
      <c r="F46" s="23">
        <f>IFERROR(VLOOKUP($B46,'Fiyatlar'!$A:$I,9,FALSE),0)</f>
        <v/>
      </c>
      <c r="G46" s="5">
        <f>E46*F46</f>
        <v/>
      </c>
    </row>
    <row r="47" ht="14" customHeight="1">
      <c r="A47" s="3" t="n">
        <v>42</v>
      </c>
      <c r="B47" s="21" t="inlineStr">
        <is>
          <t>30.740.5406</t>
        </is>
      </c>
      <c r="C47" s="18" t="inlineStr">
        <is>
          <t>Jeneratör ses izolasyon kabini — 63 kVA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>
      <c r="A48" s="7" t="n"/>
      <c r="B48" s="7" t="n"/>
      <c r="C48" s="24" t="inlineStr">
        <is>
          <t>ARA TOPLAM (KDV hariç)</t>
        </is>
      </c>
      <c r="D48" s="7" t="n"/>
      <c r="E48" s="7" t="n"/>
      <c r="F48" s="7" t="n"/>
      <c r="G48" s="9">
        <f>SUM(G6:G47)</f>
        <v/>
      </c>
    </row>
    <row r="49">
      <c r="A49" s="4" t="n"/>
      <c r="B49" s="4" t="n"/>
      <c r="C49" s="25" t="inlineStr">
        <is>
          <t>KDV</t>
        </is>
      </c>
      <c r="D49" s="4" t="n"/>
      <c r="E49" s="4" t="n"/>
      <c r="F49" s="4" t="n"/>
      <c r="G49" s="5">
        <f>G48*'Fiyatlar'!$F$3</f>
        <v/>
      </c>
    </row>
    <row r="50">
      <c r="A50" s="11" t="n"/>
      <c r="B50" s="11" t="n"/>
      <c r="C50" s="26" t="inlineStr">
        <is>
          <t>TEKLİF BEDELİ (KDV dâhil)</t>
        </is>
      </c>
      <c r="D50" s="11" t="n"/>
      <c r="E50" s="11" t="n"/>
      <c r="F50" s="11" t="n"/>
      <c r="G50" s="13">
        <f>G48+G49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1684.38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E17*F17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iniş borusu yapılması — ø100</t>
        </is>
      </c>
      <c r="D23" s="3" t="inlineStr">
        <is>
          <t>kg</t>
        </is>
      </c>
      <c r="E23" s="22" t="n">
        <v>40.96</v>
      </c>
      <c r="F23" s="23">
        <f>IFERROR(VLOOKUP($B23,'Fiyatlar'!$A:$I,9,FALSE),0)</f>
        <v/>
      </c>
      <c r="G23" s="5">
        <f>E23*F23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E32*F32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E36*F36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E38*F38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E45*F45</f>
        <v/>
      </c>
    </row>
    <row r="46" ht="22" customHeight="1">
      <c r="A46" s="3" t="n">
        <v>41</v>
      </c>
      <c r="B46" s="21" t="inlineStr">
        <is>
          <t>30.740.1106</t>
        </is>
      </c>
      <c r="C46" s="18" t="inlineStr">
        <is>
          <t>Dizel elektrojen grubu (jeneratör) 63 kVA / 50 kW — dizel motoru su veya hava ile soğuyan cinsten, 1500 d/dak</t>
        </is>
      </c>
      <c r="D46" s="3" t="inlineStr">
        <is>
          <t>ad</t>
        </is>
      </c>
      <c r="E46" s="22" t="n">
        <v>1</v>
      </c>
      <c r="F46" s="23">
        <f>IFERROR(VLOOKUP($B46,'Fiyatlar'!$A:$I,9,FALSE),0)</f>
        <v/>
      </c>
      <c r="G46" s="5">
        <f>E46*F46</f>
        <v/>
      </c>
    </row>
    <row r="47" ht="14" customHeight="1">
      <c r="A47" s="3" t="n">
        <v>42</v>
      </c>
      <c r="B47" s="21" t="inlineStr">
        <is>
          <t>30.740.5406</t>
        </is>
      </c>
      <c r="C47" s="18" t="inlineStr">
        <is>
          <t>Jeneratör ses izolasyon kabini — 63 kVA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>
      <c r="A48" s="7" t="n"/>
      <c r="B48" s="7" t="n"/>
      <c r="C48" s="24" t="inlineStr">
        <is>
          <t>ARA TOPLAM (KDV hariç)</t>
        </is>
      </c>
      <c r="D48" s="7" t="n"/>
      <c r="E48" s="7" t="n"/>
      <c r="F48" s="7" t="n"/>
      <c r="G48" s="9">
        <f>SUM(G6:G47)</f>
        <v/>
      </c>
    </row>
    <row r="49">
      <c r="A49" s="4" t="n"/>
      <c r="B49" s="4" t="n"/>
      <c r="C49" s="25" t="inlineStr">
        <is>
          <t>KDV</t>
        </is>
      </c>
      <c r="D49" s="4" t="n"/>
      <c r="E49" s="4" t="n"/>
      <c r="F49" s="4" t="n"/>
      <c r="G49" s="5">
        <f>G48*'Fiyatlar'!$F$3</f>
        <v/>
      </c>
    </row>
    <row r="50">
      <c r="A50" s="11" t="n"/>
      <c r="B50" s="11" t="n"/>
      <c r="C50" s="26" t="inlineStr">
        <is>
          <t>TEKLİF BEDELİ (KDV dâhil)</t>
        </is>
      </c>
      <c r="D50" s="11" t="n"/>
      <c r="E50" s="11" t="n"/>
      <c r="F50" s="11" t="n"/>
      <c r="G50" s="13">
        <f>G48+G49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2026-08-29T06:14:12Z</dcterms:created>
  <dcterms:modified xmlns:dcterms="http://purl.org/dc/terms/" xmlns:xsi="http://www.w3.org/2001/XMLSchema-instance" xsi:type="dcterms:W3CDTF">2026-08-29T06:14:12Z</dcterms:modified>
</cp:coreProperties>
</file>