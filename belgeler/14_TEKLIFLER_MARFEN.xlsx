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Blok'!$G$46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Blok'!$G$46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14" customHeight="1">
      <c r="A19" s="17" t="inlineStr">
        <is>
          <t>15.315.1001</t>
        </is>
      </c>
      <c r="B19" s="18" t="inlineStr">
        <is>
          <t>Ø70 sert PVC yağmur suyu iniş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14" customHeight="1">
      <c r="A26" s="17" t="inlineStr">
        <is>
          <t>30.115.1003</t>
        </is>
      </c>
      <c r="B26" s="18" t="inlineStr">
        <is>
          <t>Kaçak akım koruma şalteri 2x63 A, 30 mA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14" customHeight="1">
      <c r="A29" s="17" t="inlineStr">
        <is>
          <t>30.150.1401</t>
        </is>
      </c>
      <c r="B29" s="18" t="inlineStr">
        <is>
          <t>Halojensiz H07Z tipi iletken 1x1,5 mm² ile kumanda tesisatı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14" customHeight="1">
      <c r="A30" s="17" t="inlineStr">
        <is>
          <t>30.150.1402</t>
        </is>
      </c>
      <c r="B30" s="18" t="inlineStr">
        <is>
          <t>Halojensiz H07Z tipi iletken 1x2,5 mm² ile tesisat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14" customHeight="1">
      <c r="A31" s="17" t="inlineStr">
        <is>
          <t>30.160.6102</t>
        </is>
      </c>
      <c r="B31" s="18" t="inlineStr">
        <is>
          <t>Boş boru döşemesi — 25-32 mm PVC boru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22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14" customHeight="1">
      <c r="A34" s="17" t="inlineStr">
        <is>
          <t>30.750.1502</t>
        </is>
      </c>
      <c r="B34" s="18" t="inlineStr">
        <is>
          <t>Aktif yakalama ucu, ortalama uyarım yolu DL = 30-40 m</t>
        </is>
      </c>
      <c r="C34" s="3" t="inlineStr">
        <is>
          <t>ad</t>
        </is>
      </c>
      <c r="D34" s="5" t="n">
        <v>18566.2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15595.61</v>
      </c>
    </row>
    <row r="35" ht="22" customHeight="1">
      <c r="A35" s="17" t="inlineStr">
        <is>
          <t>30.750.2001</t>
        </is>
      </c>
      <c r="B35" s="18" t="inlineStr">
        <is>
          <t>Çatı ihata ve indirme iletkeni tesisatı — 50 mm² elektrolitik bakır tel</t>
        </is>
      </c>
      <c r="C35" s="3" t="inlineStr">
        <is>
          <t>m</t>
        </is>
      </c>
      <c r="D35" s="5" t="n">
        <v>508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426.72</v>
      </c>
    </row>
    <row r="36" ht="22" customHeight="1">
      <c r="A36" s="17" t="inlineStr">
        <is>
          <t>30.750.3002</t>
        </is>
      </c>
      <c r="B36" s="18" t="inlineStr">
        <is>
          <t>Bina ihata iletkeni tesisatı — 30x3,5 mm galvanizli çelik lama (temel topraklaması)</t>
        </is>
      </c>
      <c r="C36" s="3" t="inlineStr">
        <is>
          <t>m</t>
        </is>
      </c>
      <c r="D36" s="5" t="n">
        <v>138.05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115.96</v>
      </c>
    </row>
    <row r="37" ht="22" customHeight="1">
      <c r="A37" s="17" t="inlineStr">
        <is>
          <t>43.527.1001</t>
        </is>
      </c>
      <c r="B37" s="18" t="inlineStr">
        <is>
          <t>ø150 HDPE koruge boru ile pissu hattı döşenmesi (SN 8, lastik conta ve boru bedeli dahil)</t>
        </is>
      </c>
      <c r="C37" s="3" t="inlineStr">
        <is>
          <t>m</t>
        </is>
      </c>
      <c r="D37" s="5" t="n">
        <v>393.69</v>
      </c>
      <c r="E37" s="19" t="inlineStr">
        <is>
          <t>TKDK 17.02.2026 Özel Poz Tablosu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330.7</v>
      </c>
    </row>
    <row r="38" ht="14" customHeight="1">
      <c r="A38" s="17" t="inlineStr">
        <is>
          <t>TKDK-0115</t>
        </is>
      </c>
      <c r="B38" s="18" t="inlineStr">
        <is>
          <t>Galvanizli düz sacdan yağmur oluğu yapılması — dere</t>
        </is>
      </c>
      <c r="C38" s="3" t="inlineStr">
        <is>
          <t>kg</t>
        </is>
      </c>
      <c r="D38" s="5" t="n">
        <v>271.25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227.85</v>
      </c>
    </row>
    <row r="39" ht="22" customHeight="1">
      <c r="A39" s="17" t="inlineStr">
        <is>
          <t>TKDK-0151</t>
        </is>
      </c>
      <c r="B39" s="18" t="inlineStr">
        <is>
          <t>5 cm poliüretan dolgulu panel ile ısı yalıtımlı kapı yapılması — kümes servis kapısı 100/220</t>
        </is>
      </c>
      <c r="C39" s="3" t="inlineStr">
        <is>
          <t>m²</t>
        </is>
      </c>
      <c r="D39" s="5" t="n">
        <v>1035.88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870.14</v>
      </c>
    </row>
    <row r="40" ht="22" customHeight="1">
      <c r="A40" s="17" t="inlineStr">
        <is>
          <t>TKDK-0175</t>
        </is>
      </c>
      <c r="B40" s="18" t="inlineStr">
        <is>
          <t>PVC kaplamalı MDF presli iç kapı kanadı yapılması, yerinde takılması — servis bölümü</t>
        </is>
      </c>
      <c r="C40" s="3" t="inlineStr">
        <is>
          <t>m²</t>
        </is>
      </c>
      <c r="D40" s="5" t="n">
        <v>3199.68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2687.73</v>
      </c>
    </row>
    <row r="41" ht="22" customHeight="1">
      <c r="A41" s="17" t="inlineStr">
        <is>
          <t>TKDK-0177</t>
        </is>
      </c>
      <c r="B41" s="18" t="inlineStr">
        <is>
          <t>Duvar karosu ile 3 mm derz aralıklı döşeme ve duvar kaplaması yapılması — servis bölümü</t>
        </is>
      </c>
      <c r="C41" s="3" t="inlineStr">
        <is>
          <t>m²</t>
        </is>
      </c>
      <c r="D41" s="5" t="n">
        <v>835.1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>
      <c r="A46" s="7" t="n"/>
      <c r="B46" s="7" t="n"/>
      <c r="C46" s="24" t="inlineStr">
        <is>
          <t>ARA TOPLAM (KDV hariç)</t>
        </is>
      </c>
      <c r="D46" s="7" t="n"/>
      <c r="E46" s="7" t="n"/>
      <c r="F46" s="7" t="n"/>
      <c r="G46" s="9">
        <f>SUM(G6:G45)</f>
        <v/>
      </c>
    </row>
    <row r="47">
      <c r="A47" s="4" t="n"/>
      <c r="B47" s="4" t="n"/>
      <c r="C47" s="25" t="inlineStr">
        <is>
          <t>KDV</t>
        </is>
      </c>
      <c r="D47" s="4" t="n"/>
      <c r="E47" s="4" t="n"/>
      <c r="F47" s="4" t="n"/>
      <c r="G47" s="5">
        <f>G46*'Fiyatlar'!$F$3</f>
        <v/>
      </c>
    </row>
    <row r="48">
      <c r="A48" s="11" t="n"/>
      <c r="B48" s="11" t="n"/>
      <c r="C48" s="26" t="inlineStr">
        <is>
          <t>TEKLİF BEDELİ (KDV dâhil)</t>
        </is>
      </c>
      <c r="D48" s="11" t="n"/>
      <c r="E48" s="11" t="n"/>
      <c r="F48" s="11" t="n"/>
      <c r="G48" s="13">
        <f>G46+G47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>
      <c r="A46" s="7" t="n"/>
      <c r="B46" s="7" t="n"/>
      <c r="C46" s="24" t="inlineStr">
        <is>
          <t>ARA TOPLAM (KDV hariç)</t>
        </is>
      </c>
      <c r="D46" s="7" t="n"/>
      <c r="E46" s="7" t="n"/>
      <c r="F46" s="7" t="n"/>
      <c r="G46" s="9">
        <f>SUM(G6:G45)</f>
        <v/>
      </c>
    </row>
    <row r="47">
      <c r="A47" s="4" t="n"/>
      <c r="B47" s="4" t="n"/>
      <c r="C47" s="25" t="inlineStr">
        <is>
          <t>KDV</t>
        </is>
      </c>
      <c r="D47" s="4" t="n"/>
      <c r="E47" s="4" t="n"/>
      <c r="F47" s="4" t="n"/>
      <c r="G47" s="5">
        <f>G46*'Fiyatlar'!$F$3</f>
        <v/>
      </c>
    </row>
    <row r="48">
      <c r="A48" s="11" t="n"/>
      <c r="B48" s="11" t="n"/>
      <c r="C48" s="26" t="inlineStr">
        <is>
          <t>TEKLİF BEDELİ (KDV dâhil)</t>
        </is>
      </c>
      <c r="D48" s="11" t="n"/>
      <c r="E48" s="11" t="n"/>
      <c r="F48" s="11" t="n"/>
      <c r="G48" s="13">
        <f>G46+G47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2026-08-29T08:50:33Z</dcterms:created>
  <dcterms:modified xmlns:dcterms="http://purl.org/dc/terms/" xmlns:xsi="http://www.w3.org/2001/XMLSchema-instance" xsi:type="dcterms:W3CDTF">2026-08-29T08:50:33Z</dcterms:modified>
</cp:coreProperties>
</file>