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Blok'!$G$53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Blok'!$G$53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14" customHeight="1">
      <c r="A19" s="17" t="inlineStr">
        <is>
          <t>15.315.1001</t>
        </is>
      </c>
      <c r="B19" s="18" t="inlineStr">
        <is>
          <t>Ø70 sert PVC yağmur suyu iniş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14" customHeight="1">
      <c r="A26" s="17" t="inlineStr">
        <is>
          <t>30.115.1003</t>
        </is>
      </c>
      <c r="B26" s="18" t="inlineStr">
        <is>
          <t>Kaçak akım koruma şalteri 2x63 A, 30 mA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14" customHeight="1">
      <c r="A29" s="17" t="inlineStr">
        <is>
          <t>30.150.1401</t>
        </is>
      </c>
      <c r="B29" s="18" t="inlineStr">
        <is>
          <t>Halojensiz H07Z tipi iletken 1x1,5 mm² ile kumanda tesisatı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14" customHeight="1">
      <c r="A30" s="17" t="inlineStr">
        <is>
          <t>30.150.1402</t>
        </is>
      </c>
      <c r="B30" s="18" t="inlineStr">
        <is>
          <t>Halojensiz H07Z tipi iletken 1x2,5 mm² ile tesisat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14" customHeight="1">
      <c r="A31" s="17" t="inlineStr">
        <is>
          <t>30.160.6102</t>
        </is>
      </c>
      <c r="B31" s="18" t="inlineStr">
        <is>
          <t>Boş boru döşemesi — 25-32 mm PVC boru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22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14" customHeight="1">
      <c r="A34" s="17" t="inlineStr">
        <is>
          <t>30.190.1304</t>
        </is>
      </c>
      <c r="B34" s="18" t="inlineStr">
        <is>
          <t>Sıva üstü PVC kablo kanalı — en az 100 x 35 mm, üç bölmeli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22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14" customHeight="1">
      <c r="A36" s="17" t="inlineStr">
        <is>
          <t>30.740.5406</t>
        </is>
      </c>
      <c r="B36" s="18" t="inlineStr">
        <is>
          <t>Jeneratör ses izolasyon kabini — 63 kVA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14" customHeight="1">
      <c r="A37" s="17" t="inlineStr">
        <is>
          <t>30.750.1502</t>
        </is>
      </c>
      <c r="B37" s="18" t="inlineStr">
        <is>
          <t>Aktif yakalama ucu, ortalama uyarım yolu DL = 30-40 m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sistemi — 200x60x1,0 mm sıcak daldırma galvanizli perfore kablo tavası (malzeme)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22" customHeight="1">
      <c r="A42" s="17" t="inlineStr">
        <is>
          <t>35.190.1101</t>
        </is>
      </c>
      <c r="B42" s="18" t="inlineStr">
        <is>
          <t>Kablo tava sistemi kapak sacı — 1,0 mm sıcak daldırma galvanizli (malzeme)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ø150 HDPE koruge boru ile pissu hattı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yapılması — dere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22" customHeight="1">
      <c r="A46" s="17" t="inlineStr">
        <is>
          <t>TKDK-0151</t>
        </is>
      </c>
      <c r="B46" s="18" t="inlineStr">
        <is>
          <t>5 cm poliüretan dolgulu panel ile ısı yalıtımlı kapı yapılması — kümes servis kapısı 100/220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22" customHeight="1">
      <c r="A47" s="17" t="inlineStr">
        <is>
          <t>TKDK-0175</t>
        </is>
      </c>
      <c r="B47" s="18" t="inlineStr">
        <is>
          <t>PVC kaplamalı MDF presli iç kapı kanadı yapılması, yerinde takılması — servis bölümü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22" customHeight="1">
      <c r="A48" s="17" t="inlineStr">
        <is>
          <t>TKDK-0177</t>
        </is>
      </c>
      <c r="B48" s="18" t="inlineStr">
        <is>
          <t>Duvar karosu ile 3 mm derz aralıklı döşeme ve duvar kaplaması yapılması — servis bölümü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ROUND(E6*F6,2)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ROUND(E9*F9,2)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ROUND(E10*F10,2)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4.16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7.288</v>
      </c>
      <c r="F12" s="23">
        <f>IFERROR(VLOOKUP($B12,'Fiyatlar'!$A:$I,9,FALSE),0)</f>
        <v/>
      </c>
      <c r="G12" s="5">
        <f>ROUND(E12*F12,2)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</v>
      </c>
      <c r="F13" s="23">
        <f>IFERROR(VLOOKUP($B13,'Fiyatlar'!$A:$I,9,FALSE),0)</f>
        <v/>
      </c>
      <c r="G13" s="5">
        <f>ROUND(E13*F13,2)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ROUND(E17*F17,2)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ROUND(E18*F18,2)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ROUND(E20*F20,2)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ROUND(E21*F21,2)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ROUND(E23*F23,2)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ROUND(E26*F26,2)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ROUND(E27*F27,2)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ROUND(E30*F30,2)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ROUND(E32*F32,2)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ROUND(E33*F33,2)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ROUND(E38*F38,2)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ROUND(E40*F40,2)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ROUND(E41*F41,2)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ROUND(E43*F43,2)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ROUND(E44*F44,2)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ROUND(E46*F46,2)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35.190.1100</t>
        </is>
      </c>
      <c r="C48" s="18" t="inlineStr">
        <is>
          <t>Kablo tava sistemi — 200x60x1,0 mm sıcak daldırma galvanizli perfore kablo tavası (malzeme)</t>
        </is>
      </c>
      <c r="D48" s="3" t="inlineStr">
        <is>
          <t>kg</t>
        </is>
      </c>
      <c r="E48" s="22" t="n">
        <v>502</v>
      </c>
      <c r="F48" s="23">
        <f>IFERROR(VLOOKUP($B48,'Fiyatlar'!$A:$I,9,FALSE),0)</f>
        <v/>
      </c>
      <c r="G48" s="5">
        <f>ROUND(E48*F48,2)</f>
        <v/>
      </c>
    </row>
    <row r="49" ht="22" customHeight="1">
      <c r="A49" s="3" t="n">
        <v>44</v>
      </c>
      <c r="B49" s="21" t="inlineStr">
        <is>
          <t>35.190.1100 (montaj)</t>
        </is>
      </c>
      <c r="C49" s="18" t="inlineStr">
        <is>
          <t>Kablo tava sistemlerinin montajı — askı ve konsollarla tavana veya duvara tespiti; ek parça, konsol, askı tiji, vida ve somun bedelleri dâhildir, ayrıca ödenmez</t>
        </is>
      </c>
      <c r="D49" s="3" t="inlineStr">
        <is>
          <t>kg</t>
        </is>
      </c>
      <c r="E49" s="22" t="n">
        <v>502</v>
      </c>
      <c r="F49" s="23">
        <f>IFERROR(VLOOKUP($B49,'Fiyatlar'!$A:$I,9,FALSE),0)</f>
        <v/>
      </c>
      <c r="G49" s="5">
        <f>ROUND(E49*F49,2)</f>
        <v/>
      </c>
    </row>
    <row r="50" ht="14" customHeight="1">
      <c r="A50" s="3" t="n">
        <v>45</v>
      </c>
      <c r="B50" s="21" t="inlineStr">
        <is>
          <t>35.190.1101</t>
        </is>
      </c>
      <c r="C50" s="18" t="inlineStr">
        <is>
          <t>Kablo tava sistemi kapak sacı — 1,0 mm sıcak daldırma galvanizli (malzeme)</t>
        </is>
      </c>
      <c r="D50" s="3" t="inlineStr">
        <is>
          <t>kg</t>
        </is>
      </c>
      <c r="E50" s="22" t="n">
        <v>361.2</v>
      </c>
      <c r="F50" s="23">
        <f>IFERROR(VLOOKUP($B50,'Fiyatlar'!$A:$I,9,FALSE),0)</f>
        <v/>
      </c>
      <c r="G50" s="5">
        <f>ROUND(E50*F50,2)</f>
        <v/>
      </c>
    </row>
    <row r="51" ht="22" customHeight="1">
      <c r="A51" s="3" t="n">
        <v>46</v>
      </c>
      <c r="B51" s="21" t="inlineStr">
        <is>
          <t>35.190.1101 (montaj)</t>
        </is>
      </c>
      <c r="C51" s="18" t="inlineStr">
        <is>
          <t>Kablo tava sistemleri kapak sacının montajı — onaylı projesinde belirtilen kanalların kapatılması; her türlü işçilik ve malzeme dâhil, işler hâlde teslim</t>
        </is>
      </c>
      <c r="D51" s="3" t="inlineStr">
        <is>
          <t>kg</t>
        </is>
      </c>
      <c r="E51" s="22" t="n">
        <v>361.2</v>
      </c>
      <c r="F51" s="23">
        <f>IFERROR(VLOOKUP($B51,'Fiyatlar'!$A:$I,9,FALSE),0)</f>
        <v/>
      </c>
      <c r="G51" s="5">
        <f>ROUND(E51*F51,2)</f>
        <v/>
      </c>
    </row>
    <row r="52" ht="14" customHeight="1">
      <c r="A52" s="3" t="n">
        <v>47</v>
      </c>
      <c r="B52" s="21" t="inlineStr">
        <is>
          <t>30.190.1304</t>
        </is>
      </c>
      <c r="C52" s="18" t="inlineStr">
        <is>
          <t>Sıva üstü PVC kablo kanalı — en az 100 x 35 mm, üç bölmeli</t>
        </is>
      </c>
      <c r="D52" s="3" t="inlineStr">
        <is>
          <t>m</t>
        </is>
      </c>
      <c r="E52" s="22" t="n">
        <v>123</v>
      </c>
      <c r="F52" s="23">
        <f>IFERROR(VLOOKUP($B52,'Fiyatlar'!$A:$I,9,FALSE),0)</f>
        <v/>
      </c>
      <c r="G52" s="5">
        <f>ROUND(E52*F52,2)</f>
        <v/>
      </c>
    </row>
    <row r="53">
      <c r="A53" s="7" t="n"/>
      <c r="B53" s="7" t="n"/>
      <c r="C53" s="24" t="inlineStr">
        <is>
          <t>ARA TOPLAM (KDV hariç)</t>
        </is>
      </c>
      <c r="D53" s="7" t="n"/>
      <c r="E53" s="7" t="n"/>
      <c r="F53" s="7" t="n"/>
      <c r="G53" s="9">
        <f>SUM(G6:G52)</f>
        <v/>
      </c>
    </row>
    <row r="54">
      <c r="A54" s="4" t="n"/>
      <c r="B54" s="4" t="n"/>
      <c r="C54" s="25" t="inlineStr">
        <is>
          <t>KDV</t>
        </is>
      </c>
      <c r="D54" s="4" t="n"/>
      <c r="E54" s="4" t="n"/>
      <c r="F54" s="4" t="n"/>
      <c r="G54" s="5">
        <f>G53*'Fiyatlar'!$F$3</f>
        <v/>
      </c>
    </row>
    <row r="55">
      <c r="A55" s="11" t="n"/>
      <c r="B55" s="11" t="n"/>
      <c r="C55" s="26" t="inlineStr">
        <is>
          <t>TEKLİF BEDELİ (KDV dâhil)</t>
        </is>
      </c>
      <c r="D55" s="11" t="n"/>
      <c r="E55" s="11" t="n"/>
      <c r="F55" s="11" t="n"/>
      <c r="G55" s="13">
        <f>G53+G54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ROUND(E6*F6,2)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ROUND(E9*F9,2)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ROUND(E10*F10,2)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4.16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7.288</v>
      </c>
      <c r="F12" s="23">
        <f>IFERROR(VLOOKUP($B12,'Fiyatlar'!$A:$I,9,FALSE),0)</f>
        <v/>
      </c>
      <c r="G12" s="5">
        <f>ROUND(E12*F12,2)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</v>
      </c>
      <c r="F13" s="23">
        <f>IFERROR(VLOOKUP($B13,'Fiyatlar'!$A:$I,9,FALSE),0)</f>
        <v/>
      </c>
      <c r="G13" s="5">
        <f>ROUND(E13*F13,2)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ROUND(E17*F17,2)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ROUND(E18*F18,2)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ROUND(E20*F20,2)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ROUND(E21*F21,2)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ROUND(E23*F23,2)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ROUND(E26*F26,2)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ROUND(E27*F27,2)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ROUND(E30*F30,2)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ROUND(E32*F32,2)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ROUND(E33*F33,2)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ROUND(E38*F38,2)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ROUND(E40*F40,2)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ROUND(E41*F41,2)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ROUND(E43*F43,2)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ROUND(E44*F44,2)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ROUND(E46*F46,2)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35.190.1100</t>
        </is>
      </c>
      <c r="C48" s="18" t="inlineStr">
        <is>
          <t>Kablo tava sistemi — 200x60x1,0 mm sıcak daldırma galvanizli perfore kablo tavası (malzeme)</t>
        </is>
      </c>
      <c r="D48" s="3" t="inlineStr">
        <is>
          <t>kg</t>
        </is>
      </c>
      <c r="E48" s="22" t="n">
        <v>502</v>
      </c>
      <c r="F48" s="23">
        <f>IFERROR(VLOOKUP($B48,'Fiyatlar'!$A:$I,9,FALSE),0)</f>
        <v/>
      </c>
      <c r="G48" s="5">
        <f>ROUND(E48*F48,2)</f>
        <v/>
      </c>
    </row>
    <row r="49" ht="22" customHeight="1">
      <c r="A49" s="3" t="n">
        <v>44</v>
      </c>
      <c r="B49" s="21" t="inlineStr">
        <is>
          <t>35.190.1100 (montaj)</t>
        </is>
      </c>
      <c r="C49" s="18" t="inlineStr">
        <is>
          <t>Kablo tava sistemlerinin montajı — askı ve konsollarla tavana veya duvara tespiti; ek parça, konsol, askı tiji, vida ve somun bedelleri dâhildir, ayrıca ödenmez</t>
        </is>
      </c>
      <c r="D49" s="3" t="inlineStr">
        <is>
          <t>kg</t>
        </is>
      </c>
      <c r="E49" s="22" t="n">
        <v>502</v>
      </c>
      <c r="F49" s="23">
        <f>IFERROR(VLOOKUP($B49,'Fiyatlar'!$A:$I,9,FALSE),0)</f>
        <v/>
      </c>
      <c r="G49" s="5">
        <f>ROUND(E49*F49,2)</f>
        <v/>
      </c>
    </row>
    <row r="50" ht="14" customHeight="1">
      <c r="A50" s="3" t="n">
        <v>45</v>
      </c>
      <c r="B50" s="21" t="inlineStr">
        <is>
          <t>35.190.1101</t>
        </is>
      </c>
      <c r="C50" s="18" t="inlineStr">
        <is>
          <t>Kablo tava sistemi kapak sacı — 1,0 mm sıcak daldırma galvanizli (malzeme)</t>
        </is>
      </c>
      <c r="D50" s="3" t="inlineStr">
        <is>
          <t>kg</t>
        </is>
      </c>
      <c r="E50" s="22" t="n">
        <v>361.2</v>
      </c>
      <c r="F50" s="23">
        <f>IFERROR(VLOOKUP($B50,'Fiyatlar'!$A:$I,9,FALSE),0)</f>
        <v/>
      </c>
      <c r="G50" s="5">
        <f>ROUND(E50*F50,2)</f>
        <v/>
      </c>
    </row>
    <row r="51" ht="22" customHeight="1">
      <c r="A51" s="3" t="n">
        <v>46</v>
      </c>
      <c r="B51" s="21" t="inlineStr">
        <is>
          <t>35.190.1101 (montaj)</t>
        </is>
      </c>
      <c r="C51" s="18" t="inlineStr">
        <is>
          <t>Kablo tava sistemleri kapak sacının montajı — onaylı projesinde belirtilen kanalların kapatılması; her türlü işçilik ve malzeme dâhil, işler hâlde teslim</t>
        </is>
      </c>
      <c r="D51" s="3" t="inlineStr">
        <is>
          <t>kg</t>
        </is>
      </c>
      <c r="E51" s="22" t="n">
        <v>361.2</v>
      </c>
      <c r="F51" s="23">
        <f>IFERROR(VLOOKUP($B51,'Fiyatlar'!$A:$I,9,FALSE),0)</f>
        <v/>
      </c>
      <c r="G51" s="5">
        <f>ROUND(E51*F51,2)</f>
        <v/>
      </c>
    </row>
    <row r="52" ht="14" customHeight="1">
      <c r="A52" s="3" t="n">
        <v>47</v>
      </c>
      <c r="B52" s="21" t="inlineStr">
        <is>
          <t>30.190.1304</t>
        </is>
      </c>
      <c r="C52" s="18" t="inlineStr">
        <is>
          <t>Sıva üstü PVC kablo kanalı — en az 100 x 35 mm, üç bölmeli</t>
        </is>
      </c>
      <c r="D52" s="3" t="inlineStr">
        <is>
          <t>m</t>
        </is>
      </c>
      <c r="E52" s="22" t="n">
        <v>123</v>
      </c>
      <c r="F52" s="23">
        <f>IFERROR(VLOOKUP($B52,'Fiyatlar'!$A:$I,9,FALSE),0)</f>
        <v/>
      </c>
      <c r="G52" s="5">
        <f>ROUND(E52*F52,2)</f>
        <v/>
      </c>
    </row>
    <row r="53">
      <c r="A53" s="7" t="n"/>
      <c r="B53" s="7" t="n"/>
      <c r="C53" s="24" t="inlineStr">
        <is>
          <t>ARA TOPLAM (KDV hariç)</t>
        </is>
      </c>
      <c r="D53" s="7" t="n"/>
      <c r="E53" s="7" t="n"/>
      <c r="F53" s="7" t="n"/>
      <c r="G53" s="9">
        <f>SUM(G6:G52)</f>
        <v/>
      </c>
    </row>
    <row r="54">
      <c r="A54" s="4" t="n"/>
      <c r="B54" s="4" t="n"/>
      <c r="C54" s="25" t="inlineStr">
        <is>
          <t>KDV</t>
        </is>
      </c>
      <c r="D54" s="4" t="n"/>
      <c r="E54" s="4" t="n"/>
      <c r="F54" s="4" t="n"/>
      <c r="G54" s="5">
        <f>G53*'Fiyatlar'!$F$3</f>
        <v/>
      </c>
    </row>
    <row r="55">
      <c r="A55" s="11" t="n"/>
      <c r="B55" s="11" t="n"/>
      <c r="C55" s="26" t="inlineStr">
        <is>
          <t>TEKLİF BEDELİ (KDV dâhil)</t>
        </is>
      </c>
      <c r="D55" s="11" t="n"/>
      <c r="E55" s="11" t="n"/>
      <c r="F55" s="11" t="n"/>
      <c r="G55" s="13">
        <f>G53+G54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2026-08-29T11:27:12Z</dcterms:created>
  <dcterms:modified xmlns:dcterms="http://purl.org/dc/terms/" xmlns:xsi="http://www.w3.org/2001/XMLSchema-instance" xsi:type="dcterms:W3CDTF">2026-08-29T11:27:12Z</dcterms:modified>
</cp:coreProperties>
</file>