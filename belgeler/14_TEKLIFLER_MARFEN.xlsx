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Blok'!$G$50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Blok'!$G$50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Çukuru'!$G$13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15.120.1101</t>
        </is>
      </c>
      <c r="B7" s="18" t="inlineStr">
        <is>
          <t>Makine ile dar ve derin sandık kazı — gübre çukuru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14" customHeight="1">
      <c r="A8" s="17" t="inlineStr">
        <is>
          <t>15.150.1003</t>
        </is>
      </c>
      <c r="B8" s="18" t="inlineStr">
        <is>
          <t>C 16/20 hazır beton dökülmesi — kümes temel altı grobeton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22" customHeight="1">
      <c r="A9" s="17" t="inlineStr">
        <is>
          <t>15.150.1005</t>
        </is>
      </c>
      <c r="B9" s="18" t="inlineStr">
        <is>
          <t>C 25/30 hazır beton dökülmesi — kümes şerit temel ve bağ kirişleri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 — kümes döşemeleri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14" customHeight="1">
      <c r="A11" s="17" t="inlineStr">
        <is>
          <t>15.160.1003</t>
        </is>
      </c>
      <c r="B11" s="18" t="inlineStr">
        <is>
          <t>Ø8-Ø12 nervürlü beton çelik çubuğu — kümes temelleri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14" customHeight="1">
      <c r="A12" s="17" t="inlineStr">
        <is>
          <t>15.160.1004</t>
        </is>
      </c>
      <c r="B12" s="18" t="inlineStr">
        <is>
          <t>Ø14-Ø28 nervürlü beton çelik çubuğu — kümes temelleri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saclarla karkas (çerçeve) inşaat yapılması, yerine tespiti — kümes çelik taşıyıcı sistemi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— kümes temelleri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bölme duvar yapılması — servis bölümü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 — cephe duvarı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 — boşluk üstü lento ve yatay hatıl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22" customHeight="1">
      <c r="A18" s="17" t="inlineStr">
        <is>
          <t>15.275.1116</t>
        </is>
      </c>
      <c r="B18" s="18" t="inlineStr">
        <is>
          <t>250 kg çimento dozlu harç ile kaba sıva yapılması — cephe duvarı dış yüzü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 — cephe duvarı iç yüzü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 — şebeke/jeneratör geçişi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ø150 HDPE koruge boru ile pissu hattı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22" customHeight="1">
      <c r="A51" s="17" t="inlineStr">
        <is>
          <t>TKDK-0091</t>
        </is>
      </c>
      <c r="B51" s="18" t="inlineStr">
        <is>
          <t>1,50 m yükseklikte sıcak daldırma galvanizli tel örgü ile çit yapılması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yapılması — dere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22" customHeight="1">
      <c r="A53" s="17" t="inlineStr">
        <is>
          <t>TKDK-0151</t>
        </is>
      </c>
      <c r="B53" s="18" t="inlineStr">
        <is>
          <t>5 cm poliüretan dolgulu panel ile ısı yalıtımlı kapı yapılması — kümes servis kapısı 100/220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22" customHeight="1">
      <c r="A54" s="17" t="inlineStr">
        <is>
          <t>TKDK-0175</t>
        </is>
      </c>
      <c r="B54" s="18" t="inlineStr">
        <is>
          <t>PVC kaplamalı MDF presli iç kapı kanadı yapılması, yerinde takılması — servis bölümü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22" customHeight="1">
      <c r="A55" s="17" t="inlineStr">
        <is>
          <t>TKDK-0177</t>
        </is>
      </c>
      <c r="B55" s="18" t="inlineStr">
        <is>
          <t>Duvar karosu ile 3 mm derz aralıklı döşeme ve duvar kaplaması yapılması — servis bölümü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GÜBRE ÇUKURU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gübre çukuru</t>
        </is>
      </c>
      <c r="D6" s="3" t="inlineStr">
        <is>
          <t>m³</t>
        </is>
      </c>
      <c r="E6" s="22" t="n">
        <v>542.7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gübre çukuru radye altı grobeton</t>
        </is>
      </c>
      <c r="D7" s="3" t="inlineStr">
        <is>
          <t>m³</t>
        </is>
      </c>
      <c r="E7" s="22" t="n">
        <v>11.934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gübre çukuru radye temeli</t>
        </is>
      </c>
      <c r="D8" s="3" t="inlineStr">
        <is>
          <t>m³</t>
        </is>
      </c>
      <c r="E8" s="22" t="n">
        <v>46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gübre çukuru perde, kolon ve üst döşemesi</t>
        </is>
      </c>
      <c r="D9" s="3" t="inlineStr">
        <is>
          <t>m³</t>
        </is>
      </c>
      <c r="E9" s="22" t="n">
        <v>47.19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gübre çukuru</t>
        </is>
      </c>
      <c r="D10" s="3" t="inlineStr">
        <is>
          <t>m²</t>
        </is>
      </c>
      <c r="E10" s="22" t="n">
        <v>363.26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gübre çukuru</t>
        </is>
      </c>
      <c r="D11" s="3" t="inlineStr">
        <is>
          <t>ton</t>
        </is>
      </c>
      <c r="E11" s="22" t="n">
        <v>7.5993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gübre çukuru ve yağmur suyu deposu</t>
        </is>
      </c>
      <c r="D12" s="3" t="inlineStr">
        <is>
          <t>ton</t>
        </is>
      </c>
      <c r="E12" s="22" t="n">
        <v>0.5641</v>
      </c>
      <c r="F12" s="23">
        <f>IFERROR(VLOOKUP($B12,'Fiyatlar'!$A:$I,9,FALSE),0)</f>
        <v/>
      </c>
      <c r="G12" s="5">
        <f>E12*F12</f>
        <v/>
      </c>
    </row>
    <row r="13">
      <c r="A13" s="7" t="n"/>
      <c r="B13" s="7" t="n"/>
      <c r="C13" s="24" t="inlineStr">
        <is>
          <t>ARA TOPLAM (KDV hariç)</t>
        </is>
      </c>
      <c r="D13" s="7" t="n"/>
      <c r="E13" s="7" t="n"/>
      <c r="F13" s="7" t="n"/>
      <c r="G13" s="9">
        <f>SUM(G6:G12)</f>
        <v/>
      </c>
    </row>
    <row r="14">
      <c r="A14" s="4" t="n"/>
      <c r="B14" s="4" t="n"/>
      <c r="C14" s="25" t="inlineStr">
        <is>
          <t>KDV</t>
        </is>
      </c>
      <c r="D14" s="4" t="n"/>
      <c r="E14" s="4" t="n"/>
      <c r="F14" s="4" t="n"/>
      <c r="G14" s="5">
        <f>G13*'Fiyatlar'!$F$3</f>
        <v/>
      </c>
    </row>
    <row r="15">
      <c r="A15" s="11" t="n"/>
      <c r="B15" s="11" t="n"/>
      <c r="C15" s="26" t="inlineStr">
        <is>
          <t>TEKLİF BEDELİ (KDV dâhil)</t>
        </is>
      </c>
      <c r="D15" s="11" t="n"/>
      <c r="E15" s="11" t="n"/>
      <c r="F15" s="11" t="n"/>
      <c r="G15" s="13">
        <f>G13+G14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ÖLÜ ATMA ÇUKURU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142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20.85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127.2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1.6571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FOSEPTIK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48.8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0.484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6.175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41.4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0.5866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YEM SILOSU BETONARME KAIDELERI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48.02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1.922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8.41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11.6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0.7569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SU DEPOSU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106.5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1.344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15.15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95.59999999999999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1.2316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ÇEVRE DÜZENLEMESI VE SAHA ALTYAPISI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kaba tesviye kazısı — tesis içi yol güzergâhı</t>
        </is>
      </c>
      <c r="D6" s="3" t="inlineStr">
        <is>
          <t>m³</t>
        </is>
      </c>
      <c r="E6" s="22" t="n">
        <v>260.9425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TKDK-0091</t>
        </is>
      </c>
      <c r="C7" s="18" t="inlineStr">
        <is>
          <t>1,50 m yükseklikte sıcak daldırma galvanizli tel örgü ile çit yapılması</t>
        </is>
      </c>
      <c r="D7" s="3" t="inlineStr">
        <is>
          <t>m</t>
        </is>
      </c>
      <c r="E7" s="22" t="n">
        <v>361.04</v>
      </c>
      <c r="F7" s="23">
        <f>IFERROR(VLOOKUP($B7,'Fiyatlar'!$A:$I,9,FALSE),0)</f>
        <v/>
      </c>
      <c r="G7" s="5">
        <f>E7*F7</f>
        <v/>
      </c>
    </row>
    <row r="8" ht="22" customHeight="1">
      <c r="A8" s="3" t="n">
        <v>3</v>
      </c>
      <c r="B8" s="21" t="inlineStr">
        <is>
          <t>43.527.1001</t>
        </is>
      </c>
      <c r="C8" s="18" t="inlineStr">
        <is>
          <t>ø150 HDPE koruge boru ile pissu hattı döşenmesi (SN 8, lastik conta ve boru bedeli dahil)</t>
        </is>
      </c>
      <c r="D8" s="3" t="inlineStr">
        <is>
          <t>m</t>
        </is>
      </c>
      <c r="E8" s="22" t="n">
        <v>50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betonarme rögarlar</t>
        </is>
      </c>
      <c r="D9" s="3" t="inlineStr">
        <is>
          <t>m³</t>
        </is>
      </c>
      <c r="E9" s="22" t="n">
        <v>1.566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Düz yüzeyli beton ve betonarme kalıbı yapılması — betonarme rögarlar</t>
        </is>
      </c>
      <c r="D10" s="3" t="inlineStr">
        <is>
          <t>m²</t>
        </is>
      </c>
      <c r="E10" s="22" t="n">
        <v>14.4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Nervürlü betonarme çeliği ø8-ø12 — betonarme rögarlar</t>
        </is>
      </c>
      <c r="D11" s="3" t="inlineStr">
        <is>
          <t>ton</t>
        </is>
      </c>
      <c r="E11" s="22" t="n">
        <v>0.1409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2" t="n">
        <v>4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2" t="n">
        <v>1</v>
      </c>
      <c r="F13" s="23">
        <f>IFERROR(VLOOKUP($B13,'Fiyatlar'!$A:$I,9,FALSE),0)</f>
        <v/>
      </c>
      <c r="G13" s="5">
        <f>E13*F13</f>
        <v/>
      </c>
    </row>
    <row r="14" ht="14" customHeight="1">
      <c r="A14" s="3" t="n">
        <v>9</v>
      </c>
      <c r="B14" s="21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2" t="n">
        <v>1</v>
      </c>
      <c r="F14" s="23">
        <f>IFERROR(VLOOKUP($B14,'Fiyatlar'!$A:$I,9,FALSE),0)</f>
        <v/>
      </c>
      <c r="G14" s="5">
        <f>E14*F14</f>
        <v/>
      </c>
    </row>
    <row r="15" ht="14" customHeight="1">
      <c r="A15" s="3" t="n">
        <v>10</v>
      </c>
      <c r="B15" s="21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2" t="n">
        <v>1</v>
      </c>
      <c r="F15" s="23">
        <f>IFERROR(VLOOKUP($B15,'Fiyatlar'!$A:$I,9,FALSE),0)</f>
        <v/>
      </c>
      <c r="G15" s="5">
        <f>E15*F15</f>
        <v/>
      </c>
    </row>
    <row r="16" ht="14" customHeight="1">
      <c r="A16" s="3" t="n">
        <v>11</v>
      </c>
      <c r="B16" s="21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2" t="n">
        <v>1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2" t="n">
        <v>2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2" t="n">
        <v>50</v>
      </c>
      <c r="F18" s="23">
        <f>IFERROR(VLOOKUP($B18,'Fiyatlar'!$A:$I,9,FALSE),0)</f>
        <v/>
      </c>
      <c r="G18" s="5">
        <f>E18*F18</f>
        <v/>
      </c>
    </row>
    <row r="19" ht="14" customHeight="1">
      <c r="A19" s="3" t="n">
        <v>14</v>
      </c>
      <c r="B19" s="21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2" t="n">
        <v>50</v>
      </c>
      <c r="F19" s="23">
        <f>IFERROR(VLOOKUP($B19,'Fiyatlar'!$A:$I,9,FALSE),0)</f>
        <v/>
      </c>
      <c r="G19" s="5">
        <f>E19*F19</f>
        <v/>
      </c>
    </row>
    <row r="20" ht="14" customHeight="1">
      <c r="A20" s="3" t="n">
        <v>15</v>
      </c>
      <c r="B20" s="21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2" t="n">
        <v>4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2" t="n">
        <v>4</v>
      </c>
      <c r="F21" s="23">
        <f>IFERROR(VLOOKUP($B21,'Fiyatlar'!$A:$I,9,FALSE),0)</f>
        <v/>
      </c>
      <c r="G21" s="5">
        <f>E21*F21</f>
        <v/>
      </c>
    </row>
    <row r="22">
      <c r="A22" s="7" t="n"/>
      <c r="B22" s="7" t="n"/>
      <c r="C22" s="24" t="inlineStr">
        <is>
          <t>ARA TOPLAM (KDV hariç)</t>
        </is>
      </c>
      <c r="D22" s="7" t="n"/>
      <c r="E22" s="7" t="n"/>
      <c r="F22" s="7" t="n"/>
      <c r="G22" s="9">
        <f>SUM(G6:G21)</f>
        <v/>
      </c>
    </row>
    <row r="23">
      <c r="A23" s="4" t="n"/>
      <c r="B23" s="4" t="n"/>
      <c r="C23" s="25" t="inlineStr">
        <is>
          <t>KDV</t>
        </is>
      </c>
      <c r="D23" s="4" t="n"/>
      <c r="E23" s="4" t="n"/>
      <c r="F23" s="4" t="n"/>
      <c r="G23" s="5">
        <f>G22*'Fiyatlar'!$F$3</f>
        <v/>
      </c>
    </row>
    <row r="24">
      <c r="A24" s="11" t="n"/>
      <c r="B24" s="11" t="n"/>
      <c r="C24" s="26" t="inlineStr">
        <is>
          <t>TEKLİF BEDELİ (KDV dâhil)</t>
        </is>
      </c>
      <c r="D24" s="11" t="n"/>
      <c r="E24" s="11" t="n"/>
      <c r="F24" s="11" t="n"/>
      <c r="G24" s="13">
        <f>G22+G23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2026-08-28T09:01:39Z</dcterms:created>
  <dcterms:modified xmlns:dcterms="http://purl.org/dc/terms/" xmlns:xsi="http://www.w3.org/2001/XMLSchema-instance" xsi:type="dcterms:W3CDTF">2026-08-28T09:01:39Z</dcterms:modified>
</cp:coreProperties>
</file>