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Blok'!$G$49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Blok'!$G$49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30.190.1304</t>
        </is>
      </c>
      <c r="B34" s="18" t="inlineStr">
        <is>
          <t>Sıva üstü PVC kablo kanalı — en az 100 x 35 mm, üç bölmeli (%25 müteahhit kârı dahil)</t>
        </is>
      </c>
      <c r="C34" s="3" t="inlineStr">
        <is>
          <t>m</t>
        </is>
      </c>
      <c r="D34" s="5" t="n">
        <v>277.71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233.28</v>
      </c>
    </row>
    <row r="35" ht="33" customHeight="1">
      <c r="A35" s="17" t="inlineStr">
        <is>
          <t>30.740.1106</t>
        </is>
      </c>
      <c r="B35" s="18" t="inlineStr">
        <is>
          <t>Dizel elektrojen grubu (jeneratör) 63 kVA / 50 kW — dizel motoru su veya hava ile soğuyan cinsten, 1500 d/dak (%25 müteahhit kârı dahil)</t>
        </is>
      </c>
      <c r="C35" s="3" t="inlineStr">
        <is>
          <t>ad</t>
        </is>
      </c>
      <c r="D35" s="5" t="n">
        <v>556368.2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467349.29</v>
      </c>
    </row>
    <row r="36" ht="22" customHeight="1">
      <c r="A36" s="17" t="inlineStr">
        <is>
          <t>30.740.5406</t>
        </is>
      </c>
      <c r="B36" s="18" t="inlineStr">
        <is>
          <t>Jeneratör ses izolasyon kabini — 63 kVA (%25 müteahhit kârı dahil)</t>
        </is>
      </c>
      <c r="C36" s="3" t="inlineStr">
        <is>
          <t>ad</t>
        </is>
      </c>
      <c r="D36" s="5" t="n">
        <v>94825.64999999999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79653.55</v>
      </c>
    </row>
    <row r="37" ht="22" customHeight="1">
      <c r="A37" s="17" t="inlineStr">
        <is>
          <t>30.750.1502</t>
        </is>
      </c>
      <c r="B37" s="18" t="inlineStr">
        <is>
          <t>Aktif yakalama ucu, ortalama uyarım yolu DL = 30-40 m (%25 müteahhit kârı dahil)</t>
        </is>
      </c>
      <c r="C37" s="3" t="inlineStr">
        <is>
          <t>ad</t>
        </is>
      </c>
      <c r="D37" s="5" t="n">
        <v>18566.2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15595.61</v>
      </c>
    </row>
    <row r="38" ht="22" customHeight="1">
      <c r="A38" s="17" t="inlineStr">
        <is>
          <t>30.750.2001</t>
        </is>
      </c>
      <c r="B38" s="18" t="inlineStr">
        <is>
          <t>Çatı ihata ve indirme iletkeni tesisatı — 50 mm² elektrolitik bakır tel (%25 müteahhit kârı dahil)</t>
        </is>
      </c>
      <c r="C38" s="3" t="inlineStr">
        <is>
          <t>m</t>
        </is>
      </c>
      <c r="D38" s="5" t="n">
        <v>508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426.72</v>
      </c>
    </row>
    <row r="39" ht="22" customHeight="1">
      <c r="A39" s="17" t="inlineStr">
        <is>
          <t>30.750.3002</t>
        </is>
      </c>
      <c r="B39" s="18" t="inlineStr">
        <is>
          <t>Bina ihata iletkeni tesisatı — 30x3,5 mm galvanizli çelik lama (temel topraklaması) (%25 müteahhit kârı dahil)</t>
        </is>
      </c>
      <c r="C39" s="3" t="inlineStr">
        <is>
          <t>m</t>
        </is>
      </c>
      <c r="D39" s="5" t="n">
        <v>138.05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115.96</v>
      </c>
    </row>
    <row r="40" ht="22" customHeight="1">
      <c r="A40" s="17" t="inlineStr">
        <is>
          <t>35.190.1100</t>
        </is>
      </c>
      <c r="B40" s="18" t="inlineStr">
        <is>
          <t>Kablo tava sistemleri — 200x60x1,0 mm sıcak daldırma galvanizli perfore kablo tavası (malzeme) (%25 müteahhit kârı dahil)</t>
        </is>
      </c>
      <c r="C40" s="3" t="inlineStr">
        <is>
          <t>kg</t>
        </is>
      </c>
      <c r="D40" s="5" t="n">
        <v>237.4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199.42</v>
      </c>
    </row>
    <row r="41" ht="33" customHeight="1">
      <c r="A41" s="17" t="inlineStr">
        <is>
          <t>35.190.1100 (montaj)</t>
        </is>
      </c>
      <c r="B41" s="18" t="inlineStr">
        <is>
          <t>Kablo tava sistemlerinin montajı — askı ve konsollarla tavana veya duvara tespiti; ek parça, konsol, askı tiji, vida ve somun bedelleri dâhildir, ayrıca ödenmez</t>
        </is>
      </c>
      <c r="C41" s="3" t="inlineStr">
        <is>
          <t>kg</t>
        </is>
      </c>
      <c r="D41" s="5" t="n">
        <v>46.09</v>
      </c>
      <c r="E41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38.72</v>
      </c>
    </row>
    <row r="42" ht="33" customHeight="1">
      <c r="A42" s="17" t="inlineStr">
        <is>
          <t>35.190.1101</t>
        </is>
      </c>
      <c r="B42" s="18" t="inlineStr">
        <is>
          <t>Kablo tava sistemleri kapak sacı — 35.190.1100 pozuna uygun özellikte, 1,0 mm sıcak daldırma galvanizli (malzeme) (%25 müteahhit kârı dahil)</t>
        </is>
      </c>
      <c r="C42" s="3" t="inlineStr">
        <is>
          <t>kg</t>
        </is>
      </c>
      <c r="D42" s="5" t="n">
        <v>193.3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162.37</v>
      </c>
    </row>
    <row r="43" ht="33" customHeight="1">
      <c r="A43" s="17" t="inlineStr">
        <is>
          <t>35.190.1101 (montaj)</t>
        </is>
      </c>
      <c r="B43" s="18" t="inlineStr">
        <is>
          <t>Kablo tava sistemleri kapak sacının montajı — onaylı projesinde belirtilen kanalların kapatılması; her türlü işçilik ve malzeme dâhil, işler hâlde teslim</t>
        </is>
      </c>
      <c r="C43" s="3" t="inlineStr">
        <is>
          <t>kg</t>
        </is>
      </c>
      <c r="D43" s="5" t="n">
        <v>25.36</v>
      </c>
      <c r="E43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21.3</v>
      </c>
    </row>
    <row r="44" ht="22" customHeight="1">
      <c r="A44" s="17" t="inlineStr">
        <is>
          <t>43.527.1001</t>
        </is>
      </c>
      <c r="B44" s="18" t="inlineStr">
        <is>
          <t>Çapı 150 mm HDPE koruge boru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veya iniş borusu yapılması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33" customHeight="1">
      <c r="A46" s="17" t="inlineStr">
        <is>
          <t>TKDK-0151</t>
        </is>
      </c>
      <c r="B46" s="18" t="inlineStr">
        <is>
          <t>5 cm poliüretan dolgulu (üst 0,50 mm düz, alt 0,40 mm düz) fabrikasyon rulo boyama sistemi ile boyanmış galvaniz levhalar ile ısı yalıtımlı kapı yapılması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33" customHeight="1">
      <c r="A47" s="17" t="inlineStr">
        <is>
          <t>TKDK-0175</t>
        </is>
      </c>
      <c r="B47" s="18" t="inlineStr">
        <is>
          <t>PVC kaplamalı, iki yüzü odun lifinden yapılmış levhalarla (MDF) presli, kraft dolgulu iç kapı kanadı yapılması, yerinde takılması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44" customHeight="1">
      <c r="A48" s="17" t="inlineStr">
        <is>
          <t>TKDK-0177</t>
        </is>
      </c>
      <c r="B48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2" t="n">
        <v>502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2" t="n">
        <v>361.2</v>
      </c>
      <c r="F46" s="23">
        <f>IFERROR(VLOOKUP($B46,'Fiyatlar'!$A:$I,9,FALSE),0)</f>
        <v/>
      </c>
      <c r="G46" s="5">
        <f>ROUND(E46*F46,2)</f>
        <v/>
      </c>
    </row>
    <row r="47" ht="22" customHeight="1">
      <c r="A47" s="3" t="n">
        <v>42</v>
      </c>
      <c r="B47" s="21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2" t="n">
        <v>361.2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2" t="n">
        <v>123</v>
      </c>
      <c r="F48" s="23">
        <f>IFERROR(VLOOKUP($B48,'Fiyatlar'!$A:$I,9,FALSE),0)</f>
        <v/>
      </c>
      <c r="G48" s="5">
        <f>ROUND(E48*F48,2)</f>
        <v/>
      </c>
    </row>
    <row r="49">
      <c r="A49" s="7" t="n"/>
      <c r="B49" s="7" t="n"/>
      <c r="C49" s="24" t="inlineStr">
        <is>
          <t>ARA TOPLAM (KDV hariç)</t>
        </is>
      </c>
      <c r="D49" s="7" t="n"/>
      <c r="E49" s="7" t="n"/>
      <c r="F49" s="7" t="n"/>
      <c r="G49" s="9">
        <f>SUM(G6:G48)</f>
        <v/>
      </c>
    </row>
    <row r="50">
      <c r="A50" s="4" t="n"/>
      <c r="B50" s="4" t="n"/>
      <c r="C50" s="25" t="inlineStr">
        <is>
          <t>KDV</t>
        </is>
      </c>
      <c r="D50" s="4" t="n"/>
      <c r="E50" s="4" t="n"/>
      <c r="F50" s="4" t="n"/>
      <c r="G50" s="5">
        <f>G49*'Fiyatlar'!$F$3</f>
        <v/>
      </c>
    </row>
    <row r="51">
      <c r="A51" s="11" t="n"/>
      <c r="B51" s="11" t="n"/>
      <c r="C51" s="26" t="inlineStr">
        <is>
          <t>TEKLİF BEDELİ (KDV dâhil)</t>
        </is>
      </c>
      <c r="D51" s="11" t="n"/>
      <c r="E51" s="11" t="n"/>
      <c r="F51" s="11" t="n"/>
      <c r="G51" s="13">
        <f>G49+G50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2" t="n">
        <v>502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2" t="n">
        <v>361.2</v>
      </c>
      <c r="F46" s="23">
        <f>IFERROR(VLOOKUP($B46,'Fiyatlar'!$A:$I,9,FALSE),0)</f>
        <v/>
      </c>
      <c r="G46" s="5">
        <f>ROUND(E46*F46,2)</f>
        <v/>
      </c>
    </row>
    <row r="47" ht="22" customHeight="1">
      <c r="A47" s="3" t="n">
        <v>42</v>
      </c>
      <c r="B47" s="21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2" t="n">
        <v>361.2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2" t="n">
        <v>123</v>
      </c>
      <c r="F48" s="23">
        <f>IFERROR(VLOOKUP($B48,'Fiyatlar'!$A:$I,9,FALSE),0)</f>
        <v/>
      </c>
      <c r="G48" s="5">
        <f>ROUND(E48*F48,2)</f>
        <v/>
      </c>
    </row>
    <row r="49">
      <c r="A49" s="7" t="n"/>
      <c r="B49" s="7" t="n"/>
      <c r="C49" s="24" t="inlineStr">
        <is>
          <t>ARA TOPLAM (KDV hariç)</t>
        </is>
      </c>
      <c r="D49" s="7" t="n"/>
      <c r="E49" s="7" t="n"/>
      <c r="F49" s="7" t="n"/>
      <c r="G49" s="9">
        <f>SUM(G6:G48)</f>
        <v/>
      </c>
    </row>
    <row r="50">
      <c r="A50" s="4" t="n"/>
      <c r="B50" s="4" t="n"/>
      <c r="C50" s="25" t="inlineStr">
        <is>
          <t>KDV</t>
        </is>
      </c>
      <c r="D50" s="4" t="n"/>
      <c r="E50" s="4" t="n"/>
      <c r="F50" s="4" t="n"/>
      <c r="G50" s="5">
        <f>G49*'Fiyatlar'!$F$3</f>
        <v/>
      </c>
    </row>
    <row r="51">
      <c r="A51" s="11" t="n"/>
      <c r="B51" s="11" t="n"/>
      <c r="C51" s="26" t="inlineStr">
        <is>
          <t>TEKLİF BEDELİ (KDV dâhil)</t>
        </is>
      </c>
      <c r="D51" s="11" t="n"/>
      <c r="E51" s="11" t="n"/>
      <c r="F51" s="11" t="n"/>
      <c r="G51" s="13">
        <f>G49+G50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2026-08-29T15:17:09Z</dcterms:created>
  <dcterms:modified xmlns:dcterms="http://purl.org/dc/terms/" xmlns:xsi="http://www.w3.org/2001/XMLSchema-instance" xsi:type="dcterms:W3CDTF">2026-08-29T15:17:09Z</dcterms:modified>
</cp:coreProperties>
</file>