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emf" ContentType="image/x-emf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9FF5" lockStructure="1"/>
  <bookViews>
    <workbookView visibility="visible" minimized="0" showHorizontalScroll="1" showVerticalScroll="1" showSheetTabs="1" xWindow="-120" yWindow="-120" windowWidth="29040" windowHeight="15720" tabRatio="818" firstSheet="0" activeTab="0" autoFilterDateGrouping="1"/>
  </bookViews>
  <sheets>
    <sheet xmlns:r="http://schemas.openxmlformats.org/officeDocument/2006/relationships" name="VeriGiris" sheetId="1" state="visible" r:id="rId1"/>
    <sheet xmlns:r="http://schemas.openxmlformats.org/officeDocument/2006/relationships" name="YatirimButcesi" sheetId="2" state="visible" r:id="rId2"/>
    <sheet xmlns:r="http://schemas.openxmlformats.org/officeDocument/2006/relationships" name="Kapasite" sheetId="3" state="visible" r:id="rId3"/>
    <sheet xmlns:r="http://schemas.openxmlformats.org/officeDocument/2006/relationships" name="IsletmeSer" sheetId="4" state="visible" r:id="rId4"/>
    <sheet xmlns:r="http://schemas.openxmlformats.org/officeDocument/2006/relationships" name="Gelirler" sheetId="5" state="visible" r:id="rId5"/>
    <sheet xmlns:r="http://schemas.openxmlformats.org/officeDocument/2006/relationships" name="Giderler" sheetId="6" state="visible" r:id="rId6"/>
    <sheet xmlns:r="http://schemas.openxmlformats.org/officeDocument/2006/relationships" name="NakitAkis" sheetId="7" state="visible" r:id="rId7"/>
  </sheets>
  <definedNames>
    <definedName name="cur_1">Kapasite!$K$112</definedName>
    <definedName name="cur_10">Kapasite!$AC$112</definedName>
    <definedName name="cur_2">Kapasite!$M$112</definedName>
    <definedName name="cur_3">Kapasite!$O$112</definedName>
    <definedName name="cur_4">Kapasite!$Q$112</definedName>
    <definedName name="cur_5">Kapasite!$S$112</definedName>
    <definedName name="cur_6">Kapasite!$U$112</definedName>
    <definedName name="cur_7">Kapasite!$W$112</definedName>
    <definedName name="cur_8">Kapasite!$Y$112</definedName>
    <definedName name="cur_9">Kapasite!$AA$112</definedName>
    <definedName name="InvestmentType">#REF!</definedName>
    <definedName name="iskonto_orani">VeriGiris!$AE$12</definedName>
    <definedName name="mali_donem">#REF!</definedName>
    <definedName name="Sektör_Seçiniz101">VeriGiris!$AN$1:$AN$5</definedName>
    <definedName name="Senaryo21">#REF!</definedName>
    <definedName name="Senaryo22">#REF!</definedName>
    <definedName name="Senaryo31">#REF!</definedName>
    <definedName name="Senaryo32">#REF!</definedName>
    <definedName name="taksit_sayisi">VeriGiris!$AH$6</definedName>
    <definedName name="TaxpayerCategory">#REF!</definedName>
    <definedName name="vergi_orani">VeriGiris!$AE$17</definedName>
    <definedName name="_xlnm.Print_Area" localSheetId="0">'VeriGiris'!$A$1:$AH$399</definedName>
    <definedName name="_xlnm.Print_Titles" localSheetId="1">'YatirimButcesi'!$1:$8</definedName>
    <definedName name="_xlnm.Print_Area" localSheetId="1">'YatirimButcesi'!$A$1:$AF$51</definedName>
    <definedName name="OLE_LINK15" localSheetId="2">Kapasite!$B$10</definedName>
    <definedName name="_xlnm.Print_Titles" localSheetId="2">'Kapasite'!$1:$8</definedName>
    <definedName name="_xlnm.Print_Area" localSheetId="2">'Kapasite'!$A$1:$AE$118</definedName>
    <definedName name="_xlnm.Print_Titles" localSheetId="3">'IsletmeSer'!$1:$8</definedName>
    <definedName name="_xlnm.Print_Area" localSheetId="3">'IsletmeSer'!$A$1:$AI$80</definedName>
    <definedName name="_xlnm.Print_Titles" localSheetId="4">'Gelirler'!$1:$8</definedName>
    <definedName name="_xlnm.Print_Area" localSheetId="4">'Gelirler'!$A$1:$AG$132</definedName>
    <definedName name="_xlnm.Print_Titles" localSheetId="5">'Giderler'!$1:$8</definedName>
    <definedName name="_xlnm.Print_Area" localSheetId="5">'Giderler'!$A$1:$AI$269</definedName>
    <definedName name="_xlnm.Print_Titles" localSheetId="6">'NakitAkis'!$1:$8</definedName>
    <definedName name="_xlnm.Print_Area" localSheetId="6">'NakitAkis'!$A$1:$AO$71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b val="1"/>
      <color theme="1"/>
      <sz val="11"/>
      <scheme val="minor"/>
    </font>
    <font>
      <name val="Arial"/>
      <charset val="162"/>
      <family val="2"/>
      <color theme="1"/>
      <sz val="10"/>
    </font>
    <font>
      <name val="Arial"/>
      <charset val="162"/>
      <family val="2"/>
      <b val="1"/>
      <color theme="1"/>
      <sz val="10"/>
    </font>
    <font>
      <name val="Garamond"/>
      <charset val="162"/>
      <family val="1"/>
      <b val="1"/>
      <color theme="1"/>
      <sz val="10"/>
    </font>
    <font>
      <name val="Garamond"/>
      <charset val="162"/>
      <family val="1"/>
      <color theme="1"/>
      <sz val="10"/>
    </font>
    <font>
      <name val="Garamond"/>
      <charset val="162"/>
      <family val="1"/>
      <color theme="0"/>
      <sz val="11"/>
    </font>
    <font>
      <name val="Garamond"/>
      <charset val="162"/>
      <family val="1"/>
      <color theme="0"/>
      <sz val="10"/>
    </font>
    <font>
      <name val="Calibri"/>
      <charset val="162"/>
      <family val="2"/>
      <b val="1"/>
      <color rgb="FFFF0000"/>
      <sz val="12"/>
      <scheme val="minor"/>
    </font>
    <font>
      <name val="Arial"/>
      <charset val="162"/>
      <family val="2"/>
      <b val="1"/>
      <color theme="4" tint="-0.499984740745262"/>
      <sz val="10"/>
    </font>
    <font>
      <name val="Garamond"/>
      <charset val="162"/>
      <family val="1"/>
      <color theme="1"/>
      <sz val="11"/>
    </font>
    <font>
      <name val="Garamond"/>
      <charset val="162"/>
      <family val="1"/>
      <b val="1"/>
      <color theme="1"/>
      <sz val="11"/>
    </font>
    <font>
      <name val="Arial"/>
      <charset val="162"/>
      <family val="2"/>
      <b val="1"/>
      <color theme="1"/>
      <sz val="8"/>
    </font>
    <font>
      <name val="Garamond"/>
      <charset val="162"/>
      <family val="1"/>
      <b val="1"/>
      <color rgb="FFFFFFFF"/>
      <sz val="11"/>
    </font>
    <font>
      <name val="Garamond"/>
      <charset val="162"/>
      <family val="1"/>
      <b val="1"/>
      <color rgb="FFFFFFFF"/>
      <sz val="10"/>
    </font>
    <font>
      <name val="Tahoma"/>
      <charset val="162"/>
      <family val="2"/>
      <b val="1"/>
      <color rgb="FF666699"/>
      <sz val="14"/>
    </font>
    <font>
      <name val="Tahoma"/>
      <charset val="162"/>
      <family val="2"/>
      <b val="1"/>
      <color theme="0"/>
      <sz val="14"/>
    </font>
    <font>
      <name val="Tahoma"/>
      <charset val="162"/>
      <family val="2"/>
      <b val="1"/>
      <color theme="0"/>
      <sz val="10"/>
    </font>
    <font>
      <name val="Tahoma"/>
      <charset val="162"/>
      <family val="2"/>
      <b val="1"/>
      <sz val="14"/>
    </font>
    <font>
      <name val="Garamond"/>
      <charset val="162"/>
      <family val="1"/>
      <color theme="1"/>
      <sz val="14"/>
    </font>
    <font>
      <name val="Garamond"/>
      <charset val="162"/>
      <family val="1"/>
      <b val="1"/>
      <color theme="1"/>
      <sz val="16"/>
    </font>
    <font>
      <name val="Garamond"/>
      <charset val="162"/>
      <family val="1"/>
      <color theme="1"/>
      <sz val="12"/>
    </font>
    <font>
      <name val="Calibri"/>
      <charset val="162"/>
      <family val="2"/>
      <color theme="1"/>
      <sz val="12"/>
      <scheme val="minor"/>
    </font>
    <font>
      <name val="Calibri"/>
      <charset val="162"/>
      <family val="2"/>
      <b val="1"/>
      <color theme="1"/>
      <sz val="10"/>
      <scheme val="minor"/>
    </font>
    <font>
      <name val="Calibri"/>
      <charset val="162"/>
      <family val="2"/>
      <color theme="1"/>
      <sz val="10"/>
      <scheme val="minor"/>
    </font>
    <font>
      <name val="Calibri"/>
      <charset val="162"/>
      <family val="2"/>
      <color theme="0"/>
      <sz val="11"/>
      <scheme val="minor"/>
    </font>
    <font>
      <name val="Garamond"/>
      <charset val="162"/>
      <family val="1"/>
      <color theme="0" tint="-0.249977111117893"/>
      <sz val="10"/>
    </font>
    <font>
      <name val="Calibri"/>
      <charset val="162"/>
      <family val="2"/>
      <b val="1"/>
      <color theme="1"/>
      <sz val="14"/>
      <scheme val="minor"/>
    </font>
    <font>
      <name val="Arial"/>
      <charset val="162"/>
      <family val="2"/>
      <b val="1"/>
      <color theme="1" tint="0.0499893185216834"/>
      <sz val="10"/>
    </font>
    <font>
      <name val="Arial"/>
      <charset val="162"/>
      <family val="2"/>
      <b val="1"/>
      <color theme="1" tint="0.499984740745262"/>
      <sz val="10"/>
    </font>
    <font>
      <name val="Calibri"/>
      <charset val="162"/>
      <family val="2"/>
      <b val="1"/>
      <color theme="0"/>
      <sz val="11"/>
      <scheme val="minor"/>
    </font>
    <font>
      <name val="Calibri"/>
      <charset val="162"/>
      <family val="2"/>
      <b val="1"/>
      <color rgb="FF000000"/>
      <sz val="12"/>
      <scheme val="minor"/>
    </font>
    <font>
      <name val="Calibri"/>
      <charset val="162"/>
      <family val="2"/>
      <b val="1"/>
      <color theme="1"/>
      <sz val="12"/>
      <scheme val="minor"/>
    </font>
    <font>
      <name val="Calibri"/>
      <charset val="162"/>
      <family val="2"/>
      <color rgb="FF000000"/>
      <sz val="12"/>
      <scheme val="minor"/>
    </font>
    <font>
      <name val="Garamond"/>
      <charset val="162"/>
      <family val="1"/>
      <b val="1"/>
      <color rgb="FFFFFFFF"/>
      <sz val="12"/>
    </font>
    <font>
      <name val="Calibri"/>
      <charset val="162"/>
      <family val="2"/>
      <b val="1"/>
      <color rgb="FFC00000"/>
      <sz val="12"/>
      <scheme val="minor"/>
    </font>
    <font>
      <name val="Calibri"/>
      <charset val="162"/>
      <family val="2"/>
      <b val="1"/>
      <color rgb="FF666699"/>
      <sz val="14"/>
      <scheme val="minor"/>
    </font>
    <font>
      <name val="Calibri"/>
      <charset val="162"/>
      <family val="2"/>
      <b val="1"/>
      <color theme="0"/>
      <sz val="14"/>
      <scheme val="minor"/>
    </font>
    <font>
      <name val="Calibri"/>
      <charset val="162"/>
      <family val="2"/>
      <b val="1"/>
      <color theme="0"/>
      <sz val="10"/>
      <scheme val="minor"/>
    </font>
    <font>
      <name val="Calibri"/>
      <charset val="162"/>
      <family val="2"/>
      <b val="1"/>
      <sz val="14"/>
      <scheme val="minor"/>
    </font>
    <font>
      <name val="Calibri"/>
      <charset val="162"/>
      <family val="2"/>
      <color theme="1"/>
      <sz val="14"/>
      <scheme val="minor"/>
    </font>
    <font>
      <name val="Calibri"/>
      <charset val="162"/>
      <family val="2"/>
      <b val="1"/>
      <color theme="1"/>
      <sz val="16"/>
      <scheme val="minor"/>
    </font>
    <font>
      <name val="Calibri"/>
      <charset val="162"/>
      <family val="2"/>
      <b val="1"/>
      <color rgb="FFFFFFFF"/>
      <sz val="12"/>
      <scheme val="minor"/>
    </font>
    <font>
      <name val="Calibri"/>
      <charset val="162"/>
      <family val="2"/>
      <b val="1"/>
      <sz val="12"/>
      <scheme val="minor"/>
    </font>
    <font>
      <name val="Calibri"/>
      <charset val="162"/>
      <family val="2"/>
      <b val="1"/>
      <color rgb="FFFFFFFF"/>
      <sz val="10"/>
      <scheme val="minor"/>
    </font>
    <font>
      <name val="Calibri"/>
      <charset val="162"/>
      <family val="2"/>
      <b val="1"/>
      <color rgb="FFFFFFFF"/>
      <sz val="11"/>
      <scheme val="minor"/>
    </font>
    <font>
      <name val="Calibri"/>
      <charset val="162"/>
      <family val="2"/>
      <b val="1"/>
      <color theme="1"/>
      <sz val="11"/>
      <u val="single"/>
      <scheme val="minor"/>
    </font>
    <font>
      <name val="Calibri"/>
      <charset val="162"/>
      <family val="2"/>
      <b val="1"/>
      <color theme="1"/>
      <sz val="9"/>
      <scheme val="minor"/>
    </font>
    <font>
      <name val="Garamond"/>
      <charset val="162"/>
      <family val="1"/>
      <b val="1"/>
      <color theme="0"/>
      <sz val="10"/>
    </font>
    <font>
      <name val="Calibri"/>
      <charset val="162"/>
      <family val="2"/>
      <color rgb="FFFF0000"/>
      <sz val="14"/>
      <scheme val="minor"/>
    </font>
    <font>
      <name val="Calibri"/>
      <charset val="162"/>
      <family val="2"/>
      <color theme="5" tint="0.3999755851924192"/>
      <sz val="11"/>
      <scheme val="minor"/>
    </font>
    <font>
      <name val="Calibri"/>
      <charset val="162"/>
      <family val="2"/>
      <sz val="10"/>
      <scheme val="minor"/>
    </font>
    <font>
      <name val="Calibri"/>
      <charset val="162"/>
      <family val="2"/>
      <b val="1"/>
      <sz val="10"/>
      <scheme val="minor"/>
    </font>
    <font>
      <name val="Calibri"/>
      <charset val="162"/>
      <family val="2"/>
      <b val="1"/>
      <color rgb="FF000000"/>
      <sz val="10"/>
      <scheme val="minor"/>
    </font>
    <font>
      <name val="Calibri"/>
      <charset val="162"/>
      <family val="2"/>
      <color rgb="FF000000"/>
      <sz val="10"/>
      <scheme val="minor"/>
    </font>
    <font>
      <name val="Calibri"/>
      <charset val="162"/>
      <family val="2"/>
      <color theme="1"/>
      <sz val="9"/>
      <scheme val="minor"/>
    </font>
    <font>
      <name val="Calibri"/>
      <charset val="162"/>
      <family val="2"/>
      <b val="1"/>
      <color rgb="FFC00000"/>
      <sz val="14"/>
      <scheme val="minor"/>
    </font>
    <font>
      <name val="Arial"/>
      <charset val="162"/>
      <family val="2"/>
      <b val="1"/>
      <color theme="8" tint="-0.499984740745262"/>
      <sz val="10"/>
    </font>
    <font>
      <name val="Calibri"/>
      <charset val="162"/>
      <family val="2"/>
      <color theme="8" tint="-0.499984740745262"/>
      <sz val="11"/>
      <scheme val="minor"/>
    </font>
  </fonts>
  <fills count="31">
    <fill>
      <patternFill/>
    </fill>
    <fill>
      <patternFill patternType="gray125"/>
    </fill>
    <fill>
      <patternFill patternType="solid">
        <fgColor theme="4" tint="0.7999816888943144"/>
        <bgColor indexed="65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darkUp"/>
    </fill>
    <fill>
      <patternFill patternType="darkUp">
        <bgColor theme="0" tint="-0.1499984740745262"/>
      </patternFill>
    </fill>
    <fill>
      <patternFill patternType="darkUp">
        <bgColor theme="6" tint="0.7999816888943144"/>
      </patternFill>
    </fill>
    <fill>
      <patternFill patternType="darkUp">
        <bgColor theme="6" tint="0.7999511703848384"/>
      </patternFill>
    </fill>
    <fill>
      <patternFill patternType="lightUp"/>
    </fill>
    <fill>
      <patternFill patternType="lightUp">
        <bgColor theme="0" tint="-0.1499984740745262"/>
      </patternFill>
    </fill>
    <fill>
      <patternFill patternType="lightUp">
        <bgColor theme="0" tint="-0.1499679555650502"/>
      </patternFill>
    </fill>
    <fill>
      <patternFill patternType="lightUp">
        <bgColor theme="6" tint="0.7999511703848384"/>
      </patternFill>
    </fill>
    <fill>
      <patternFill patternType="solid">
        <fgColor theme="0" tint="-0.149967955565050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darkUp">
        <bgColor theme="0" tint="-0.1499679555650502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215867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1" fillId="0" borderId="0"/>
    <xf numFmtId="0" fontId="1" fillId="2" borderId="0"/>
    <xf numFmtId="9" fontId="1" fillId="0" borderId="0"/>
  </cellStyleXfs>
  <cellXfs count="914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11" fillId="0" borderId="0" pivotButton="0" quotePrefix="0" xfId="0"/>
    <xf numFmtId="0" fontId="11" fillId="0" borderId="0" applyAlignment="1" pivotButton="0" quotePrefix="0" xfId="0">
      <alignment vertical="center"/>
    </xf>
    <xf numFmtId="0" fontId="11" fillId="0" borderId="0" applyAlignment="1" pivotButton="0" quotePrefix="0" xfId="0">
      <alignment vertical="top"/>
    </xf>
    <xf numFmtId="0" fontId="0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 wrapText="1"/>
    </xf>
    <xf numFmtId="0" fontId="6" fillId="0" borderId="0" applyAlignment="1" pivotButton="0" quotePrefix="0" xfId="0">
      <alignment horizontal="left" vertical="center" wrapText="1"/>
    </xf>
    <xf numFmtId="0" fontId="27" fillId="0" borderId="66" applyAlignment="1" pivotButton="0" quotePrefix="0" xfId="0">
      <alignment vertical="center"/>
    </xf>
    <xf numFmtId="0" fontId="26" fillId="0" borderId="0" applyAlignment="1" pivotButton="0" quotePrefix="0" xfId="0">
      <alignment vertical="center"/>
    </xf>
    <xf numFmtId="0" fontId="7" fillId="0" borderId="0" pivotButton="0" quotePrefix="0" xfId="0"/>
    <xf numFmtId="0" fontId="12" fillId="0" borderId="0" pivotButton="0" quotePrefix="0" xfId="0"/>
    <xf numFmtId="9" fontId="11" fillId="0" borderId="0" pivotButton="0" quotePrefix="0" xfId="2"/>
    <xf numFmtId="0" fontId="11" fillId="0" borderId="0" applyProtection="1" pivotButton="0" quotePrefix="0" xfId="0">
      <protection locked="0" hidden="0"/>
    </xf>
    <xf numFmtId="0" fontId="11" fillId="0" borderId="0" pivotButton="0" quotePrefix="0" xfId="0"/>
    <xf numFmtId="0" fontId="3" fillId="0" borderId="0" applyAlignment="1" applyProtection="1" pivotButton="0" quotePrefix="0" xfId="0">
      <alignment vertical="center"/>
      <protection locked="0" hidden="0"/>
    </xf>
    <xf numFmtId="0" fontId="21" fillId="0" borderId="0" applyAlignment="1" pivotButton="0" quotePrefix="0" xfId="0">
      <alignment horizontal="left" vertical="center"/>
    </xf>
    <xf numFmtId="0" fontId="10" fillId="0" borderId="0" applyAlignment="1" pivotButton="0" quotePrefix="0" xfId="1">
      <alignment vertical="center"/>
    </xf>
    <xf numFmtId="0" fontId="4" fillId="0" borderId="0" applyAlignment="1" pivotButton="0" quotePrefix="0" xfId="0">
      <alignment vertical="center"/>
    </xf>
    <xf numFmtId="4" fontId="3" fillId="0" borderId="0" applyAlignment="1" pivotButton="0" quotePrefix="0" xfId="0">
      <alignment vertical="center"/>
    </xf>
    <xf numFmtId="0" fontId="35" fillId="0" borderId="0" pivotButton="0" quotePrefix="0" xfId="0"/>
    <xf numFmtId="0" fontId="4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36" applyAlignment="1" pivotButton="0" quotePrefix="0" xfId="0">
      <alignment vertical="center"/>
    </xf>
    <xf numFmtId="0" fontId="11" fillId="0" borderId="0" applyAlignment="1" pivotButton="0" quotePrefix="0" xfId="0">
      <alignment horizontal="left" vertical="center" wrapText="1"/>
    </xf>
    <xf numFmtId="0" fontId="11" fillId="0" borderId="0" applyAlignment="1" pivotButton="0" quotePrefix="0" xfId="0">
      <alignment horizontal="center" vertical="center" wrapText="1"/>
    </xf>
    <xf numFmtId="0" fontId="21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center"/>
    </xf>
    <xf numFmtId="0" fontId="26" fillId="0" borderId="0" applyAlignment="1" pivotButton="0" quotePrefix="0" xfId="0">
      <alignment vertical="center" wrapText="1"/>
    </xf>
    <xf numFmtId="0" fontId="26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horizontal="left" vertical="center" wrapText="1"/>
      <protection locked="0" hidden="0"/>
    </xf>
    <xf numFmtId="0" fontId="26" fillId="0" borderId="0" applyAlignment="1" applyProtection="1" pivotButton="0" quotePrefix="0" xfId="0">
      <alignment vertical="center" wrapText="1"/>
      <protection locked="0" hidden="0"/>
    </xf>
    <xf numFmtId="0" fontId="7" fillId="0" borderId="0" applyProtection="1" pivotButton="0" quotePrefix="0" xfId="0">
      <protection locked="0" hidden="0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8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 wrapText="1"/>
    </xf>
    <xf numFmtId="0" fontId="20" fillId="0" borderId="0" applyAlignment="1" pivotButton="0" quotePrefix="0" xfId="0">
      <alignment vertical="center"/>
    </xf>
    <xf numFmtId="0" fontId="21" fillId="0" borderId="0" applyAlignment="1" pivotButton="0" quotePrefix="0" xfId="0">
      <alignment vertical="center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14" fontId="22" fillId="0" borderId="0" applyAlignment="1" pivotButton="0" quotePrefix="0" xfId="0">
      <alignment vertical="center"/>
    </xf>
    <xf numFmtId="0" fontId="37" fillId="0" borderId="0" applyAlignment="1" pivotButton="0" quotePrefix="0" xfId="0">
      <alignment vertical="center"/>
    </xf>
    <xf numFmtId="0" fontId="38" fillId="0" borderId="0" applyAlignment="1" pivotButton="0" quotePrefix="0" xfId="0">
      <alignment vertical="center"/>
    </xf>
    <xf numFmtId="0" fontId="39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0" fillId="0" borderId="0" applyAlignment="1" pivotButton="0" quotePrefix="0" xfId="0">
      <alignment vertical="center"/>
    </xf>
    <xf numFmtId="0" fontId="41" fillId="0" borderId="0" applyAlignment="1" pivotButton="0" quotePrefix="0" xfId="0">
      <alignment vertical="center"/>
    </xf>
    <xf numFmtId="0" fontId="42" fillId="0" borderId="0" applyAlignment="1" pivotButton="0" quotePrefix="0" xfId="0">
      <alignment vertical="center"/>
    </xf>
    <xf numFmtId="0" fontId="23" fillId="0" borderId="8" applyAlignment="1" pivotButton="0" quotePrefix="0" xfId="0">
      <alignment vertical="center"/>
    </xf>
    <xf numFmtId="4" fontId="23" fillId="0" borderId="8" applyAlignment="1" pivotButton="0" quotePrefix="0" xfId="0">
      <alignment vertical="center"/>
    </xf>
    <xf numFmtId="4" fontId="33" fillId="0" borderId="8" applyAlignment="1" pivotButton="0" quotePrefix="0" xfId="0">
      <alignment horizontal="left" vertical="center"/>
    </xf>
    <xf numFmtId="4" fontId="33" fillId="0" borderId="0" applyAlignment="1" pivotButton="0" quotePrefix="0" xfId="0">
      <alignment horizontal="left" vertical="center"/>
    </xf>
    <xf numFmtId="0" fontId="43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 wrapText="1"/>
    </xf>
    <xf numFmtId="4" fontId="33" fillId="0" borderId="0" applyAlignment="1" pivotButton="0" quotePrefix="0" xfId="0">
      <alignment vertical="center"/>
    </xf>
    <xf numFmtId="0" fontId="1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 wrapText="1"/>
    </xf>
    <xf numFmtId="0" fontId="6" fillId="0" borderId="0" applyAlignment="1" applyProtection="1" pivotButton="0" quotePrefix="0" xfId="0">
      <alignment vertical="center" wrapText="1"/>
      <protection locked="0" hidden="0"/>
    </xf>
    <xf numFmtId="4" fontId="6" fillId="0" borderId="0" applyAlignment="1" applyProtection="1" pivotButton="0" quotePrefix="0" xfId="0">
      <alignment vertical="center" wrapText="1"/>
      <protection locked="0" hidden="0"/>
    </xf>
    <xf numFmtId="9" fontId="6" fillId="0" borderId="0" applyAlignment="1" applyProtection="1" pivotButton="0" quotePrefix="0" xfId="2">
      <alignment vertical="center" wrapText="1"/>
      <protection locked="0" hidden="0"/>
    </xf>
    <xf numFmtId="0" fontId="21" fillId="0" borderId="0" applyAlignment="1" pivotButton="0" quotePrefix="0" xfId="0">
      <alignment vertical="top"/>
    </xf>
    <xf numFmtId="0" fontId="14" fillId="0" borderId="0" applyAlignment="1" pivotButton="0" quotePrefix="0" xfId="0">
      <alignment vertical="center" wrapText="1"/>
    </xf>
    <xf numFmtId="0" fontId="12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46" fillId="0" borderId="0" applyAlignment="1" pivotButton="0" quotePrefix="0" xfId="0">
      <alignment vertical="center" wrapText="1"/>
    </xf>
    <xf numFmtId="0" fontId="24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0" fontId="14" fillId="0" borderId="0" applyAlignment="1" pivotButton="0" quotePrefix="0" xfId="0">
      <alignment vertical="center"/>
    </xf>
    <xf numFmtId="0" fontId="11" fillId="0" borderId="0" applyProtection="1" pivotButton="0" quotePrefix="0" xfId="0">
      <protection locked="0" hidden="0"/>
    </xf>
    <xf numFmtId="0" fontId="12" fillId="0" borderId="0" applyProtection="1" pivotButton="0" quotePrefix="0" xfId="0">
      <protection locked="0" hidden="0"/>
    </xf>
    <xf numFmtId="0" fontId="46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 wrapText="1"/>
    </xf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48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center" vertical="center"/>
    </xf>
    <xf numFmtId="4" fontId="0" fillId="0" borderId="57" applyAlignment="1" pivotButton="0" quotePrefix="0" xfId="0">
      <alignment horizontal="center" vertical="center"/>
    </xf>
    <xf numFmtId="0" fontId="0" fillId="0" borderId="63" applyAlignment="1" pivotButton="0" quotePrefix="0" xfId="0">
      <alignment horizontal="center" vertical="center"/>
    </xf>
    <xf numFmtId="0" fontId="0" fillId="0" borderId="44" applyAlignment="1" pivotButton="0" quotePrefix="0" xfId="0">
      <alignment vertical="center"/>
    </xf>
    <xf numFmtId="0" fontId="0" fillId="0" borderId="61" applyAlignment="1" pivotButton="0" quotePrefix="0" xfId="0">
      <alignment vertical="center"/>
    </xf>
    <xf numFmtId="0" fontId="0" fillId="0" borderId="62" applyAlignment="1" pivotButton="0" quotePrefix="0" xfId="0">
      <alignment vertical="center"/>
    </xf>
    <xf numFmtId="0" fontId="0" fillId="0" borderId="48" applyAlignment="1" pivotButton="0" quotePrefix="0" xfId="0">
      <alignment vertical="center"/>
    </xf>
    <xf numFmtId="0" fontId="0" fillId="0" borderId="57" applyAlignment="1" pivotButton="0" quotePrefix="0" xfId="0">
      <alignment vertical="center"/>
    </xf>
    <xf numFmtId="0" fontId="0" fillId="0" borderId="63" applyAlignment="1" pivotButton="0" quotePrefix="0" xfId="0">
      <alignment vertical="center"/>
    </xf>
    <xf numFmtId="0" fontId="0" fillId="0" borderId="0" applyAlignment="1" applyProtection="1" pivotButton="0" quotePrefix="0" xfId="0">
      <alignment vertical="center"/>
      <protection locked="0" hidden="0"/>
    </xf>
    <xf numFmtId="0" fontId="15" fillId="0" borderId="0" applyAlignment="1" pivotButton="0" quotePrefix="0" xfId="0">
      <alignment vertical="center"/>
    </xf>
    <xf numFmtId="0" fontId="45" fillId="0" borderId="0" applyAlignment="1" pivotButton="0" quotePrefix="0" xfId="0">
      <alignment vertical="center"/>
    </xf>
    <xf numFmtId="0" fontId="12" fillId="0" borderId="0" applyAlignment="1" applyProtection="1" pivotButton="0" quotePrefix="0" xfId="0">
      <alignment vertical="center"/>
      <protection locked="0" hidden="0"/>
    </xf>
    <xf numFmtId="0" fontId="11" fillId="0" borderId="0" applyAlignment="1" applyProtection="1" pivotButton="0" quotePrefix="0" xfId="0">
      <alignment vertical="center"/>
      <protection locked="0" hidden="0"/>
    </xf>
    <xf numFmtId="0" fontId="0" fillId="0" borderId="0" pivotButton="0" quotePrefix="0" xfId="0"/>
    <xf numFmtId="0" fontId="24" fillId="0" borderId="0" applyAlignment="1" pivotButton="0" quotePrefix="0" xfId="0">
      <alignment wrapText="1"/>
    </xf>
    <xf numFmtId="4" fontId="24" fillId="0" borderId="0" applyAlignment="1" pivotButton="0" quotePrefix="0" xfId="0">
      <alignment vertical="center" wrapText="1"/>
    </xf>
    <xf numFmtId="0" fontId="25" fillId="0" borderId="0" applyAlignment="1" pivotButton="0" quotePrefix="0" xfId="0">
      <alignment vertical="center"/>
    </xf>
    <xf numFmtId="0" fontId="50" fillId="0" borderId="0" applyAlignment="1" pivotButton="0" quotePrefix="0" xfId="0">
      <alignment horizontal="center" vertical="center" wrapText="1"/>
    </xf>
    <xf numFmtId="0" fontId="23" fillId="0" borderId="0" applyAlignment="1" applyProtection="1" pivotButton="0" quotePrefix="0" xfId="0">
      <alignment vertical="top" wrapText="1"/>
      <protection locked="0" hidden="0"/>
    </xf>
    <xf numFmtId="0" fontId="51" fillId="0" borderId="0" pivotButton="0" quotePrefix="0" xfId="0"/>
    <xf numFmtId="0" fontId="10" fillId="0" borderId="0" applyAlignment="1" pivotButton="0" quotePrefix="0" xfId="1">
      <alignment vertical="center" wrapText="1"/>
    </xf>
    <xf numFmtId="4" fontId="3" fillId="0" borderId="0" applyAlignment="1" applyProtection="1" pivotButton="0" quotePrefix="0" xfId="0">
      <alignment vertical="center"/>
      <protection locked="0" hidden="0"/>
    </xf>
    <xf numFmtId="0" fontId="3" fillId="0" borderId="15" applyAlignment="1" pivotButton="0" quotePrefix="0" xfId="0">
      <alignment vertical="center"/>
    </xf>
    <xf numFmtId="9" fontId="3" fillId="0" borderId="15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9" fontId="3" fillId="0" borderId="18" applyAlignment="1" pivotButton="0" quotePrefix="0" xfId="0">
      <alignment vertical="center"/>
    </xf>
    <xf numFmtId="9" fontId="3" fillId="0" borderId="0" applyAlignment="1" pivotButton="0" quotePrefix="0" xfId="0">
      <alignment vertical="center"/>
    </xf>
    <xf numFmtId="9" fontId="3" fillId="0" borderId="44" applyAlignment="1" pivotButton="0" quotePrefix="0" xfId="0">
      <alignment vertical="center"/>
    </xf>
    <xf numFmtId="9" fontId="3" fillId="0" borderId="16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3" fillId="10" borderId="35" applyAlignment="1" pivotButton="0" quotePrefix="0" xfId="0">
      <alignment horizontal="center" vertical="center"/>
    </xf>
    <xf numFmtId="0" fontId="3" fillId="10" borderId="55" applyAlignment="1" pivotButton="0" quotePrefix="0" xfId="0">
      <alignment horizontal="center" vertical="center"/>
    </xf>
    <xf numFmtId="0" fontId="3" fillId="10" borderId="58" applyAlignment="1" pivotButton="0" quotePrefix="0" xfId="0">
      <alignment horizontal="center" vertical="center"/>
    </xf>
    <xf numFmtId="0" fontId="3" fillId="10" borderId="60" applyAlignment="1" pivotButton="0" quotePrefix="0" xfId="0">
      <alignment horizontal="center" vertical="center"/>
    </xf>
    <xf numFmtId="0" fontId="3" fillId="29" borderId="35" applyAlignment="1" pivotButton="0" quotePrefix="0" xfId="0">
      <alignment horizontal="center" vertical="center" wrapText="1"/>
    </xf>
    <xf numFmtId="0" fontId="3" fillId="29" borderId="55" applyAlignment="1" pivotButton="0" quotePrefix="0" xfId="0">
      <alignment horizontal="center" vertical="center"/>
    </xf>
    <xf numFmtId="0" fontId="3" fillId="29" borderId="14" applyAlignment="1" pivotButton="0" quotePrefix="0" xfId="0">
      <alignment horizontal="center" vertical="center"/>
    </xf>
    <xf numFmtId="0" fontId="3" fillId="29" borderId="47" applyAlignment="1" pivotButton="0" quotePrefix="0" xfId="0">
      <alignment horizontal="center" vertical="center"/>
    </xf>
    <xf numFmtId="0" fontId="3" fillId="29" borderId="58" applyAlignment="1" pivotButton="0" quotePrefix="0" xfId="0">
      <alignment horizontal="center" vertical="center"/>
    </xf>
    <xf numFmtId="0" fontId="3" fillId="29" borderId="60" applyAlignment="1" pivotButton="0" quotePrefix="0" xfId="0">
      <alignment horizontal="center" vertical="center"/>
    </xf>
    <xf numFmtId="0" fontId="3" fillId="0" borderId="36" applyAlignment="1" pivotButton="0" quotePrefix="0" xfId="0">
      <alignment horizontal="center" vertical="center"/>
    </xf>
    <xf numFmtId="4" fontId="3" fillId="3" borderId="15" applyAlignment="1" applyProtection="1" pivotButton="0" quotePrefix="0" xfId="2">
      <alignment horizontal="center" vertical="center" wrapText="1"/>
      <protection locked="0" hidden="0"/>
    </xf>
    <xf numFmtId="4" fontId="3" fillId="3" borderId="15" applyAlignment="1" applyProtection="1" pivotButton="0" quotePrefix="0" xfId="0">
      <alignment horizontal="center" vertical="center" wrapText="1"/>
      <protection locked="0" hidden="0"/>
    </xf>
    <xf numFmtId="0" fontId="58" fillId="26" borderId="1" applyAlignment="1" pivotButton="0" quotePrefix="0" xfId="1">
      <alignment horizontal="center" vertical="center"/>
    </xf>
    <xf numFmtId="0" fontId="58" fillId="26" borderId="2" applyAlignment="1" pivotButton="0" quotePrefix="0" xfId="1">
      <alignment horizontal="center" vertical="center"/>
    </xf>
    <xf numFmtId="0" fontId="58" fillId="26" borderId="3" applyAlignment="1" pivotButton="0" quotePrefix="0" xfId="1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2" applyAlignment="1" applyProtection="1" pivotButton="0" quotePrefix="0" xfId="0">
      <alignment horizontal="center" vertical="center"/>
      <protection locked="0" hidden="0"/>
    </xf>
    <xf numFmtId="0" fontId="4" fillId="3" borderId="3" applyAlignment="1" applyProtection="1" pivotButton="0" quotePrefix="0" xfId="0">
      <alignment horizontal="center" vertical="center"/>
      <protection locked="0" hidden="0"/>
    </xf>
    <xf numFmtId="0" fontId="4" fillId="0" borderId="10" applyAlignment="1" pivotButton="0" quotePrefix="0" xfId="0">
      <alignment horizontal="left" vertical="center" wrapText="1" indent="2"/>
    </xf>
    <xf numFmtId="0" fontId="4" fillId="0" borderId="12" applyAlignment="1" pivotButton="0" quotePrefix="0" xfId="0">
      <alignment horizontal="left" vertical="center" wrapText="1" indent="2"/>
    </xf>
    <xf numFmtId="0" fontId="4" fillId="0" borderId="41" applyAlignment="1" pivotButton="0" quotePrefix="0" xfId="0">
      <alignment horizontal="left" vertical="center" wrapText="1" indent="2"/>
    </xf>
    <xf numFmtId="4" fontId="3" fillId="0" borderId="25" applyAlignment="1" pivotButton="0" quotePrefix="0" xfId="0">
      <alignment horizontal="center" vertical="center" wrapText="1"/>
    </xf>
    <xf numFmtId="4" fontId="3" fillId="0" borderId="26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 indent="2"/>
      <protection locked="0" hidden="0"/>
    </xf>
    <xf numFmtId="0" fontId="3" fillId="3" borderId="8" applyAlignment="1" applyProtection="1" pivotButton="0" quotePrefix="0" xfId="0">
      <alignment horizontal="left" vertical="center" wrapText="1" indent="2"/>
      <protection locked="0" hidden="0"/>
    </xf>
    <xf numFmtId="0" fontId="3" fillId="3" borderId="16" applyAlignment="1" applyProtection="1" pivotButton="0" quotePrefix="0" xfId="0">
      <alignment horizontal="left" vertical="center" wrapText="1" indent="2"/>
      <protection locked="0" hidden="0"/>
    </xf>
    <xf numFmtId="4" fontId="3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65" applyAlignment="1" pivotButton="0" quotePrefix="0" xfId="0">
      <alignment horizontal="center" vertical="center" wrapText="1"/>
    </xf>
    <xf numFmtId="0" fontId="4" fillId="4" borderId="5" applyAlignment="1" pivotButton="0" quotePrefix="0" xfId="0">
      <alignment horizontal="center" vertical="center" wrapText="1"/>
    </xf>
    <xf numFmtId="0" fontId="4" fillId="4" borderId="32" applyAlignment="1" pivotButton="0" quotePrefix="0" xfId="0">
      <alignment horizontal="center" vertical="center" wrapText="1"/>
    </xf>
    <xf numFmtId="0" fontId="4" fillId="4" borderId="20" applyAlignment="1" pivotButton="0" quotePrefix="0" xfId="0">
      <alignment horizontal="center" vertical="center" wrapText="1"/>
    </xf>
    <xf numFmtId="0" fontId="4" fillId="4" borderId="21" applyAlignment="1" pivotButton="0" quotePrefix="0" xfId="0">
      <alignment horizontal="center" vertical="center" wrapText="1"/>
    </xf>
    <xf numFmtId="4" fontId="4" fillId="0" borderId="25" applyAlignment="1" pivotButton="0" quotePrefix="0" xfId="2">
      <alignment horizontal="center" vertical="center" wrapText="1"/>
    </xf>
    <xf numFmtId="4" fontId="4" fillId="0" borderId="26" applyAlignment="1" pivotButton="0" quotePrefix="0" xfId="2">
      <alignment horizontal="center" vertical="center" wrapText="1"/>
    </xf>
    <xf numFmtId="0" fontId="4" fillId="0" borderId="24" applyAlignment="1" pivotButton="0" quotePrefix="0" xfId="0">
      <alignment horizontal="right" vertical="center"/>
    </xf>
    <xf numFmtId="0" fontId="4" fillId="0" borderId="25" applyAlignment="1" pivotButton="0" quotePrefix="0" xfId="0">
      <alignment horizontal="right" vertical="center"/>
    </xf>
    <xf numFmtId="4" fontId="3" fillId="3" borderId="30" applyAlignment="1" applyProtection="1" pivotButton="0" quotePrefix="0" xfId="0">
      <alignment horizontal="center" vertical="center" wrapText="1"/>
      <protection locked="0" hidden="0"/>
    </xf>
    <xf numFmtId="4" fontId="3" fillId="3" borderId="31" applyAlignment="1" applyProtection="1" pivotButton="0" quotePrefix="0" xfId="0">
      <alignment horizontal="center" vertical="center" wrapText="1"/>
      <protection locked="0" hidden="0"/>
    </xf>
    <xf numFmtId="0" fontId="3" fillId="0" borderId="14" applyAlignment="1" pivotButton="0" quotePrefix="0" xfId="0">
      <alignment horizontal="center" vertical="center"/>
    </xf>
    <xf numFmtId="0" fontId="3" fillId="0" borderId="35" applyAlignment="1" pivotButton="0" quotePrefix="0" xfId="0">
      <alignment horizontal="center" vertical="center" wrapText="1"/>
    </xf>
    <xf numFmtId="0" fontId="3" fillId="0" borderId="36" applyAlignment="1" pivotButton="0" quotePrefix="0" xfId="0">
      <alignment horizontal="center" vertical="center" wrapText="1"/>
    </xf>
    <xf numFmtId="0" fontId="3" fillId="0" borderId="38" applyAlignment="1" pivotButton="0" quotePrefix="0" xfId="0">
      <alignment horizontal="center" vertical="center" wrapText="1"/>
    </xf>
    <xf numFmtId="0" fontId="3" fillId="0" borderId="14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0" borderId="43" applyAlignment="1" pivotButton="0" quotePrefix="0" xfId="0">
      <alignment horizontal="center" vertical="center" wrapText="1"/>
    </xf>
    <xf numFmtId="0" fontId="3" fillId="0" borderId="58" applyAlignment="1" pivotButton="0" quotePrefix="0" xfId="0">
      <alignment horizontal="center" vertical="center" wrapText="1"/>
    </xf>
    <xf numFmtId="0" fontId="3" fillId="0" borderId="59" applyAlignment="1" pivotButton="0" quotePrefix="0" xfId="0">
      <alignment horizontal="center" vertical="center" wrapText="1"/>
    </xf>
    <xf numFmtId="0" fontId="3" fillId="0" borderId="64" applyAlignment="1" pivotButton="0" quotePrefix="0" xfId="0">
      <alignment horizontal="center" vertical="center" wrapText="1"/>
    </xf>
    <xf numFmtId="10" fontId="3" fillId="3" borderId="36" applyAlignment="1" applyProtection="1" pivotButton="0" quotePrefix="0" xfId="0">
      <alignment horizontal="center" vertical="center"/>
      <protection locked="0" hidden="0"/>
    </xf>
    <xf numFmtId="10" fontId="3" fillId="3" borderId="55" applyAlignment="1" applyProtection="1" pivotButton="0" quotePrefix="0" xfId="0">
      <alignment horizontal="center" vertical="center"/>
      <protection locked="0" hidden="0"/>
    </xf>
    <xf numFmtId="10" fontId="3" fillId="3" borderId="0" applyAlignment="1" applyProtection="1" pivotButton="0" quotePrefix="0" xfId="0">
      <alignment horizontal="center" vertical="center"/>
      <protection locked="0" hidden="0"/>
    </xf>
    <xf numFmtId="10" fontId="3" fillId="3" borderId="47" applyAlignment="1" applyProtection="1" pivotButton="0" quotePrefix="0" xfId="0">
      <alignment horizontal="center" vertical="center"/>
      <protection locked="0" hidden="0"/>
    </xf>
    <xf numFmtId="10" fontId="3" fillId="3" borderId="59" applyAlignment="1" applyProtection="1" pivotButton="0" quotePrefix="0" xfId="0">
      <alignment horizontal="center" vertical="center"/>
      <protection locked="0" hidden="0"/>
    </xf>
    <xf numFmtId="10" fontId="3" fillId="3" borderId="60" applyAlignment="1" applyProtection="1" pivotButton="0" quotePrefix="0" xfId="0">
      <alignment horizontal="center" vertical="center"/>
      <protection locked="0" hidden="0"/>
    </xf>
    <xf numFmtId="0" fontId="4" fillId="0" borderId="1" applyAlignment="1" pivotButton="0" quotePrefix="0" xfId="0">
      <alignment horizontal="left" vertical="center" wrapText="1"/>
    </xf>
    <xf numFmtId="0" fontId="4" fillId="0" borderId="2" applyAlignment="1" pivotButton="0" quotePrefix="0" xfId="0">
      <alignment horizontal="left" vertical="center" wrapText="1"/>
    </xf>
    <xf numFmtId="0" fontId="4" fillId="0" borderId="33" applyAlignment="1" pivotButton="0" quotePrefix="0" xfId="0">
      <alignment horizontal="left" vertical="center" wrapText="1"/>
    </xf>
    <xf numFmtId="4" fontId="3" fillId="3" borderId="25" applyAlignment="1" applyProtection="1" pivotButton="0" quotePrefix="0" xfId="0">
      <alignment horizontal="center" vertical="center" wrapText="1"/>
      <protection locked="0" hidden="0"/>
    </xf>
    <xf numFmtId="4" fontId="3" fillId="3" borderId="26" applyAlignment="1" applyProtection="1" pivotButton="0" quotePrefix="0" xfId="0">
      <alignment horizontal="center" vertical="center" wrapText="1"/>
      <protection locked="0" hidden="0"/>
    </xf>
    <xf numFmtId="0" fontId="3" fillId="0" borderId="42" applyAlignment="1" pivotButton="0" quotePrefix="0" xfId="0">
      <alignment horizontal="left" vertical="center" wrapText="1" indent="2"/>
    </xf>
    <xf numFmtId="0" fontId="3" fillId="0" borderId="8" applyAlignment="1" pivotButton="0" quotePrefix="0" xfId="0">
      <alignment horizontal="left" vertical="center" wrapText="1" indent="2"/>
    </xf>
    <xf numFmtId="0" fontId="3" fillId="0" borderId="16" applyAlignment="1" pivotButton="0" quotePrefix="0" xfId="0">
      <alignment horizontal="left" vertical="center" wrapText="1" indent="2"/>
    </xf>
    <xf numFmtId="0" fontId="3" fillId="0" borderId="10" applyAlignment="1" pivotButton="0" quotePrefix="0" xfId="0">
      <alignment horizontal="left" vertical="center" wrapText="1" indent="2"/>
    </xf>
    <xf numFmtId="0" fontId="3" fillId="0" borderId="12" applyAlignment="1" pivotButton="0" quotePrefix="0" xfId="0">
      <alignment horizontal="left" vertical="center" wrapText="1" indent="2"/>
    </xf>
    <xf numFmtId="0" fontId="3" fillId="0" borderId="41" applyAlignment="1" pivotButton="0" quotePrefix="0" xfId="0">
      <alignment horizontal="left" vertical="center" wrapText="1" indent="2"/>
    </xf>
    <xf numFmtId="4" fontId="4" fillId="8" borderId="7" applyAlignment="1" pivotButton="0" quotePrefix="0" xfId="0">
      <alignment horizontal="center" vertical="center" wrapText="1"/>
    </xf>
    <xf numFmtId="4" fontId="4" fillId="8" borderId="16" applyAlignment="1" pivotButton="0" quotePrefix="0" xfId="0">
      <alignment horizontal="center" vertical="center" wrapText="1"/>
    </xf>
    <xf numFmtId="4" fontId="4" fillId="8" borderId="9" applyAlignment="1" pivotButton="0" quotePrefix="0" xfId="0">
      <alignment horizontal="center" vertical="center" wrapText="1"/>
    </xf>
    <xf numFmtId="0" fontId="4" fillId="8" borderId="42" applyAlignment="1" pivotButton="0" quotePrefix="0" xfId="0">
      <alignment horizontal="left" vertical="center" wrapText="1"/>
    </xf>
    <xf numFmtId="0" fontId="4" fillId="8" borderId="8" applyAlignment="1" pivotButton="0" quotePrefix="0" xfId="0">
      <alignment horizontal="left" vertical="center" wrapText="1"/>
    </xf>
    <xf numFmtId="0" fontId="4" fillId="8" borderId="16" applyAlignment="1" pivotButton="0" quotePrefix="0" xfId="0">
      <alignment horizontal="left" vertical="center" wrapText="1"/>
    </xf>
    <xf numFmtId="0" fontId="4" fillId="4" borderId="10" applyAlignment="1" pivotButton="0" quotePrefix="0" xfId="0">
      <alignment horizontal="left" vertical="center" wrapText="1" indent="1"/>
    </xf>
    <xf numFmtId="0" fontId="4" fillId="4" borderId="12" applyAlignment="1" pivotButton="0" quotePrefix="0" xfId="0">
      <alignment horizontal="left" vertical="center" wrapText="1" indent="1"/>
    </xf>
    <xf numFmtId="0" fontId="4" fillId="4" borderId="41" applyAlignment="1" pivotButton="0" quotePrefix="0" xfId="0">
      <alignment horizontal="left" vertical="center" wrapText="1" indent="1"/>
    </xf>
    <xf numFmtId="4" fontId="4" fillId="4" borderId="11" applyAlignment="1" pivotButton="0" quotePrefix="0" xfId="0">
      <alignment horizontal="center" vertical="center"/>
    </xf>
    <xf numFmtId="4" fontId="4" fillId="4" borderId="13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 wrapText="1"/>
    </xf>
    <xf numFmtId="0" fontId="4" fillId="4" borderId="15" applyAlignment="1" pivotButton="0" quotePrefix="0" xfId="0">
      <alignment horizontal="center" vertical="center" wrapText="1"/>
    </xf>
    <xf numFmtId="0" fontId="3" fillId="0" borderId="42" applyAlignment="1" pivotButton="0" quotePrefix="0" xfId="0">
      <alignment horizontal="left" vertical="center" wrapText="1" indent="1"/>
    </xf>
    <xf numFmtId="0" fontId="3" fillId="0" borderId="8" applyAlignment="1" pivotButton="0" quotePrefix="0" xfId="0">
      <alignment horizontal="left" vertical="center" wrapText="1" indent="1"/>
    </xf>
    <xf numFmtId="0" fontId="3" fillId="0" borderId="16" applyAlignment="1" pivotButton="0" quotePrefix="0" xfId="0">
      <alignment horizontal="left" vertical="center" wrapText="1" indent="1"/>
    </xf>
    <xf numFmtId="0" fontId="4" fillId="4" borderId="4" applyAlignment="1" pivotButton="0" quotePrefix="0" xfId="0">
      <alignment horizontal="center" vertical="center" wrapText="1"/>
    </xf>
    <xf numFmtId="0" fontId="4" fillId="4" borderId="6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/>
      <protection locked="0" hidden="0"/>
    </xf>
    <xf numFmtId="4" fontId="3" fillId="3" borderId="9" applyAlignment="1" applyProtection="1" pivotButton="0" quotePrefix="0" xfId="0">
      <alignment horizontal="center" vertical="center"/>
      <protection locked="0" hidden="0"/>
    </xf>
    <xf numFmtId="4" fontId="3" fillId="0" borderId="23" applyAlignment="1" pivotButton="0" quotePrefix="0" xfId="0">
      <alignment horizontal="center" vertical="center" wrapText="1"/>
    </xf>
    <xf numFmtId="4" fontId="4" fillId="0" borderId="15" applyAlignment="1" pivotButton="0" quotePrefix="0" xfId="0">
      <alignment horizontal="center" vertical="center" wrapText="1"/>
    </xf>
    <xf numFmtId="4" fontId="4" fillId="0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/>
    </xf>
    <xf numFmtId="0" fontId="3" fillId="0" borderId="15" applyAlignment="1" pivotButton="0" quotePrefix="0" xfId="0">
      <alignment horizontal="left" vertical="center" wrapText="1"/>
    </xf>
    <xf numFmtId="0" fontId="58" fillId="26" borderId="1" applyAlignment="1" pivotButton="0" quotePrefix="0" xfId="1">
      <alignment horizontal="center" vertical="center" wrapText="1"/>
    </xf>
    <xf numFmtId="0" fontId="58" fillId="26" borderId="2" applyAlignment="1" pivotButton="0" quotePrefix="0" xfId="1">
      <alignment horizontal="center" vertical="center" wrapText="1"/>
    </xf>
    <xf numFmtId="0" fontId="58" fillId="26" borderId="3" applyAlignment="1" pivotButton="0" quotePrefix="0" xfId="1">
      <alignment horizontal="center" vertical="center" wrapText="1"/>
    </xf>
    <xf numFmtId="0" fontId="4" fillId="4" borderId="23" applyAlignment="1" pivotButton="0" quotePrefix="0" xfId="0">
      <alignment horizontal="center" vertical="center" wrapText="1"/>
    </xf>
    <xf numFmtId="0" fontId="4" fillId="4" borderId="22" applyAlignment="1" pivotButton="0" quotePrefix="0" xfId="0">
      <alignment horizontal="left" vertical="center" wrapText="1"/>
    </xf>
    <xf numFmtId="0" fontId="4" fillId="4" borderId="15" applyAlignment="1" pivotButton="0" quotePrefix="0" xfId="0">
      <alignment horizontal="left" vertical="center" wrapText="1"/>
    </xf>
    <xf numFmtId="0" fontId="4" fillId="4" borderId="23" applyAlignment="1" pivotButton="0" quotePrefix="0" xfId="0">
      <alignment horizontal="left" vertical="center" wrapText="1"/>
    </xf>
    <xf numFmtId="0" fontId="4" fillId="11" borderId="42" applyAlignment="1" pivotButton="0" quotePrefix="0" xfId="0">
      <alignment horizontal="left" vertical="center" wrapText="1"/>
    </xf>
    <xf numFmtId="0" fontId="4" fillId="11" borderId="8" applyAlignment="1" pivotButton="0" quotePrefix="0" xfId="0">
      <alignment horizontal="left" vertical="center" wrapText="1"/>
    </xf>
    <xf numFmtId="0" fontId="4" fillId="11" borderId="16" applyAlignment="1" pivotButton="0" quotePrefix="0" xfId="0">
      <alignment horizontal="left" vertical="center" wrapText="1"/>
    </xf>
    <xf numFmtId="4" fontId="4" fillId="3" borderId="7" applyAlignment="1" applyProtection="1" pivotButton="0" quotePrefix="0" xfId="0">
      <alignment horizontal="center" vertical="center" wrapText="1"/>
      <protection locked="0" hidden="0"/>
    </xf>
    <xf numFmtId="4" fontId="4" fillId="3" borderId="8" applyAlignment="1" applyProtection="1" pivotButton="0" quotePrefix="0" xfId="0">
      <alignment horizontal="center" vertical="center" wrapText="1"/>
      <protection locked="0" hidden="0"/>
    </xf>
    <xf numFmtId="4" fontId="4" fillId="3" borderId="9" applyAlignment="1" applyProtection="1" pivotButton="0" quotePrefix="0" xfId="0">
      <alignment horizontal="center" vertical="center" wrapText="1"/>
      <protection locked="0" hidden="0"/>
    </xf>
    <xf numFmtId="4" fontId="4" fillId="11" borderId="7" applyAlignment="1" pivotButton="0" quotePrefix="0" xfId="0">
      <alignment horizontal="center" vertical="center" wrapText="1"/>
    </xf>
    <xf numFmtId="4" fontId="4" fillId="11" borderId="8" applyAlignment="1" pivotButton="0" quotePrefix="0" xfId="0">
      <alignment horizontal="center" vertical="center" wrapText="1"/>
    </xf>
    <xf numFmtId="4" fontId="4" fillId="11" borderId="9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 wrapText="1"/>
      <protection locked="0" hidden="0"/>
    </xf>
    <xf numFmtId="4" fontId="3" fillId="3" borderId="8" applyAlignment="1" applyProtection="1" pivotButton="0" quotePrefix="0" xfId="0">
      <alignment horizontal="center" vertical="center" wrapText="1"/>
      <protection locked="0" hidden="0"/>
    </xf>
    <xf numFmtId="4" fontId="3" fillId="3" borderId="9" applyAlignment="1" applyProtection="1" pivotButton="0" quotePrefix="0" xfId="0">
      <alignment horizontal="center" vertical="center" wrapText="1"/>
      <protection locked="0" hidden="0"/>
    </xf>
    <xf numFmtId="0" fontId="4" fillId="4" borderId="1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left" vertical="center" wrapText="1"/>
    </xf>
    <xf numFmtId="0" fontId="4" fillId="4" borderId="41" applyAlignment="1" pivotButton="0" quotePrefix="0" xfId="0">
      <alignment horizontal="left" vertical="center" wrapText="1"/>
    </xf>
    <xf numFmtId="4" fontId="4" fillId="4" borderId="11" applyAlignment="1" pivotButton="0" quotePrefix="0" xfId="0">
      <alignment horizontal="center" vertical="center" wrapText="1"/>
    </xf>
    <xf numFmtId="4" fontId="4" fillId="4" borderId="12" applyAlignment="1" pivotButton="0" quotePrefix="0" xfId="0">
      <alignment horizontal="center" vertical="center" wrapText="1"/>
    </xf>
    <xf numFmtId="4" fontId="4" fillId="4" borderId="13" applyAlignment="1" pivotButton="0" quotePrefix="0" xfId="0">
      <alignment horizontal="center" vertical="center" wrapText="1"/>
    </xf>
    <xf numFmtId="4" fontId="4" fillId="7" borderId="15" applyAlignment="1" pivotButton="0" quotePrefix="0" xfId="0">
      <alignment horizontal="center" vertical="center" wrapText="1"/>
    </xf>
    <xf numFmtId="0" fontId="4" fillId="0" borderId="22" applyAlignment="1" pivotButton="0" quotePrefix="0" xfId="0">
      <alignment horizontal="left" vertical="center" wrapText="1"/>
    </xf>
    <xf numFmtId="0" fontId="4" fillId="0" borderId="15" applyAlignment="1" pivotButton="0" quotePrefix="0" xfId="0">
      <alignment horizontal="left" vertical="center" wrapText="1"/>
    </xf>
    <xf numFmtId="0" fontId="4" fillId="4" borderId="22" applyAlignment="1" pivotButton="0" quotePrefix="0" xfId="0">
      <alignment horizontal="center" vertical="center" wrapText="1"/>
    </xf>
    <xf numFmtId="0" fontId="58" fillId="26" borderId="19" applyAlignment="1" pivotButton="0" quotePrefix="0" xfId="1">
      <alignment horizontal="center" vertical="center"/>
    </xf>
    <xf numFmtId="0" fontId="58" fillId="26" borderId="20" applyAlignment="1" pivotButton="0" quotePrefix="0" xfId="1">
      <alignment horizontal="center" vertical="center"/>
    </xf>
    <xf numFmtId="0" fontId="58" fillId="26" borderId="21" applyAlignment="1" pivotButton="0" quotePrefix="0" xfId="1">
      <alignment horizontal="center" vertical="center"/>
    </xf>
    <xf numFmtId="4" fontId="3" fillId="8" borderId="25" applyAlignment="1" pivotButton="0" quotePrefix="0" xfId="0">
      <alignment horizontal="center" vertical="center" wrapText="1"/>
    </xf>
    <xf numFmtId="4" fontId="3" fillId="8" borderId="26" applyAlignment="1" pivotButton="0" quotePrefix="0" xfId="0">
      <alignment horizontal="center" vertical="center" wrapText="1"/>
    </xf>
    <xf numFmtId="4" fontId="3" fillId="0" borderId="15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/>
      <protection locked="0" hidden="0"/>
    </xf>
    <xf numFmtId="0" fontId="3" fillId="3" borderId="8" applyAlignment="1" applyProtection="1" pivotButton="0" quotePrefix="0" xfId="0">
      <alignment horizontal="left" vertical="center" wrapText="1"/>
      <protection locked="0" hidden="0"/>
    </xf>
    <xf numFmtId="0" fontId="3" fillId="3" borderId="16" applyAlignment="1" applyProtection="1" pivotButton="0" quotePrefix="0" xfId="0">
      <alignment horizontal="left" vertical="center" wrapText="1"/>
      <protection locked="0" hidden="0"/>
    </xf>
    <xf numFmtId="0" fontId="4" fillId="8" borderId="10" applyAlignment="1" pivotButton="0" quotePrefix="0" xfId="0">
      <alignment horizontal="left" vertical="center" wrapText="1"/>
    </xf>
    <xf numFmtId="0" fontId="4" fillId="8" borderId="12" applyAlignment="1" pivotButton="0" quotePrefix="0" xfId="0">
      <alignment horizontal="left" vertical="center" wrapText="1"/>
    </xf>
    <xf numFmtId="0" fontId="4" fillId="8" borderId="41" applyAlignment="1" pivotButton="0" quotePrefix="0" xfId="0">
      <alignment horizontal="left" vertical="center" wrapText="1"/>
    </xf>
    <xf numFmtId="4" fontId="3" fillId="8" borderId="15" applyAlignment="1" pivotButton="0" quotePrefix="0" xfId="0">
      <alignment horizontal="center" vertical="center" wrapText="1"/>
    </xf>
    <xf numFmtId="4" fontId="3" fillId="8" borderId="23" applyAlignment="1" pivotButton="0" quotePrefix="0" xfId="0">
      <alignment horizontal="center" vertical="center" wrapText="1"/>
    </xf>
    <xf numFmtId="4" fontId="3" fillId="18" borderId="15" applyAlignment="1" pivotButton="0" quotePrefix="0" xfId="0">
      <alignment horizontal="center" vertical="center" wrapText="1"/>
    </xf>
    <xf numFmtId="0" fontId="25" fillId="8" borderId="42" applyAlignment="1" pivotButton="0" quotePrefix="0" xfId="0">
      <alignment horizontal="left" vertical="center" wrapText="1"/>
    </xf>
    <xf numFmtId="0" fontId="25" fillId="8" borderId="8" applyAlignment="1" pivotButton="0" quotePrefix="0" xfId="0">
      <alignment horizontal="left" vertical="center" wrapText="1"/>
    </xf>
    <xf numFmtId="0" fontId="25" fillId="8" borderId="16" applyAlignment="1" pivotButton="0" quotePrefix="0" xfId="0">
      <alignment horizontal="left" vertical="center" wrapText="1"/>
    </xf>
    <xf numFmtId="0" fontId="0" fillId="0" borderId="42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3" fillId="9" borderId="20" applyAlignment="1" pivotButton="0" quotePrefix="0" xfId="0">
      <alignment horizontal="center" vertical="center" wrapText="1"/>
    </xf>
    <xf numFmtId="0" fontId="3" fillId="8" borderId="42" applyAlignment="1" pivotButton="0" quotePrefix="0" xfId="0">
      <alignment horizontal="left" vertical="center" wrapText="1"/>
    </xf>
    <xf numFmtId="0" fontId="3" fillId="8" borderId="8" applyAlignment="1" pivotButton="0" quotePrefix="0" xfId="0">
      <alignment horizontal="left" vertical="center" wrapText="1"/>
    </xf>
    <xf numFmtId="0" fontId="3" fillId="8" borderId="16" applyAlignment="1" pivotButton="0" quotePrefix="0" xfId="0">
      <alignment horizontal="left" vertical="center" wrapText="1"/>
    </xf>
    <xf numFmtId="0" fontId="3" fillId="9" borderId="65" applyAlignment="1" pivotButton="0" quotePrefix="0" xfId="0">
      <alignment horizontal="center" vertical="center" wrapText="1"/>
    </xf>
    <xf numFmtId="0" fontId="3" fillId="9" borderId="5" applyAlignment="1" pivotButton="0" quotePrefix="0" xfId="0">
      <alignment horizontal="center" vertical="center" wrapText="1"/>
    </xf>
    <xf numFmtId="0" fontId="3" fillId="9" borderId="32" applyAlignment="1" pivotButton="0" quotePrefix="0" xfId="0">
      <alignment horizontal="center" vertical="center" wrapText="1"/>
    </xf>
    <xf numFmtId="4" fontId="25" fillId="3" borderId="15" applyAlignment="1" applyProtection="1" pivotButton="0" quotePrefix="0" xfId="0">
      <alignment horizontal="center" vertical="center" wrapText="1"/>
      <protection locked="0" hidden="0"/>
    </xf>
    <xf numFmtId="0" fontId="3" fillId="3" borderId="15" applyAlignment="1" applyProtection="1" pivotButton="0" quotePrefix="0" xfId="0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 wrapText="1"/>
    </xf>
    <xf numFmtId="0" fontId="58" fillId="26" borderId="29" applyAlignment="1" pivotButton="0" quotePrefix="0" xfId="1">
      <alignment horizontal="center" vertical="center" wrapText="1"/>
    </xf>
    <xf numFmtId="0" fontId="58" fillId="26" borderId="30" applyAlignment="1" pivotButton="0" quotePrefix="0" xfId="1">
      <alignment horizontal="center" vertical="center"/>
    </xf>
    <xf numFmtId="0" fontId="58" fillId="26" borderId="31" applyAlignment="1" pivotButton="0" quotePrefix="0" xfId="1">
      <alignment horizontal="center" vertical="center"/>
    </xf>
    <xf numFmtId="0" fontId="3" fillId="9" borderId="4" applyAlignment="1" pivotButton="0" quotePrefix="0" xfId="0">
      <alignment horizontal="center" vertical="center" wrapText="1"/>
    </xf>
    <xf numFmtId="0" fontId="3" fillId="9" borderId="6" applyAlignment="1" pivotButton="0" quotePrefix="0" xfId="0">
      <alignment horizontal="center" vertical="center" wrapText="1"/>
    </xf>
    <xf numFmtId="0" fontId="3" fillId="3" borderId="67" applyAlignment="1" applyProtection="1" pivotButton="0" quotePrefix="0" xfId="0">
      <alignment horizontal="left" vertical="center" wrapText="1"/>
      <protection locked="0" hidden="0"/>
    </xf>
    <xf numFmtId="0" fontId="3" fillId="3" borderId="61" applyAlignment="1" applyProtection="1" pivotButton="0" quotePrefix="0" xfId="0">
      <alignment horizontal="left" vertical="center" wrapText="1"/>
      <protection locked="0" hidden="0"/>
    </xf>
    <xf numFmtId="0" fontId="3" fillId="3" borderId="62" applyAlignment="1" applyProtection="1" pivotButton="0" quotePrefix="0" xfId="0">
      <alignment horizontal="left" vertical="center" wrapText="1"/>
      <protection locked="0" hidden="0"/>
    </xf>
    <xf numFmtId="4" fontId="3" fillId="3" borderId="18" applyAlignment="1" applyProtection="1" pivotButton="0" quotePrefix="0" xfId="2">
      <alignment horizontal="center" vertical="center" wrapText="1"/>
      <protection locked="0" hidden="0"/>
    </xf>
    <xf numFmtId="4" fontId="3" fillId="3" borderId="23" applyAlignment="1" applyProtection="1" pivotButton="0" quotePrefix="0" xfId="2">
      <alignment horizontal="center" vertical="center" wrapText="1"/>
      <protection locked="0" hidden="0"/>
    </xf>
    <xf numFmtId="4" fontId="3" fillId="3" borderId="40" applyAlignment="1" applyProtection="1" pivotButton="0" quotePrefix="0" xfId="2">
      <alignment horizontal="center" vertical="center" wrapText="1"/>
      <protection locked="0" hidden="0"/>
    </xf>
    <xf numFmtId="4" fontId="3" fillId="3" borderId="25" applyAlignment="1" applyProtection="1" pivotButton="0" quotePrefix="0" xfId="2">
      <alignment horizontal="center" vertical="center" wrapText="1"/>
      <protection locked="0" hidden="0"/>
    </xf>
    <xf numFmtId="0" fontId="58" fillId="26" borderId="35" applyAlignment="1" pivotButton="0" quotePrefix="0" xfId="1">
      <alignment horizontal="center" vertical="center"/>
    </xf>
    <xf numFmtId="0" fontId="58" fillId="26" borderId="36" applyAlignment="1" pivotButton="0" quotePrefix="0" xfId="1">
      <alignment horizontal="center" vertical="center"/>
    </xf>
    <xf numFmtId="0" fontId="58" fillId="26" borderId="55" applyAlignment="1" pivotButton="0" quotePrefix="0" xfId="1">
      <alignment horizontal="center" vertical="center"/>
    </xf>
    <xf numFmtId="0" fontId="3" fillId="0" borderId="24" applyAlignment="1" pivotButton="0" quotePrefix="0" xfId="0">
      <alignment horizontal="left" vertical="center" wrapText="1"/>
    </xf>
    <xf numFmtId="0" fontId="3" fillId="0" borderId="25" applyAlignment="1" pivotButton="0" quotePrefix="0" xfId="0">
      <alignment horizontal="left" vertical="center" wrapText="1"/>
    </xf>
    <xf numFmtId="0" fontId="3" fillId="0" borderId="53" applyAlignment="1" pivotButton="0" quotePrefix="0" xfId="0">
      <alignment horizontal="center" vertical="center" wrapText="1"/>
    </xf>
    <xf numFmtId="4" fontId="3" fillId="3" borderId="26" applyAlignment="1" applyProtection="1" pivotButton="0" quotePrefix="0" xfId="2">
      <alignment horizontal="center" vertical="center" wrapText="1"/>
      <protection locked="0" hidden="0"/>
    </xf>
    <xf numFmtId="0" fontId="3" fillId="0" borderId="54" applyAlignment="1" pivotButton="0" quotePrefix="0" xfId="0">
      <alignment horizontal="center" vertical="center" wrapText="1"/>
    </xf>
    <xf numFmtId="0" fontId="3" fillId="3" borderId="25" applyAlignment="1" applyProtection="1" pivotButton="0" quotePrefix="0" xfId="0">
      <alignment horizontal="center" vertical="center" wrapText="1"/>
      <protection locked="0" hidden="0"/>
    </xf>
    <xf numFmtId="0" fontId="4" fillId="4" borderId="18" applyAlignment="1" pivotButton="0" quotePrefix="0" xfId="0">
      <alignment horizontal="center" vertical="center"/>
    </xf>
    <xf numFmtId="0" fontId="4" fillId="4" borderId="37" applyAlignment="1" pivotButton="0" quotePrefix="0" xfId="0">
      <alignment horizontal="center" vertical="center"/>
    </xf>
    <xf numFmtId="0" fontId="4" fillId="4" borderId="17" applyAlignment="1" pivotButton="0" quotePrefix="0" xfId="0">
      <alignment horizontal="center" vertical="center"/>
    </xf>
    <xf numFmtId="0" fontId="4" fillId="3" borderId="19" applyAlignment="1" applyProtection="1" pivotButton="0" quotePrefix="0" xfId="0">
      <alignment horizontal="left" vertical="center" wrapText="1"/>
      <protection locked="0" hidden="0"/>
    </xf>
    <xf numFmtId="0" fontId="4" fillId="3" borderId="20" applyAlignment="1" applyProtection="1" pivotButton="0" quotePrefix="0" xfId="0">
      <alignment horizontal="left" vertical="center" wrapText="1"/>
      <protection locked="0" hidden="0"/>
    </xf>
    <xf numFmtId="0" fontId="3" fillId="0" borderId="52" applyAlignment="1" pivotButton="0" quotePrefix="0" xfId="0">
      <alignment horizontal="center" vertical="center" wrapText="1"/>
    </xf>
    <xf numFmtId="0" fontId="4" fillId="10" borderId="18" applyAlignment="1" pivotButton="0" quotePrefix="0" xfId="0">
      <alignment horizontal="center" vertical="center"/>
    </xf>
    <xf numFmtId="0" fontId="4" fillId="10" borderId="37" applyAlignment="1" pivotButton="0" quotePrefix="0" xfId="0">
      <alignment horizontal="center" vertical="center"/>
    </xf>
    <xf numFmtId="0" fontId="4" fillId="10" borderId="17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 wrapText="1"/>
      <protection locked="0" hidden="0"/>
    </xf>
    <xf numFmtId="0" fontId="4" fillId="10" borderId="44" applyAlignment="1" pivotButton="0" quotePrefix="0" xfId="0">
      <alignment horizontal="center" vertical="center"/>
    </xf>
    <xf numFmtId="0" fontId="4" fillId="10" borderId="46" applyAlignment="1" pivotButton="0" quotePrefix="0" xfId="0">
      <alignment horizontal="center" vertical="center"/>
    </xf>
    <xf numFmtId="0" fontId="4" fillId="10" borderId="48" applyAlignment="1" pivotButton="0" quotePrefix="0" xfId="0">
      <alignment horizontal="center" vertical="center"/>
    </xf>
    <xf numFmtId="0" fontId="4" fillId="4" borderId="44" applyAlignment="1" pivotButton="0" quotePrefix="0" xfId="0">
      <alignment horizontal="center" vertical="center"/>
    </xf>
    <xf numFmtId="0" fontId="4" fillId="4" borderId="46" applyAlignment="1" pivotButton="0" quotePrefix="0" xfId="0">
      <alignment horizontal="center" vertical="center"/>
    </xf>
    <xf numFmtId="0" fontId="4" fillId="4" borderId="48" applyAlignment="1" pivotButton="0" quotePrefix="0" xfId="0">
      <alignment horizontal="center" vertical="center"/>
    </xf>
    <xf numFmtId="0" fontId="4" fillId="0" borderId="42" applyAlignment="1" pivotButton="0" quotePrefix="0" xfId="0">
      <alignment horizontal="left" vertical="center"/>
    </xf>
    <xf numFmtId="0" fontId="4" fillId="0" borderId="8" applyAlignment="1" pivotButton="0" quotePrefix="0" xfId="0">
      <alignment horizontal="left" vertical="center"/>
    </xf>
    <xf numFmtId="0" fontId="4" fillId="0" borderId="16" applyAlignment="1" pivotButton="0" quotePrefix="0" xfId="0">
      <alignment horizontal="left" vertical="center"/>
    </xf>
    <xf numFmtId="0" fontId="4" fillId="0" borderId="10" applyAlignment="1" pivotButton="0" quotePrefix="0" xfId="0">
      <alignment horizontal="left" vertical="center"/>
    </xf>
    <xf numFmtId="0" fontId="4" fillId="0" borderId="12" applyAlignment="1" pivotButton="0" quotePrefix="0" xfId="0">
      <alignment horizontal="left" vertical="center"/>
    </xf>
    <xf numFmtId="0" fontId="4" fillId="0" borderId="41" applyAlignment="1" pivotButton="0" quotePrefix="0" xfId="0">
      <alignment horizontal="left" vertical="center"/>
    </xf>
    <xf numFmtId="4" fontId="3" fillId="0" borderId="15" applyAlignment="1" applyProtection="1" pivotButton="0" quotePrefix="0" xfId="0">
      <alignment horizontal="center" vertical="center"/>
      <protection locked="0" hidden="0"/>
    </xf>
    <xf numFmtId="4" fontId="3" fillId="0" borderId="23" applyAlignment="1" applyProtection="1" pivotButton="0" quotePrefix="0" xfId="0">
      <alignment horizontal="center" vertical="center"/>
      <protection locked="0" hidden="0"/>
    </xf>
    <xf numFmtId="4" fontId="3" fillId="0" borderId="25" applyAlignment="1" applyProtection="1" pivotButton="0" quotePrefix="0" xfId="0">
      <alignment horizontal="center" vertical="center"/>
      <protection locked="0" hidden="0"/>
    </xf>
    <xf numFmtId="4" fontId="3" fillId="0" borderId="26" applyAlignment="1" applyProtection="1" pivotButton="0" quotePrefix="0" xfId="0">
      <alignment horizontal="center" vertical="center"/>
      <protection locked="0" hidden="0"/>
    </xf>
    <xf numFmtId="0" fontId="4" fillId="0" borderId="27" applyAlignment="1" pivotButton="0" quotePrefix="0" xfId="0">
      <alignment horizontal="left" vertical="center"/>
    </xf>
    <xf numFmtId="0" fontId="4" fillId="0" borderId="17" applyAlignment="1" pivotButton="0" quotePrefix="0" xfId="0">
      <alignment horizontal="left" vertical="center"/>
    </xf>
    <xf numFmtId="0" fontId="0" fillId="0" borderId="36" pivotButton="0" quotePrefix="0" xfId="0"/>
    <xf numFmtId="0" fontId="0" fillId="0" borderId="38" pivotButton="0" quotePrefix="0" xfId="0"/>
    <xf numFmtId="0" fontId="0" fillId="0" borderId="14" pivotButton="0" quotePrefix="0" xfId="0"/>
    <xf numFmtId="0" fontId="0" fillId="0" borderId="0" pivotButton="0" quotePrefix="0" xfId="0"/>
    <xf numFmtId="0" fontId="0" fillId="0" borderId="43" pivotButton="0" quotePrefix="0" xfId="0"/>
    <xf numFmtId="0" fontId="0" fillId="0" borderId="58" pivotButton="0" quotePrefix="0" xfId="0"/>
    <xf numFmtId="0" fontId="0" fillId="0" borderId="59" pivotButton="0" quotePrefix="0" xfId="0"/>
    <xf numFmtId="0" fontId="0" fillId="0" borderId="64" pivotButton="0" quotePrefix="0" xfId="0"/>
    <xf numFmtId="0" fontId="59" fillId="26" borderId="2" pivotButton="0" quotePrefix="0" xfId="0"/>
    <xf numFmtId="0" fontId="59" fillId="26" borderId="3" pivotButton="0" quotePrefix="0" xfId="0"/>
    <xf numFmtId="4" fontId="34" fillId="3" borderId="15" applyAlignment="1" applyProtection="1" pivotButton="0" quotePrefix="0" xfId="0">
      <alignment horizontal="center" vertical="center"/>
      <protection locked="0" hidden="0"/>
    </xf>
    <xf numFmtId="4" fontId="23" fillId="3" borderId="15" applyAlignment="1" applyProtection="1" pivotButton="0" quotePrefix="0" xfId="0">
      <alignment horizontal="center" vertical="center"/>
      <protection locked="0" hidden="0"/>
    </xf>
    <xf numFmtId="4" fontId="33" fillId="0" borderId="15" applyAlignment="1" pivotButton="0" quotePrefix="0" xfId="0">
      <alignment horizontal="center" vertical="center"/>
    </xf>
    <xf numFmtId="4" fontId="33" fillId="0" borderId="23" applyAlignment="1" pivotButton="0" quotePrefix="0" xfId="0">
      <alignment horizontal="center" vertical="center"/>
    </xf>
    <xf numFmtId="0" fontId="34" fillId="0" borderId="15" applyAlignment="1" pivotButton="0" quotePrefix="0" xfId="0">
      <alignment horizontal="left" vertical="center" indent="3"/>
    </xf>
    <xf numFmtId="10" fontId="3" fillId="30" borderId="56" applyAlignment="1" pivotButton="0" quotePrefix="0" xfId="0">
      <alignment horizontal="center" vertical="center"/>
    </xf>
    <xf numFmtId="0" fontId="0" fillId="30" borderId="55" pivotButton="0" quotePrefix="0" xfId="0"/>
    <xf numFmtId="0" fontId="0" fillId="30" borderId="46" pivotButton="0" quotePrefix="0" xfId="0"/>
    <xf numFmtId="0" fontId="0" fillId="30" borderId="47" pivotButton="0" quotePrefix="0" xfId="0"/>
    <xf numFmtId="0" fontId="0" fillId="30" borderId="68" pivotButton="0" quotePrefix="0" xfId="0"/>
    <xf numFmtId="0" fontId="0" fillId="30" borderId="60" pivotButton="0" quotePrefix="0" xfId="0"/>
    <xf numFmtId="0" fontId="24" fillId="4" borderId="35" applyAlignment="1" pivotButton="0" quotePrefix="0" xfId="0">
      <alignment horizontal="center" vertical="center"/>
    </xf>
    <xf numFmtId="0" fontId="24" fillId="4" borderId="36" applyAlignment="1" pivotButton="0" quotePrefix="0" xfId="0">
      <alignment horizontal="center" vertical="center"/>
    </xf>
    <xf numFmtId="0" fontId="24" fillId="4" borderId="38" applyAlignment="1" pivotButton="0" quotePrefix="0" xfId="0">
      <alignment horizontal="center" vertical="center"/>
    </xf>
    <xf numFmtId="0" fontId="32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/>
    </xf>
    <xf numFmtId="0" fontId="33" fillId="4" borderId="51" applyAlignment="1" pivotButton="0" quotePrefix="0" xfId="0">
      <alignment horizontal="center" vertical="center"/>
    </xf>
    <xf numFmtId="0" fontId="31" fillId="6" borderId="19" applyAlignment="1" pivotButton="0" quotePrefix="0" xfId="0">
      <alignment horizontal="center" vertical="center" textRotation="90"/>
    </xf>
    <xf numFmtId="0" fontId="31" fillId="6" borderId="22" applyAlignment="1" pivotButton="0" quotePrefix="0" xfId="0">
      <alignment horizontal="center" vertical="center" textRotation="90"/>
    </xf>
    <xf numFmtId="0" fontId="31" fillId="6" borderId="39" applyAlignment="1" pivotButton="0" quotePrefix="0" xfId="0">
      <alignment horizontal="center" vertical="center" textRotation="90"/>
    </xf>
    <xf numFmtId="0" fontId="32" fillId="11" borderId="20" applyAlignment="1" pivotButton="0" quotePrefix="0" xfId="0">
      <alignment horizontal="left" vertical="center" wrapText="1" indent="1"/>
    </xf>
    <xf numFmtId="4" fontId="34" fillId="11" borderId="20" applyAlignment="1" pivotButton="0" quotePrefix="0" xfId="0">
      <alignment horizontal="center" vertical="center"/>
    </xf>
    <xf numFmtId="4" fontId="33" fillId="11" borderId="20" applyAlignment="1" pivotButton="0" quotePrefix="0" xfId="0">
      <alignment horizontal="center" vertical="center"/>
    </xf>
    <xf numFmtId="4" fontId="33" fillId="11" borderId="21" applyAlignment="1" pivotButton="0" quotePrefix="0" xfId="0">
      <alignment horizontal="center" vertical="center"/>
    </xf>
    <xf numFmtId="4" fontId="34" fillId="11" borderId="15" applyAlignment="1" pivotButton="0" quotePrefix="0" xfId="0">
      <alignment horizontal="center" vertical="center"/>
    </xf>
    <xf numFmtId="4" fontId="33" fillId="11" borderId="15" applyAlignment="1" pivotButton="0" quotePrefix="0" xfId="0">
      <alignment horizontal="center" vertical="center"/>
    </xf>
    <xf numFmtId="4" fontId="33" fillId="11" borderId="23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 wrapText="1"/>
    </xf>
    <xf numFmtId="4" fontId="33" fillId="8" borderId="25" applyAlignment="1" pivotButton="0" quotePrefix="0" xfId="0">
      <alignment horizontal="center" vertical="center"/>
    </xf>
    <xf numFmtId="4" fontId="33" fillId="8" borderId="26" applyAlignment="1" pivotButton="0" quotePrefix="0" xfId="0">
      <alignment horizontal="center" vertical="center"/>
    </xf>
    <xf numFmtId="4" fontId="34" fillId="24" borderId="15" applyAlignment="1" pivotButton="0" quotePrefix="0" xfId="0">
      <alignment horizontal="center" vertical="center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9" fontId="3" fillId="3" borderId="17" applyAlignment="1" applyProtection="1" pivotButton="0" quotePrefix="0" xfId="2">
      <alignment horizontal="center" vertical="center"/>
      <protection locked="0" hidden="0"/>
    </xf>
    <xf numFmtId="9" fontId="3" fillId="3" borderId="28" applyAlignment="1" applyProtection="1" pivotButton="0" quotePrefix="0" xfId="2">
      <alignment horizontal="center" vertical="center"/>
      <protection locked="0" hidden="0"/>
    </xf>
    <xf numFmtId="0" fontId="3" fillId="4" borderId="35" applyAlignment="1" pivotButton="0" quotePrefix="0" xfId="0">
      <alignment horizontal="center" vertical="center" wrapText="1"/>
    </xf>
    <xf numFmtId="0" fontId="3" fillId="4" borderId="36" applyAlignment="1" pivotButton="0" quotePrefix="0" xfId="0">
      <alignment horizontal="center" vertical="center" wrapText="1"/>
    </xf>
    <xf numFmtId="0" fontId="3" fillId="4" borderId="38" applyAlignment="1" pivotButton="0" quotePrefix="0" xfId="0">
      <alignment horizontal="center" vertical="center" wrapText="1"/>
    </xf>
    <xf numFmtId="0" fontId="4" fillId="4" borderId="50" applyAlignment="1" pivotButton="0" quotePrefix="0" xfId="0">
      <alignment horizontal="center" vertical="center" wrapText="1"/>
    </xf>
    <xf numFmtId="0" fontId="4" fillId="4" borderId="34" applyAlignment="1" pivotButton="0" quotePrefix="0" xfId="0">
      <alignment horizontal="center" vertical="center" wrapText="1"/>
    </xf>
    <xf numFmtId="0" fontId="4" fillId="4" borderId="33" applyAlignment="1" pivotButton="0" quotePrefix="0" xfId="0">
      <alignment horizontal="center" vertical="center" wrapText="1"/>
    </xf>
    <xf numFmtId="0" fontId="32" fillId="11" borderId="15" applyAlignment="1" pivotButton="0" quotePrefix="0" xfId="0">
      <alignment horizontal="left" vertical="center" wrapText="1" indent="1"/>
    </xf>
    <xf numFmtId="0" fontId="4" fillId="4" borderId="51" applyAlignment="1" pivotButton="0" quotePrefix="0" xfId="0">
      <alignment horizontal="center" vertical="center" wrapText="1"/>
    </xf>
    <xf numFmtId="0" fontId="13" fillId="4" borderId="20" applyAlignment="1" pivotButton="0" quotePrefix="0" xfId="0">
      <alignment horizontal="center" vertical="center" wrapText="1"/>
    </xf>
    <xf numFmtId="0" fontId="13" fillId="4" borderId="21" applyAlignment="1" pivotButton="0" quotePrefix="0" xfId="0">
      <alignment horizontal="center" vertical="center" wrapText="1"/>
    </xf>
    <xf numFmtId="4" fontId="3" fillId="3" borderId="7" applyAlignment="1" applyProtection="1" pivotButton="0" quotePrefix="0" xfId="2">
      <alignment horizontal="center" vertical="center" wrapText="1"/>
      <protection locked="0" hidden="0"/>
    </xf>
    <xf numFmtId="4" fontId="3" fillId="3" borderId="16" applyAlignment="1" applyProtection="1" pivotButton="0" quotePrefix="0" xfId="2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0" fontId="4" fillId="8" borderId="22" applyAlignment="1" pivotButton="0" quotePrefix="0" xfId="0">
      <alignment horizontal="left" vertical="center" indent="1"/>
    </xf>
    <xf numFmtId="0" fontId="4" fillId="8" borderId="15" applyAlignment="1" pivotButton="0" quotePrefix="0" xfId="0">
      <alignment horizontal="left" vertical="center" indent="1"/>
    </xf>
    <xf numFmtId="0" fontId="4" fillId="0" borderId="22" applyAlignment="1" pivotButton="0" quotePrefix="0" xfId="0">
      <alignment horizontal="left" vertical="center" indent="2"/>
    </xf>
    <xf numFmtId="0" fontId="4" fillId="0" borderId="15" applyAlignment="1" pivotButton="0" quotePrefix="0" xfId="0">
      <alignment horizontal="left" vertical="center" indent="2"/>
    </xf>
    <xf numFmtId="0" fontId="3" fillId="3" borderId="22" applyAlignment="1" applyProtection="1" pivotButton="0" quotePrefix="0" xfId="0">
      <alignment horizontal="left" vertical="center" indent="3"/>
      <protection locked="0" hidden="0"/>
    </xf>
    <xf numFmtId="0" fontId="3" fillId="3" borderId="15" applyAlignment="1" applyProtection="1" pivotButton="0" quotePrefix="0" xfId="0">
      <alignment horizontal="left" vertical="center" indent="3"/>
      <protection locked="0" hidden="0"/>
    </xf>
    <xf numFmtId="10" fontId="4" fillId="13" borderId="7" applyAlignment="1" pivotButton="0" quotePrefix="0" xfId="0">
      <alignment horizontal="center" vertical="center"/>
    </xf>
    <xf numFmtId="10" fontId="4" fillId="13" borderId="9" applyAlignment="1" pivotButton="0" quotePrefix="0" xfId="0">
      <alignment horizontal="center" vertical="center"/>
    </xf>
    <xf numFmtId="4" fontId="4" fillId="0" borderId="7" applyAlignment="1" pivotButton="0" quotePrefix="0" xfId="0">
      <alignment horizontal="center" vertical="center"/>
    </xf>
    <xf numFmtId="4" fontId="4" fillId="0" borderId="16" applyAlignment="1" pivotButton="0" quotePrefix="0" xfId="0">
      <alignment horizontal="center" vertical="center"/>
    </xf>
    <xf numFmtId="0" fontId="3" fillId="0" borderId="42" applyAlignment="1" pivotButton="0" quotePrefix="0" xfId="0">
      <alignment horizontal="left" vertical="center" indent="3"/>
    </xf>
    <xf numFmtId="0" fontId="3" fillId="0" borderId="8" applyAlignment="1" pivotButton="0" quotePrefix="0" xfId="0">
      <alignment horizontal="left" vertical="center" indent="3"/>
    </xf>
    <xf numFmtId="0" fontId="3" fillId="0" borderId="16" applyAlignment="1" pivotButton="0" quotePrefix="0" xfId="0">
      <alignment horizontal="left" vertical="center" indent="3"/>
    </xf>
    <xf numFmtId="0" fontId="3" fillId="0" borderId="22" applyAlignment="1" pivotButton="0" quotePrefix="0" xfId="0">
      <alignment horizontal="left" vertical="center" indent="3"/>
    </xf>
    <xf numFmtId="0" fontId="3" fillId="0" borderId="15" applyAlignment="1" pivotButton="0" quotePrefix="0" xfId="0">
      <alignment horizontal="left" vertical="center" indent="3"/>
    </xf>
    <xf numFmtId="0" fontId="4" fillId="4" borderId="15" applyAlignment="1" pivotButton="0" quotePrefix="0" xfId="0">
      <alignment horizontal="left" vertical="center"/>
    </xf>
    <xf numFmtId="0" fontId="4" fillId="4" borderId="24" applyAlignment="1" pivotButton="0" quotePrefix="0" xfId="0">
      <alignment horizontal="left" vertical="center"/>
    </xf>
    <xf numFmtId="0" fontId="4" fillId="4" borderId="25" applyAlignment="1" pivotButton="0" quotePrefix="0" xfId="0">
      <alignment horizontal="left" vertical="center"/>
    </xf>
    <xf numFmtId="4" fontId="4" fillId="8" borderId="7" applyAlignment="1" pivotButton="0" quotePrefix="0" xfId="0">
      <alignment horizontal="center" vertical="center"/>
    </xf>
    <xf numFmtId="4" fontId="4" fillId="8" borderId="16" applyAlignment="1" pivotButton="0" quotePrefix="0" xfId="0">
      <alignment horizontal="center" vertical="center"/>
    </xf>
    <xf numFmtId="4" fontId="4" fillId="18" borderId="7" applyAlignment="1" pivotButton="0" quotePrefix="0" xfId="0">
      <alignment horizontal="center" vertical="center"/>
    </xf>
    <xf numFmtId="4" fontId="4" fillId="18" borderId="16" applyAlignment="1" pivotButton="0" quotePrefix="0" xfId="0">
      <alignment horizontal="center" vertical="center"/>
    </xf>
    <xf numFmtId="0" fontId="4" fillId="18" borderId="7" applyAlignment="1" pivotButton="0" quotePrefix="0" xfId="0">
      <alignment horizontal="center" vertical="center"/>
    </xf>
    <xf numFmtId="0" fontId="4" fillId="18" borderId="16" applyAlignment="1" pivotButton="0" quotePrefix="0" xfId="0">
      <alignment horizontal="center" vertical="center"/>
    </xf>
    <xf numFmtId="4" fontId="4" fillId="8" borderId="8" applyAlignment="1" pivotButton="0" quotePrefix="0" xfId="0">
      <alignment horizontal="center" vertical="center"/>
    </xf>
    <xf numFmtId="9" fontId="4" fillId="17" borderId="7" applyAlignment="1" pivotButton="0" quotePrefix="0" xfId="0">
      <alignment horizontal="center" vertical="center"/>
    </xf>
    <xf numFmtId="9" fontId="4" fillId="17" borderId="16" applyAlignment="1" pivotButton="0" quotePrefix="0" xfId="0">
      <alignment horizontal="center" vertical="center"/>
    </xf>
    <xf numFmtId="10" fontId="4" fillId="8" borderId="7" applyAlignment="1" pivotButton="0" quotePrefix="0" xfId="0">
      <alignment horizontal="center" vertical="center"/>
    </xf>
    <xf numFmtId="10" fontId="4" fillId="8" borderId="16" applyAlignment="1" pivotButton="0" quotePrefix="0" xfId="0">
      <alignment horizontal="center" vertical="center"/>
    </xf>
    <xf numFmtId="4" fontId="30" fillId="16" borderId="7" applyAlignment="1" pivotButton="0" quotePrefix="0" xfId="0">
      <alignment horizontal="center" vertical="center"/>
    </xf>
    <xf numFmtId="4" fontId="30" fillId="16" borderId="16" applyAlignment="1" pivotButton="0" quotePrefix="0" xfId="0">
      <alignment horizontal="center" vertical="center"/>
    </xf>
    <xf numFmtId="0" fontId="29" fillId="16" borderId="7" applyAlignment="1" pivotButton="0" quotePrefix="0" xfId="0">
      <alignment horizontal="center" vertical="center"/>
    </xf>
    <xf numFmtId="0" fontId="29" fillId="16" borderId="16" applyAlignment="1" pivotButton="0" quotePrefix="0" xfId="0">
      <alignment horizontal="center" vertical="center"/>
    </xf>
    <xf numFmtId="4" fontId="4" fillId="0" borderId="8" applyAlignment="1" pivotButton="0" quotePrefix="0" xfId="0">
      <alignment horizontal="center" vertical="center"/>
    </xf>
    <xf numFmtId="9" fontId="30" fillId="16" borderId="7" applyAlignment="1" pivotButton="0" quotePrefix="0" xfId="0">
      <alignment horizontal="center" vertical="center"/>
    </xf>
    <xf numFmtId="9" fontId="30" fillId="16" borderId="16" applyAlignment="1" pivotButton="0" quotePrefix="0" xfId="0">
      <alignment horizontal="center" vertical="center"/>
    </xf>
    <xf numFmtId="10" fontId="4" fillId="0" borderId="7" applyAlignment="1" pivotButton="0" quotePrefix="0" xfId="0">
      <alignment horizontal="center" vertical="center"/>
    </xf>
    <xf numFmtId="10" fontId="4" fillId="0" borderId="16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/>
      <protection locked="0" hidden="0"/>
    </xf>
    <xf numFmtId="0" fontId="3" fillId="3" borderId="7" applyAlignment="1" applyProtection="1" pivotButton="0" quotePrefix="0" xfId="0">
      <alignment horizontal="center" vertical="center"/>
      <protection locked="0" hidden="0"/>
    </xf>
    <xf numFmtId="0" fontId="3" fillId="3" borderId="16" applyAlignment="1" applyProtection="1" pivotButton="0" quotePrefix="0" xfId="0">
      <alignment horizontal="center" vertical="center"/>
      <protection locked="0" hidden="0"/>
    </xf>
    <xf numFmtId="4" fontId="3" fillId="0" borderId="7" applyAlignment="1" pivotButton="0" quotePrefix="0" xfId="0">
      <alignment horizontal="center" vertical="center"/>
    </xf>
    <xf numFmtId="4" fontId="3" fillId="0" borderId="8" applyAlignment="1" pivotButton="0" quotePrefix="0" xfId="0">
      <alignment horizontal="center" vertical="center"/>
    </xf>
    <xf numFmtId="4" fontId="3" fillId="0" borderId="16" applyAlignment="1" pivotButton="0" quotePrefix="0" xfId="0">
      <alignment horizontal="center" vertical="center"/>
    </xf>
    <xf numFmtId="9" fontId="3" fillId="3" borderId="7" applyAlignment="1" applyProtection="1" pivotButton="0" quotePrefix="0" xfId="0">
      <alignment horizontal="center" vertical="center"/>
      <protection locked="0" hidden="0"/>
    </xf>
    <xf numFmtId="9" fontId="3" fillId="3" borderId="16" applyAlignment="1" applyProtection="1" pivotButton="0" quotePrefix="0" xfId="0">
      <alignment horizontal="center" vertical="center"/>
      <protection locked="0" hidden="0"/>
    </xf>
    <xf numFmtId="9" fontId="3" fillId="0" borderId="7" applyAlignment="1" pivotButton="0" quotePrefix="0" xfId="0">
      <alignment horizontal="center" vertical="center"/>
    </xf>
    <xf numFmtId="9" fontId="3" fillId="0" borderId="16" applyAlignment="1" pivotButton="0" quotePrefix="0" xfId="0">
      <alignment horizontal="center" vertical="center"/>
    </xf>
    <xf numFmtId="10" fontId="3" fillId="0" borderId="7" applyAlignment="1" pivotButton="0" quotePrefix="0" xfId="0">
      <alignment horizontal="center" vertical="center"/>
    </xf>
    <xf numFmtId="10" fontId="3" fillId="0" borderId="16" applyAlignment="1" pivotButton="0" quotePrefix="0" xfId="0">
      <alignment horizontal="center" vertical="center"/>
    </xf>
    <xf numFmtId="10" fontId="4" fillId="0" borderId="9" applyAlignment="1" pivotButton="0" quotePrefix="0" xfId="0">
      <alignment horizontal="center" vertical="center"/>
    </xf>
    <xf numFmtId="10" fontId="3" fillId="12" borderId="44" applyAlignment="1" pivotButton="0" quotePrefix="0" xfId="0">
      <alignment horizontal="center" vertical="center"/>
    </xf>
    <xf numFmtId="10" fontId="3" fillId="12" borderId="45" applyAlignment="1" pivotButton="0" quotePrefix="0" xfId="0">
      <alignment horizontal="center" vertical="center"/>
    </xf>
    <xf numFmtId="10" fontId="3" fillId="12" borderId="46" applyAlignment="1" pivotButton="0" quotePrefix="0" xfId="0">
      <alignment horizontal="center" vertical="center"/>
    </xf>
    <xf numFmtId="10" fontId="3" fillId="12" borderId="47" applyAlignment="1" pivotButton="0" quotePrefix="0" xfId="0">
      <alignment horizontal="center" vertical="center"/>
    </xf>
    <xf numFmtId="10" fontId="3" fillId="12" borderId="48" applyAlignment="1" pivotButton="0" quotePrefix="0" xfId="0">
      <alignment horizontal="center" vertical="center"/>
    </xf>
    <xf numFmtId="10" fontId="3" fillId="12" borderId="49" applyAlignment="1" pivotButton="0" quotePrefix="0" xfId="0">
      <alignment horizontal="center" vertical="center"/>
    </xf>
    <xf numFmtId="9" fontId="4" fillId="18" borderId="7" applyAlignment="1" pivotButton="0" quotePrefix="0" xfId="0">
      <alignment horizontal="center" vertical="center"/>
    </xf>
    <xf numFmtId="9" fontId="4" fillId="18" borderId="16" applyAlignment="1" pivotButton="0" quotePrefix="0" xfId="0">
      <alignment horizontal="center" vertical="center"/>
    </xf>
    <xf numFmtId="4" fontId="4" fillId="3" borderId="7" applyAlignment="1" applyProtection="1" pivotButton="0" quotePrefix="0" xfId="0">
      <alignment horizontal="center" vertical="center"/>
      <protection locked="0" hidden="0"/>
    </xf>
    <xf numFmtId="4" fontId="4" fillId="3" borderId="16" applyAlignment="1" applyProtection="1" pivotButton="0" quotePrefix="0" xfId="0">
      <alignment horizontal="center" vertical="center"/>
      <protection locked="0" hidden="0"/>
    </xf>
    <xf numFmtId="0" fontId="4" fillId="3" borderId="7" applyAlignment="1" applyProtection="1" pivotButton="0" quotePrefix="0" xfId="0">
      <alignment horizontal="center" vertical="center"/>
      <protection locked="0" hidden="0"/>
    </xf>
    <xf numFmtId="0" fontId="4" fillId="3" borderId="16" applyAlignment="1" applyProtection="1" pivotButton="0" quotePrefix="0" xfId="0">
      <alignment horizontal="center" vertical="center"/>
      <protection locked="0" hidden="0"/>
    </xf>
    <xf numFmtId="9" fontId="4" fillId="8" borderId="7" applyAlignment="1" pivotButton="0" quotePrefix="0" xfId="0">
      <alignment horizontal="center" vertical="center"/>
    </xf>
    <xf numFmtId="9" fontId="4" fillId="8" borderId="16" applyAlignment="1" pivotButton="0" quotePrefix="0" xfId="0">
      <alignment horizontal="center" vertical="center"/>
    </xf>
    <xf numFmtId="4" fontId="4" fillId="19" borderId="7" applyAlignment="1" pivotButton="0" quotePrefix="0" xfId="0">
      <alignment horizontal="center" vertical="center"/>
    </xf>
    <xf numFmtId="4" fontId="4" fillId="19" borderId="16" applyAlignment="1" pivotButton="0" quotePrefix="0" xfId="0">
      <alignment horizontal="center" vertical="center"/>
    </xf>
    <xf numFmtId="0" fontId="4" fillId="19" borderId="7" applyAlignment="1" pivotButton="0" quotePrefix="0" xfId="0">
      <alignment horizontal="center" vertical="center"/>
    </xf>
    <xf numFmtId="0" fontId="4" fillId="19" borderId="16" applyAlignment="1" pivotButton="0" quotePrefix="0" xfId="0">
      <alignment horizontal="center" vertical="center"/>
    </xf>
    <xf numFmtId="4" fontId="4" fillId="4" borderId="7" applyAlignment="1" pivotButton="0" quotePrefix="0" xfId="0">
      <alignment horizontal="center" vertical="center"/>
    </xf>
    <xf numFmtId="4" fontId="4" fillId="4" borderId="8" applyAlignment="1" pivotButton="0" quotePrefix="0" xfId="0">
      <alignment horizontal="center" vertical="center"/>
    </xf>
    <xf numFmtId="4" fontId="4" fillId="4" borderId="16" applyAlignment="1" pivotButton="0" quotePrefix="0" xfId="0">
      <alignment horizontal="center" vertical="center"/>
    </xf>
    <xf numFmtId="9" fontId="4" fillId="19" borderId="7" applyAlignment="1" pivotButton="0" quotePrefix="0" xfId="0">
      <alignment horizontal="center" vertical="center"/>
    </xf>
    <xf numFmtId="9" fontId="4" fillId="19" borderId="16" applyAlignment="1" pivotButton="0" quotePrefix="0" xfId="0">
      <alignment horizontal="center" vertical="center"/>
    </xf>
    <xf numFmtId="10" fontId="4" fillId="4" borderId="7" applyAlignment="1" pivotButton="0" quotePrefix="0" xfId="0">
      <alignment horizontal="center" vertical="center"/>
    </xf>
    <xf numFmtId="10" fontId="4" fillId="4" borderId="16" applyAlignment="1" pivotButton="0" quotePrefix="0" xfId="0">
      <alignment horizontal="center" vertical="center"/>
    </xf>
    <xf numFmtId="10" fontId="4" fillId="14" borderId="7" applyAlignment="1" pivotButton="0" quotePrefix="0" xfId="0">
      <alignment horizontal="center" vertical="center"/>
    </xf>
    <xf numFmtId="10" fontId="4" fillId="14" borderId="9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9" fontId="3" fillId="0" borderId="15" applyAlignment="1" pivotButton="0" quotePrefix="0" xfId="2">
      <alignment horizontal="center" vertical="center"/>
    </xf>
    <xf numFmtId="4" fontId="4" fillId="19" borderId="11" applyAlignment="1" pivotButton="0" quotePrefix="0" xfId="0">
      <alignment horizontal="center" vertical="center"/>
    </xf>
    <xf numFmtId="4" fontId="4" fillId="19" borderId="41" applyAlignment="1" pivotButton="0" quotePrefix="0" xfId="0">
      <alignment horizontal="center" vertical="center"/>
    </xf>
    <xf numFmtId="0" fontId="4" fillId="19" borderId="11" applyAlignment="1" pivotButton="0" quotePrefix="0" xfId="0">
      <alignment horizontal="center" vertical="center"/>
    </xf>
    <xf numFmtId="0" fontId="4" fillId="19" borderId="41" applyAlignment="1" pivotButton="0" quotePrefix="0" xfId="0">
      <alignment horizontal="center" vertical="center"/>
    </xf>
    <xf numFmtId="10" fontId="4" fillId="15" borderId="11" applyAlignment="1" pivotButton="0" quotePrefix="0" xfId="0">
      <alignment horizontal="center" vertical="center"/>
    </xf>
    <xf numFmtId="10" fontId="4" fillId="15" borderId="13" applyAlignment="1" pivotButton="0" quotePrefix="0" xfId="0">
      <alignment horizontal="center" vertical="center"/>
    </xf>
    <xf numFmtId="0" fontId="3" fillId="0" borderId="15" applyAlignment="1" pivotButton="0" quotePrefix="0" xfId="0">
      <alignment horizontal="left" vertical="center"/>
    </xf>
    <xf numFmtId="4" fontId="4" fillId="4" borderId="12" applyAlignment="1" pivotButton="0" quotePrefix="0" xfId="0">
      <alignment horizontal="center" vertical="center"/>
    </xf>
    <xf numFmtId="4" fontId="4" fillId="4" borderId="41" applyAlignment="1" pivotButton="0" quotePrefix="0" xfId="0">
      <alignment horizontal="center" vertical="center"/>
    </xf>
    <xf numFmtId="9" fontId="4" fillId="19" borderId="11" applyAlignment="1" pivotButton="0" quotePrefix="0" xfId="0">
      <alignment horizontal="center" vertical="center"/>
    </xf>
    <xf numFmtId="9" fontId="4" fillId="19" borderId="41" applyAlignment="1" pivotButton="0" quotePrefix="0" xfId="0">
      <alignment horizontal="center" vertical="center"/>
    </xf>
    <xf numFmtId="0" fontId="28" fillId="26" borderId="1" applyAlignment="1" pivotButton="0" quotePrefix="0" xfId="0">
      <alignment horizontal="center" vertical="center"/>
    </xf>
    <xf numFmtId="0" fontId="28" fillId="26" borderId="2" applyAlignment="1" pivotButton="0" quotePrefix="0" xfId="0">
      <alignment horizontal="center" vertical="center"/>
    </xf>
    <xf numFmtId="0" fontId="28" fillId="26" borderId="3" applyAlignment="1" pivotButton="0" quotePrefix="0" xfId="0">
      <alignment horizontal="center" vertical="center"/>
    </xf>
    <xf numFmtId="0" fontId="4" fillId="4" borderId="24" applyAlignment="1" pivotButton="0" quotePrefix="0" xfId="0">
      <alignment horizontal="left" vertical="center" wrapText="1"/>
    </xf>
    <xf numFmtId="0" fontId="4" fillId="4" borderId="25" applyAlignment="1" pivotButton="0" quotePrefix="0" xfId="0">
      <alignment horizontal="left" vertical="center" wrapText="1"/>
    </xf>
    <xf numFmtId="4" fontId="4" fillId="4" borderId="25" applyAlignment="1" pivotButton="0" quotePrefix="0" xfId="0">
      <alignment horizontal="center" vertical="center" wrapText="1"/>
    </xf>
    <xf numFmtId="4" fontId="4" fillId="4" borderId="26" applyAlignment="1" pivotButton="0" quotePrefix="0" xfId="0">
      <alignment horizontal="center" vertical="center" wrapText="1"/>
    </xf>
    <xf numFmtId="4" fontId="3" fillId="22" borderId="7" applyAlignment="1" pivotButton="0" quotePrefix="0" xfId="0">
      <alignment horizontal="center" vertical="center" wrapText="1"/>
    </xf>
    <xf numFmtId="4" fontId="3" fillId="22" borderId="8" applyAlignment="1" pivotButton="0" quotePrefix="0" xfId="0">
      <alignment horizontal="center" vertical="center" wrapText="1"/>
    </xf>
    <xf numFmtId="4" fontId="3" fillId="22" borderId="9" applyAlignment="1" pivotButton="0" quotePrefix="0" xfId="0">
      <alignment horizontal="center" vertical="center" wrapText="1"/>
    </xf>
    <xf numFmtId="4" fontId="2" fillId="0" borderId="15" applyAlignment="1" pivotButton="0" quotePrefix="0" xfId="0">
      <alignment horizontal="center" vertical="center"/>
    </xf>
    <xf numFmtId="4" fontId="2" fillId="0" borderId="23" applyAlignment="1" pivotButton="0" quotePrefix="0" xfId="0">
      <alignment horizontal="center" vertical="center"/>
    </xf>
    <xf numFmtId="0" fontId="32" fillId="0" borderId="15" applyAlignment="1" pivotButton="0" quotePrefix="0" xfId="0">
      <alignment horizontal="left" vertical="center" wrapText="1" indent="1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0" fontId="31" fillId="23" borderId="19" applyAlignment="1" pivotButton="0" quotePrefix="0" xfId="0">
      <alignment horizontal="center" vertical="center" textRotation="90" wrapText="1"/>
    </xf>
    <xf numFmtId="0" fontId="31" fillId="23" borderId="22" applyAlignment="1" pivotButton="0" quotePrefix="0" xfId="0">
      <alignment horizontal="center" vertical="center" textRotation="90" wrapText="1"/>
    </xf>
    <xf numFmtId="0" fontId="31" fillId="23" borderId="24" applyAlignment="1" pivotButton="0" quotePrefix="0" xfId="0">
      <alignment horizontal="center" vertical="center" textRotation="90" wrapText="1"/>
    </xf>
    <xf numFmtId="0" fontId="32" fillId="0" borderId="20" applyAlignment="1" pivotButton="0" quotePrefix="0" xfId="0">
      <alignment horizontal="left" vertical="center" wrapText="1" indent="1"/>
    </xf>
    <xf numFmtId="4" fontId="34" fillId="3" borderId="20" applyAlignment="1" applyProtection="1" pivotButton="0" quotePrefix="0" xfId="0">
      <alignment horizontal="center" vertical="center"/>
      <protection locked="0" hidden="0"/>
    </xf>
    <xf numFmtId="4" fontId="23" fillId="3" borderId="20" applyAlignment="1" applyProtection="1" pivotButton="0" quotePrefix="0" xfId="0">
      <alignment horizontal="center" vertical="center"/>
      <protection locked="0" hidden="0"/>
    </xf>
    <xf numFmtId="4" fontId="33" fillId="0" borderId="20" applyAlignment="1" pivotButton="0" quotePrefix="0" xfId="0">
      <alignment horizontal="center" vertical="center"/>
    </xf>
    <xf numFmtId="4" fontId="33" fillId="0" borderId="21" applyAlignment="1" pivotButton="0" quotePrefix="0" xfId="0">
      <alignment horizontal="center" vertical="center"/>
    </xf>
    <xf numFmtId="10" fontId="4" fillId="4" borderId="11" applyAlignment="1" pivotButton="0" quotePrefix="0" xfId="0">
      <alignment horizontal="center" vertical="center"/>
    </xf>
    <xf numFmtId="10" fontId="4" fillId="4" borderId="41" applyAlignment="1" pivotButton="0" quotePrefix="0" xfId="0">
      <alignment horizontal="center" vertical="center"/>
    </xf>
    <xf numFmtId="0" fontId="32" fillId="8" borderId="25" applyAlignment="1" pivotButton="0" quotePrefix="0" xfId="0">
      <alignment horizontal="left" vertical="center" wrapText="1" indent="1"/>
    </xf>
    <xf numFmtId="0" fontId="32" fillId="8" borderId="18" applyAlignment="1" pivotButton="0" quotePrefix="0" xfId="0">
      <alignment horizontal="left" vertical="center" wrapText="1" indent="1"/>
    </xf>
    <xf numFmtId="4" fontId="32" fillId="8" borderId="18" applyAlignment="1" pivotButton="0" quotePrefix="0" xfId="0">
      <alignment horizontal="center" vertical="center"/>
    </xf>
    <xf numFmtId="4" fontId="32" fillId="8" borderId="18" applyAlignment="1" pivotButton="0" quotePrefix="0" xfId="0">
      <alignment horizontal="center" vertical="center" wrapText="1"/>
    </xf>
    <xf numFmtId="4" fontId="33" fillId="8" borderId="18" applyAlignment="1" pivotButton="0" quotePrefix="0" xfId="0">
      <alignment horizontal="center" vertical="center"/>
    </xf>
    <xf numFmtId="4" fontId="33" fillId="8" borderId="40" applyAlignment="1" pivotButton="0" quotePrefix="0" xfId="0">
      <alignment horizontal="center" vertical="center"/>
    </xf>
    <xf numFmtId="0" fontId="36" fillId="26" borderId="65" applyAlignment="1" pivotButton="0" quotePrefix="0" xfId="0">
      <alignment horizontal="center" vertical="center" wrapText="1"/>
    </xf>
    <xf numFmtId="0" fontId="36" fillId="26" borderId="5" applyAlignment="1" pivotButton="0" quotePrefix="0" xfId="0">
      <alignment horizontal="center" vertical="center" wrapText="1"/>
    </xf>
    <xf numFmtId="0" fontId="36" fillId="26" borderId="32" applyAlignment="1" pivotButton="0" quotePrefix="0" xfId="0">
      <alignment horizontal="center" vertical="center" wrapText="1"/>
    </xf>
    <xf numFmtId="0" fontId="32" fillId="4" borderId="4" applyAlignment="1" pivotButton="0" quotePrefix="0" xfId="0">
      <alignment horizontal="center" vertical="center" wrapText="1"/>
    </xf>
    <xf numFmtId="0" fontId="32" fillId="4" borderId="5" applyAlignment="1" pivotButton="0" quotePrefix="0" xfId="0">
      <alignment horizontal="center" vertical="center" wrapText="1"/>
    </xf>
    <xf numFmtId="0" fontId="32" fillId="4" borderId="32" applyAlignment="1" pivotButton="0" quotePrefix="0" xfId="0">
      <alignment horizontal="center" vertical="center" wrapText="1"/>
    </xf>
    <xf numFmtId="0" fontId="32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/>
    </xf>
    <xf numFmtId="0" fontId="33" fillId="4" borderId="21" applyAlignment="1" pivotButton="0" quotePrefix="0" xfId="0">
      <alignment horizontal="center" vertical="center"/>
    </xf>
    <xf numFmtId="0" fontId="44" fillId="26" borderId="14" applyAlignment="1" pivotButton="0" quotePrefix="0" xfId="0">
      <alignment horizontal="center" vertical="center" wrapText="1"/>
    </xf>
    <xf numFmtId="0" fontId="44" fillId="26" borderId="0" applyAlignment="1" pivotButton="0" quotePrefix="0" xfId="0">
      <alignment horizontal="center" vertical="center" wrapText="1"/>
    </xf>
    <xf numFmtId="0" fontId="44" fillId="26" borderId="43" applyAlignment="1" pivotButton="0" quotePrefix="0" xfId="0">
      <alignment horizontal="center" vertical="center" wrapText="1"/>
    </xf>
    <xf numFmtId="0" fontId="44" fillId="26" borderId="58" applyAlignment="1" pivotButton="0" quotePrefix="0" xfId="0">
      <alignment horizontal="center" vertical="center" wrapText="1"/>
    </xf>
    <xf numFmtId="0" fontId="44" fillId="26" borderId="59" applyAlignment="1" pivotButton="0" quotePrefix="0" xfId="0">
      <alignment horizontal="center" vertical="center" wrapText="1"/>
    </xf>
    <xf numFmtId="0" fontId="44" fillId="26" borderId="64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indent="1"/>
    </xf>
    <xf numFmtId="0" fontId="23" fillId="0" borderId="25" applyAlignment="1" pivotButton="0" quotePrefix="0" xfId="0">
      <alignment horizontal="left" vertical="center" indent="1"/>
    </xf>
    <xf numFmtId="4" fontId="34" fillId="11" borderId="25" applyAlignment="1" pivotButton="0" quotePrefix="0" xfId="0">
      <alignment horizontal="center" vertical="center"/>
    </xf>
    <xf numFmtId="4" fontId="33" fillId="11" borderId="25" applyAlignment="1" pivotButton="0" quotePrefix="0" xfId="0">
      <alignment horizontal="center" vertical="center"/>
    </xf>
    <xf numFmtId="4" fontId="33" fillId="11" borderId="26" applyAlignment="1" pivotButton="0" quotePrefix="0" xfId="0">
      <alignment horizontal="center" vertical="center"/>
    </xf>
    <xf numFmtId="0" fontId="43" fillId="27" borderId="7" applyAlignment="1" pivotButton="0" quotePrefix="0" xfId="0">
      <alignment horizontal="left" vertical="center"/>
    </xf>
    <xf numFmtId="0" fontId="43" fillId="27" borderId="8" applyAlignment="1" pivotButton="0" quotePrefix="0" xfId="0">
      <alignment horizontal="left" vertical="center"/>
    </xf>
    <xf numFmtId="0" fontId="43" fillId="27" borderId="16" applyAlignment="1" pivotButton="0" quotePrefix="0" xfId="0">
      <alignment horizontal="left" vertical="center"/>
    </xf>
    <xf numFmtId="0" fontId="43" fillId="27" borderId="48" applyAlignment="1" pivotButton="0" quotePrefix="0" xfId="0">
      <alignment horizontal="left" vertical="center"/>
    </xf>
    <xf numFmtId="0" fontId="43" fillId="27" borderId="57" applyAlignment="1" pivotButton="0" quotePrefix="0" xfId="0">
      <alignment horizontal="left" vertical="center"/>
    </xf>
    <xf numFmtId="0" fontId="43" fillId="27" borderId="63" applyAlignment="1" pivotButton="0" quotePrefix="0" xfId="0">
      <alignment horizontal="left" vertical="center"/>
    </xf>
    <xf numFmtId="0" fontId="33" fillId="26" borderId="15" applyAlignment="1" pivotButton="0" quotePrefix="0" xfId="0">
      <alignment horizontal="center" vertical="center" wrapText="1"/>
    </xf>
    <xf numFmtId="0" fontId="44" fillId="26" borderId="15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wrapText="1"/>
    </xf>
    <xf numFmtId="4" fontId="52" fillId="0" borderId="15" applyAlignment="1" pivotButton="0" quotePrefix="0" xfId="0">
      <alignment horizontal="center" vertical="center" wrapText="1"/>
    </xf>
    <xf numFmtId="0" fontId="52" fillId="0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left" vertical="center" wrapText="1"/>
    </xf>
    <xf numFmtId="4" fontId="53" fillId="0" borderId="15" applyAlignment="1" pivotButton="0" quotePrefix="0" xfId="0">
      <alignment horizontal="center" vertical="center" wrapText="1"/>
    </xf>
    <xf numFmtId="0" fontId="53" fillId="0" borderId="15" applyAlignment="1" pivotButton="0" quotePrefix="0" xfId="0">
      <alignment horizontal="center" vertical="center" wrapText="1"/>
    </xf>
    <xf numFmtId="0" fontId="9" fillId="0" borderId="0" applyAlignment="1" pivotButton="0" quotePrefix="0" xfId="0">
      <alignment horizontal="center" vertical="center"/>
    </xf>
    <xf numFmtId="0" fontId="32" fillId="26" borderId="15" applyAlignment="1" pivotButton="0" quotePrefix="0" xfId="0">
      <alignment horizontal="center" vertical="center" wrapText="1"/>
    </xf>
    <xf numFmtId="0" fontId="33" fillId="26" borderId="15" applyAlignment="1" pivotButton="0" quotePrefix="0" xfId="0">
      <alignment horizontal="center" vertical="center"/>
    </xf>
    <xf numFmtId="0" fontId="32" fillId="11" borderId="7" applyAlignment="1" pivotButton="0" quotePrefix="0" xfId="0">
      <alignment horizontal="left" vertical="center" wrapText="1" indent="1"/>
    </xf>
    <xf numFmtId="0" fontId="32" fillId="11" borderId="8" applyAlignment="1" pivotButton="0" quotePrefix="0" xfId="0">
      <alignment horizontal="left" vertical="center" wrapText="1" indent="1"/>
    </xf>
    <xf numFmtId="0" fontId="32" fillId="11" borderId="16" applyAlignment="1" pivotButton="0" quotePrefix="0" xfId="0">
      <alignment horizontal="left" vertical="center" wrapText="1" indent="1"/>
    </xf>
    <xf numFmtId="4" fontId="54" fillId="11" borderId="15" applyAlignment="1" pivotButton="0" quotePrefix="0" xfId="0">
      <alignment horizontal="center" vertical="center"/>
    </xf>
    <xf numFmtId="4" fontId="55" fillId="0" borderId="15" applyAlignment="1" pivotButton="0" quotePrefix="0" xfId="0">
      <alignment horizontal="center" vertical="center"/>
    </xf>
    <xf numFmtId="0" fontId="34" fillId="0" borderId="7" applyAlignment="1" pivotButton="0" quotePrefix="0" xfId="0">
      <alignment horizontal="left" vertical="center" indent="3"/>
    </xf>
    <xf numFmtId="0" fontId="34" fillId="0" borderId="8" applyAlignment="1" pivotButton="0" quotePrefix="0" xfId="0">
      <alignment horizontal="left" vertical="center" indent="3"/>
    </xf>
    <xf numFmtId="0" fontId="34" fillId="0" borderId="16" applyAlignment="1" pivotButton="0" quotePrefix="0" xfId="0">
      <alignment horizontal="left" vertical="center" indent="3"/>
    </xf>
    <xf numFmtId="0" fontId="32" fillId="8" borderId="7" applyAlignment="1" pivotButton="0" quotePrefix="0" xfId="0">
      <alignment horizontal="left" vertical="center" wrapText="1" indent="1"/>
    </xf>
    <xf numFmtId="0" fontId="32" fillId="8" borderId="8" applyAlignment="1" pivotButton="0" quotePrefix="0" xfId="0">
      <alignment horizontal="left" vertical="center" wrapText="1" indent="1"/>
    </xf>
    <xf numFmtId="0" fontId="32" fillId="8" borderId="16" applyAlignment="1" pivotButton="0" quotePrefix="0" xfId="0">
      <alignment horizontal="left" vertical="center" wrapText="1" indent="1"/>
    </xf>
    <xf numFmtId="4" fontId="54" fillId="8" borderId="15" applyAlignment="1" pivotButton="0" quotePrefix="0" xfId="0">
      <alignment horizontal="center" vertical="center"/>
    </xf>
    <xf numFmtId="0" fontId="32" fillId="26" borderId="7" applyAlignment="1" pivotButton="0" quotePrefix="0" xfId="0">
      <alignment horizontal="center" vertical="center"/>
    </xf>
    <xf numFmtId="0" fontId="32" fillId="26" borderId="8" applyAlignment="1" pivotButton="0" quotePrefix="0" xfId="0">
      <alignment horizontal="center" vertical="center"/>
    </xf>
    <xf numFmtId="0" fontId="32" fillId="26" borderId="16" applyAlignment="1" pivotButton="0" quotePrefix="0" xfId="0">
      <alignment horizontal="center" vertical="center"/>
    </xf>
    <xf numFmtId="0" fontId="32" fillId="0" borderId="7" applyAlignment="1" pivotButton="0" quotePrefix="0" xfId="0">
      <alignment horizontal="left" vertical="center" wrapText="1" indent="1"/>
    </xf>
    <xf numFmtId="0" fontId="32" fillId="0" borderId="8" applyAlignment="1" pivotButton="0" quotePrefix="0" xfId="0">
      <alignment horizontal="left" vertical="center" wrapText="1" indent="1"/>
    </xf>
    <xf numFmtId="0" fontId="32" fillId="0" borderId="16" applyAlignment="1" pivotButton="0" quotePrefix="0" xfId="0">
      <alignment horizontal="left" vertical="center" wrapText="1" indent="1"/>
    </xf>
    <xf numFmtId="4" fontId="55" fillId="24" borderId="15" applyAlignment="1" pivotButton="0" quotePrefix="0" xfId="0">
      <alignment horizontal="center" vertical="center"/>
    </xf>
    <xf numFmtId="0" fontId="36" fillId="0" borderId="0" applyAlignment="1" pivotButton="0" quotePrefix="0" xfId="0">
      <alignment horizontal="center" vertical="center" wrapText="1"/>
    </xf>
    <xf numFmtId="4" fontId="55" fillId="8" borderId="15" applyAlignment="1" pivotButton="0" quotePrefix="0" xfId="0">
      <alignment horizontal="center" vertical="center"/>
    </xf>
    <xf numFmtId="4" fontId="55" fillId="8" borderId="15" applyAlignment="1" pivotButton="0" quotePrefix="0" xfId="0">
      <alignment horizontal="center" vertical="center" wrapText="1"/>
    </xf>
    <xf numFmtId="4" fontId="24" fillId="8" borderId="15" applyAlignment="1" pivotButton="0" quotePrefix="0" xfId="0">
      <alignment horizontal="center" vertical="center"/>
    </xf>
    <xf numFmtId="0" fontId="45" fillId="25" borderId="15" applyAlignment="1" pivotButton="0" quotePrefix="0" xfId="0">
      <alignment horizontal="left" vertical="center"/>
    </xf>
    <xf numFmtId="4" fontId="27" fillId="0" borderId="66" applyAlignment="1" pivotButton="0" quotePrefix="0" xfId="2">
      <alignment horizontal="center" vertical="center" wrapText="1"/>
    </xf>
    <xf numFmtId="0" fontId="24" fillId="5" borderId="15" applyAlignment="1" pivotButton="0" quotePrefix="0" xfId="0">
      <alignment horizontal="left" vertical="center"/>
    </xf>
    <xf numFmtId="10" fontId="56" fillId="0" borderId="15" applyAlignment="1" pivotButton="0" quotePrefix="0" xfId="2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56" fillId="0" borderId="15" applyAlignment="1" pivotButton="0" quotePrefix="0" xfId="0">
      <alignment horizontal="center" vertical="center" wrapText="1"/>
    </xf>
    <xf numFmtId="0" fontId="56" fillId="11" borderId="15" applyAlignment="1" pivotButton="0" quotePrefix="0" xfId="0">
      <alignment horizontal="center" vertical="center" wrapText="1"/>
    </xf>
    <xf numFmtId="0" fontId="56" fillId="0" borderId="15" applyAlignment="1" pivotButton="0" quotePrefix="1" xfId="0">
      <alignment horizontal="center" vertical="center" wrapText="1"/>
    </xf>
    <xf numFmtId="0" fontId="24" fillId="11" borderId="15" applyAlignment="1" pivotButton="0" quotePrefix="0" xfId="0">
      <alignment horizontal="left" vertical="center" wrapText="1"/>
    </xf>
    <xf numFmtId="0" fontId="24" fillId="26" borderId="7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4" fillId="26" borderId="15" applyAlignment="1" pivotButton="0" quotePrefix="0" xfId="0">
      <alignment horizontal="center" vertical="center" wrapText="1"/>
    </xf>
    <xf numFmtId="0" fontId="25" fillId="26" borderId="7" applyAlignment="1" pivotButton="0" quotePrefix="0" xfId="0">
      <alignment horizontal="center" vertical="center" wrapText="1"/>
    </xf>
    <xf numFmtId="0" fontId="25" fillId="26" borderId="8" applyAlignment="1" pivotButton="0" quotePrefix="0" xfId="0">
      <alignment horizontal="center" vertical="center" wrapText="1"/>
    </xf>
    <xf numFmtId="0" fontId="25" fillId="26" borderId="16" applyAlignment="1" pivotButton="0" quotePrefix="0" xfId="0">
      <alignment horizontal="center" vertical="center" wrapText="1"/>
    </xf>
    <xf numFmtId="0" fontId="46" fillId="25" borderId="7" applyAlignment="1" pivotButton="0" quotePrefix="0" xfId="0">
      <alignment horizontal="left" vertical="center" wrapText="1"/>
    </xf>
    <xf numFmtId="0" fontId="46" fillId="25" borderId="8" applyAlignment="1" pivotButton="0" quotePrefix="0" xfId="0">
      <alignment horizontal="left" vertical="center" wrapText="1"/>
    </xf>
    <xf numFmtId="0" fontId="46" fillId="25" borderId="16" applyAlignment="1" pivotButton="0" quotePrefix="0" xfId="0">
      <alignment horizontal="left" vertical="center" wrapText="1"/>
    </xf>
    <xf numFmtId="4" fontId="48" fillId="5" borderId="15" applyAlignment="1" pivotButton="0" quotePrefix="0" xfId="0">
      <alignment horizontal="center" vertical="center" wrapText="1"/>
    </xf>
    <xf numFmtId="4" fontId="56" fillId="8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4" fontId="56" fillId="11" borderId="15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0" fillId="11" borderId="15" applyAlignment="1" pivotButton="0" quotePrefix="0" xfId="0">
      <alignment horizontal="left" vertical="center" wrapText="1"/>
    </xf>
    <xf numFmtId="0" fontId="2" fillId="26" borderId="7" applyAlignment="1" pivotButton="0" quotePrefix="0" xfId="0">
      <alignment horizontal="center" vertical="center" wrapText="1"/>
    </xf>
    <xf numFmtId="0" fontId="2" fillId="26" borderId="8" applyAlignment="1" pivotButton="0" quotePrefix="0" xfId="0">
      <alignment horizontal="center" vertical="center" wrapText="1"/>
    </xf>
    <xf numFmtId="0" fontId="2" fillId="26" borderId="16" applyAlignment="1" pivotButton="0" quotePrefix="0" xfId="0">
      <alignment horizontal="center" vertical="center" wrapText="1"/>
    </xf>
    <xf numFmtId="0" fontId="0" fillId="8" borderId="7" applyAlignment="1" pivotButton="0" quotePrefix="0" xfId="0">
      <alignment horizontal="left" vertical="center" wrapText="1"/>
    </xf>
    <xf numFmtId="0" fontId="0" fillId="8" borderId="8" applyAlignment="1" pivotButton="0" quotePrefix="0" xfId="0">
      <alignment horizontal="left" vertical="center" wrapText="1"/>
    </xf>
    <xf numFmtId="0" fontId="0" fillId="8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24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" fillId="5" borderId="15" applyAlignment="1" pivotButton="0" quotePrefix="0" xfId="0">
      <alignment horizontal="left" vertical="center" wrapText="1"/>
    </xf>
    <xf numFmtId="0" fontId="25" fillId="0" borderId="7" applyAlignment="1" pivotButton="0" quotePrefix="0" xfId="0">
      <alignment horizontal="left" vertical="center" wrapText="1"/>
    </xf>
    <xf numFmtId="0" fontId="25" fillId="0" borderId="8" applyAlignment="1" pivotButton="0" quotePrefix="0" xfId="0">
      <alignment horizontal="left" vertical="center" wrapText="1"/>
    </xf>
    <xf numFmtId="0" fontId="25" fillId="0" borderId="16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0" fontId="24" fillId="0" borderId="7" applyAlignment="1" pivotButton="0" quotePrefix="0" xfId="0">
      <alignment horizontal="left" vertical="center" wrapText="1"/>
    </xf>
    <xf numFmtId="0" fontId="24" fillId="0" borderId="8" applyAlignment="1" pivotButton="0" quotePrefix="0" xfId="0">
      <alignment horizontal="left" vertical="center" wrapText="1"/>
    </xf>
    <xf numFmtId="0" fontId="24" fillId="0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0" borderId="15" applyAlignment="1" pivotButton="0" quotePrefix="0" xfId="2">
      <alignment horizontal="center" vertical="center" wrapText="1"/>
    </xf>
    <xf numFmtId="0" fontId="2" fillId="8" borderId="15" applyAlignment="1" pivotButton="0" quotePrefix="0" xfId="0">
      <alignment horizontal="left" indent="1"/>
    </xf>
    <xf numFmtId="0" fontId="56" fillId="8" borderId="15" applyAlignment="1" pivotButton="0" quotePrefix="0" xfId="0">
      <alignment horizontal="center"/>
    </xf>
    <xf numFmtId="4" fontId="48" fillId="8" borderId="15" applyAlignment="1" pivotButton="0" quotePrefix="0" xfId="0">
      <alignment horizontal="center"/>
    </xf>
    <xf numFmtId="0" fontId="46" fillId="25" borderId="7" applyAlignment="1" pivotButton="0" quotePrefix="0" xfId="0">
      <alignment horizontal="left" vertical="center"/>
    </xf>
    <xf numFmtId="0" fontId="46" fillId="25" borderId="8" applyAlignment="1" pivotButton="0" quotePrefix="0" xfId="0">
      <alignment horizontal="left" vertical="center"/>
    </xf>
    <xf numFmtId="0" fontId="46" fillId="25" borderId="16" applyAlignment="1" pivotButton="0" quotePrefix="0" xfId="0">
      <alignment horizontal="left" vertical="center"/>
    </xf>
    <xf numFmtId="0" fontId="0" fillId="0" borderId="15" applyAlignment="1" pivotButton="0" quotePrefix="0" xfId="0">
      <alignment horizontal="left" vertical="center" wrapText="1"/>
    </xf>
    <xf numFmtId="4" fontId="56" fillId="24" borderId="15" applyAlignment="1" pivotButton="0" quotePrefix="0" xfId="0">
      <alignment horizontal="center" vertical="center" wrapText="1"/>
    </xf>
    <xf numFmtId="0" fontId="2" fillId="11" borderId="15" applyAlignment="1" pivotButton="0" quotePrefix="0" xfId="0">
      <alignment horizontal="left" vertical="center" wrapText="1"/>
    </xf>
    <xf numFmtId="0" fontId="56" fillId="24" borderId="15" applyAlignment="1" pivotButton="0" quotePrefix="0" xfId="0">
      <alignment horizontal="center" vertical="center" wrapText="1"/>
    </xf>
    <xf numFmtId="0" fontId="0" fillId="0" borderId="15" applyAlignment="1" pivotButton="0" quotePrefix="0" xfId="0">
      <alignment horizontal="left" vertical="center" wrapText="1"/>
    </xf>
    <xf numFmtId="0" fontId="0" fillId="26" borderId="15" applyAlignment="1" pivotButton="0" quotePrefix="0" xfId="0">
      <alignment horizontal="center" vertical="center" wrapText="1"/>
    </xf>
    <xf numFmtId="0" fontId="46" fillId="25" borderId="15" applyAlignment="1" pivotButton="0" quotePrefix="0" xfId="0">
      <alignment horizontal="left" vertical="center"/>
    </xf>
    <xf numFmtId="0" fontId="45" fillId="25" borderId="7" applyAlignment="1" pivotButton="0" quotePrefix="0" xfId="0">
      <alignment horizontal="left" vertical="center"/>
    </xf>
    <xf numFmtId="0" fontId="45" fillId="25" borderId="8" applyAlignment="1" pivotButton="0" quotePrefix="0" xfId="0">
      <alignment horizontal="left" vertical="center"/>
    </xf>
    <xf numFmtId="0" fontId="45" fillId="25" borderId="16" applyAlignment="1" pivotButton="0" quotePrefix="0" xfId="0">
      <alignment horizontal="left" vertical="center"/>
    </xf>
    <xf numFmtId="0" fontId="25" fillId="0" borderId="7" applyAlignment="1" pivotButton="0" quotePrefix="0" xfId="0">
      <alignment horizontal="left" vertical="center" wrapText="1" indent="2"/>
    </xf>
    <xf numFmtId="0" fontId="25" fillId="0" borderId="8" applyAlignment="1" pivotButton="0" quotePrefix="0" xfId="0">
      <alignment horizontal="left" vertical="center" wrapText="1" indent="2"/>
    </xf>
    <xf numFmtId="0" fontId="25" fillId="0" borderId="16" applyAlignment="1" pivotButton="0" quotePrefix="0" xfId="0">
      <alignment horizontal="left" vertical="center" wrapText="1" indent="2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4" fontId="48" fillId="11" borderId="7" applyAlignment="1" pivotButton="0" quotePrefix="0" xfId="0">
      <alignment horizontal="center" vertical="center"/>
    </xf>
    <xf numFmtId="4" fontId="48" fillId="11" borderId="16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 wrapText="1"/>
    </xf>
    <xf numFmtId="4" fontId="48" fillId="8" borderId="7" applyAlignment="1" pivotButton="0" quotePrefix="0" xfId="0">
      <alignment horizontal="center" vertical="center"/>
    </xf>
    <xf numFmtId="4" fontId="48" fillId="8" borderId="16" applyAlignment="1" pivotButton="0" quotePrefix="0" xfId="0">
      <alignment horizontal="center" vertical="center"/>
    </xf>
    <xf numFmtId="0" fontId="0" fillId="0" borderId="7" applyAlignment="1" pivotButton="0" quotePrefix="0" xfId="0">
      <alignment horizontal="left" vertical="center" wrapText="1" indent="1"/>
    </xf>
    <xf numFmtId="0" fontId="0" fillId="0" borderId="8" applyAlignment="1" pivotButton="0" quotePrefix="0" xfId="0">
      <alignment horizontal="left" vertical="center" wrapText="1" indent="1"/>
    </xf>
    <xf numFmtId="0" fontId="0" fillId="0" borderId="16" applyAlignment="1" pivotButton="0" quotePrefix="0" xfId="0">
      <alignment horizontal="left" vertical="center" wrapText="1" indent="1"/>
    </xf>
    <xf numFmtId="10" fontId="48" fillId="28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 wrapText="1"/>
    </xf>
    <xf numFmtId="0" fontId="24" fillId="11" borderId="7" applyAlignment="1" pivotButton="0" quotePrefix="0" xfId="0">
      <alignment horizontal="left" vertical="center" wrapText="1"/>
    </xf>
    <xf numFmtId="0" fontId="24" fillId="11" borderId="8" applyAlignment="1" pivotButton="0" quotePrefix="0" xfId="0">
      <alignment horizontal="left" vertical="center" wrapText="1"/>
    </xf>
    <xf numFmtId="0" fontId="24" fillId="11" borderId="16" applyAlignment="1" pivotButton="0" quotePrefix="0" xfId="0">
      <alignment horizontal="left" vertical="center" wrapText="1"/>
    </xf>
    <xf numFmtId="4" fontId="48" fillId="11" borderId="15" applyAlignment="1" pivotButton="0" quotePrefix="0" xfId="0">
      <alignment horizontal="center" vertical="center" wrapText="1"/>
    </xf>
    <xf numFmtId="0" fontId="24" fillId="8" borderId="7" applyAlignment="1" pivotButton="0" quotePrefix="0" xfId="0">
      <alignment horizontal="left" vertical="center" wrapText="1" indent="1"/>
    </xf>
    <xf numFmtId="0" fontId="24" fillId="8" borderId="8" applyAlignment="1" pivotButton="0" quotePrefix="0" xfId="0">
      <alignment horizontal="left" vertical="center" wrapText="1" indent="1"/>
    </xf>
    <xf numFmtId="0" fontId="24" fillId="8" borderId="16" applyAlignment="1" pivotButton="0" quotePrefix="0" xfId="0">
      <alignment horizontal="left" vertical="center" wrapText="1" indent="1"/>
    </xf>
    <xf numFmtId="0" fontId="24" fillId="26" borderId="7" applyAlignment="1" pivotButton="0" quotePrefix="0" xfId="0">
      <alignment horizontal="center" vertical="center" wrapText="1"/>
    </xf>
    <xf numFmtId="0" fontId="24" fillId="26" borderId="8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0" fontId="24" fillId="26" borderId="15" applyAlignment="1" pivotButton="0" quotePrefix="0" xfId="0">
      <alignment horizontal="center" vertical="center" wrapTex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0" fontId="2" fillId="11" borderId="15" applyAlignment="1" pivotButton="0" quotePrefix="0" xfId="0">
      <alignment horizontal="left" vertical="center" wrapText="1"/>
    </xf>
    <xf numFmtId="4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10" fontId="56" fillId="0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/>
    </xf>
    <xf numFmtId="0" fontId="56" fillId="0" borderId="15" applyAlignment="1" pivotButton="0" quotePrefix="0" xfId="0">
      <alignment horizontal="center" vertical="center"/>
    </xf>
    <xf numFmtId="0" fontId="2" fillId="8" borderId="7" applyAlignment="1" pivotButton="0" quotePrefix="0" xfId="0">
      <alignment horizontal="left" vertical="center"/>
    </xf>
    <xf numFmtId="0" fontId="2" fillId="8" borderId="8" applyAlignment="1" pivotButton="0" quotePrefix="0" xfId="0">
      <alignment horizontal="left" vertical="center"/>
    </xf>
    <xf numFmtId="0" fontId="2" fillId="8" borderId="16" applyAlignment="1" pivotButton="0" quotePrefix="0" xfId="0">
      <alignment horizontal="left" vertical="center"/>
    </xf>
    <xf numFmtId="4" fontId="48" fillId="20" borderId="7" applyAlignment="1" pivotButton="0" quotePrefix="0" xfId="0">
      <alignment horizontal="center" vertical="center"/>
    </xf>
    <xf numFmtId="4" fontId="48" fillId="20" borderId="16" applyAlignment="1" pivotButton="0" quotePrefix="0" xfId="0">
      <alignment horizontal="center" vertical="center"/>
    </xf>
    <xf numFmtId="0" fontId="48" fillId="20" borderId="7" applyAlignment="1" pivotButton="0" quotePrefix="0" xfId="0">
      <alignment horizontal="center" vertical="center"/>
    </xf>
    <xf numFmtId="0" fontId="48" fillId="20" borderId="16" applyAlignment="1" pivotButton="0" quotePrefix="0" xfId="0">
      <alignment horizontal="center" vertical="center"/>
    </xf>
    <xf numFmtId="4" fontId="48" fillId="8" borderId="8" applyAlignment="1" pivotButton="0" quotePrefix="0" xfId="0">
      <alignment horizontal="center" vertical="center"/>
    </xf>
    <xf numFmtId="9" fontId="48" fillId="8" borderId="7" applyAlignment="1" pivotButton="0" quotePrefix="0" xfId="0">
      <alignment horizontal="center" vertical="center"/>
    </xf>
    <xf numFmtId="9" fontId="48" fillId="8" borderId="16" applyAlignment="1" pivotButton="0" quotePrefix="0" xfId="0">
      <alignment horizontal="center" vertical="center"/>
    </xf>
    <xf numFmtId="10" fontId="48" fillId="8" borderId="7" applyAlignment="1" pivotButton="0" quotePrefix="0" xfId="0">
      <alignment horizontal="center" vertical="center"/>
    </xf>
    <xf numFmtId="10" fontId="48" fillId="8" borderId="16" applyAlignment="1" pivotButton="0" quotePrefix="0" xfId="0">
      <alignment horizontal="center" vertical="center"/>
    </xf>
    <xf numFmtId="0" fontId="2" fillId="26" borderId="7" applyAlignment="1" pivotButton="0" quotePrefix="0" xfId="0">
      <alignment horizontal="center" vertical="center"/>
    </xf>
    <xf numFmtId="0" fontId="2" fillId="26" borderId="8" applyAlignment="1" pivotButton="0" quotePrefix="0" xfId="0">
      <alignment horizontal="center" vertical="center"/>
    </xf>
    <xf numFmtId="0" fontId="2" fillId="26" borderId="16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0" borderId="15" applyAlignment="1" pivotButton="0" quotePrefix="0" xfId="0">
      <alignment horizontal="center" vertical="center"/>
    </xf>
    <xf numFmtId="0" fontId="48" fillId="0" borderId="15" applyAlignment="1" pivotButton="0" quotePrefix="0" xfId="0">
      <alignment horizontal="center" vertical="center"/>
    </xf>
    <xf numFmtId="9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21" borderId="15" applyAlignment="1" pivotButton="0" quotePrefix="0" xfId="0">
      <alignment horizontal="center" vertical="center"/>
    </xf>
    <xf numFmtId="0" fontId="48" fillId="21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/>
    </xf>
    <xf numFmtId="9" fontId="48" fillId="21" borderId="15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/>
    </xf>
    <xf numFmtId="4" fontId="48" fillId="20" borderId="15" applyAlignment="1" pivotButton="0" quotePrefix="0" xfId="0">
      <alignment horizontal="center" vertical="center"/>
    </xf>
    <xf numFmtId="0" fontId="48" fillId="20" borderId="15" applyAlignment="1" pivotButton="0" quotePrefix="0" xfId="0">
      <alignment horizontal="center" vertical="center"/>
    </xf>
    <xf numFmtId="4" fontId="48" fillId="8" borderId="15" applyAlignment="1" pivotButton="0" quotePrefix="0" xfId="0">
      <alignment horizontal="center" vertical="center"/>
    </xf>
    <xf numFmtId="9" fontId="48" fillId="8" borderId="15" applyAlignment="1" pivotButton="0" quotePrefix="0" xfId="0">
      <alignment horizontal="center" vertical="center"/>
    </xf>
    <xf numFmtId="10" fontId="48" fillId="8" borderId="15" applyAlignment="1" pivotButton="0" quotePrefix="0" xfId="0">
      <alignment horizontal="center" vertical="center"/>
    </xf>
    <xf numFmtId="9" fontId="48" fillId="28" borderId="15" applyAlignment="1" pivotButton="0" quotePrefix="0" xfId="0">
      <alignment horizontal="center" vertical="center"/>
    </xf>
    <xf numFmtId="0" fontId="2" fillId="28" borderId="15" applyAlignment="1" pivotButton="0" quotePrefix="0" xfId="0">
      <alignment horizontal="left" vertical="center" wrapText="1"/>
    </xf>
    <xf numFmtId="0" fontId="2" fillId="28" borderId="15" applyAlignment="1" pivotButton="0" quotePrefix="0" xfId="0">
      <alignment horizontal="left" vertical="center"/>
    </xf>
    <xf numFmtId="4" fontId="48" fillId="28" borderId="15" applyAlignment="1" pivotButton="0" quotePrefix="0" xfId="0">
      <alignment horizontal="center" vertical="center"/>
    </xf>
    <xf numFmtId="0" fontId="48" fillId="28" borderId="15" applyAlignment="1" pivotButton="0" quotePrefix="0" xfId="0">
      <alignment horizontal="center" vertical="center"/>
    </xf>
    <xf numFmtId="0" fontId="47" fillId="0" borderId="46" applyAlignment="1" pivotButton="0" quotePrefix="0" xfId="0">
      <alignment horizontal="center" vertical="top"/>
    </xf>
    <xf numFmtId="0" fontId="47" fillId="0" borderId="0" applyAlignment="1" pivotButton="0" quotePrefix="0" xfId="0">
      <alignment horizontal="center" vertical="top"/>
    </xf>
    <xf numFmtId="0" fontId="47" fillId="0" borderId="43" applyAlignment="1" pivotButton="0" quotePrefix="0" xfId="0">
      <alignment horizontal="center" vertical="top"/>
    </xf>
    <xf numFmtId="0" fontId="0" fillId="0" borderId="46" applyAlignment="1" pivotButton="0" quotePrefix="0" xfId="0">
      <alignment horizontal="left" vertical="center" indent="1"/>
    </xf>
    <xf numFmtId="0" fontId="0" fillId="0" borderId="0" applyAlignment="1" pivotButton="0" quotePrefix="0" xfId="0">
      <alignment horizontal="left" vertical="center" indent="1"/>
    </xf>
    <xf numFmtId="4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43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0" fillId="0" borderId="61" applyAlignment="1" pivotButton="0" quotePrefix="0" xfId="0">
      <alignment horizontal="center" vertical="center"/>
    </xf>
    <xf numFmtId="0" fontId="0" fillId="0" borderId="62" applyAlignment="1" pivotButton="0" quotePrefix="0" xfId="0">
      <alignment horizontal="center" vertical="center"/>
    </xf>
    <xf numFmtId="0" fontId="24" fillId="5" borderId="15" applyAlignment="1" pivotButton="0" quotePrefix="0" xfId="0">
      <alignment horizontal="left" vertical="center" wrapText="1"/>
    </xf>
    <xf numFmtId="4" fontId="56" fillId="0" borderId="7" applyAlignment="1" pivotButton="0" quotePrefix="0" xfId="0">
      <alignment horizontal="center" vertical="center" wrapText="1"/>
    </xf>
    <xf numFmtId="4" fontId="56" fillId="0" borderId="16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11" fillId="0" borderId="0" applyAlignment="1" applyProtection="1" pivotButton="0" quotePrefix="0" xfId="0">
      <alignment horizontal="center" vertical="center"/>
      <protection locked="0" hidden="0"/>
    </xf>
    <xf numFmtId="0" fontId="12" fillId="0" borderId="0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 vertical="center" wrapText="1"/>
    </xf>
    <xf numFmtId="4" fontId="25" fillId="24" borderId="44" applyAlignment="1" pivotButton="0" quotePrefix="0" xfId="0">
      <alignment horizontal="center" vertical="center" wrapText="1"/>
    </xf>
    <xf numFmtId="4" fontId="25" fillId="24" borderId="62" applyAlignment="1" pivotButton="0" quotePrefix="0" xfId="0">
      <alignment horizontal="center" vertical="center" wrapText="1"/>
    </xf>
    <xf numFmtId="4" fontId="25" fillId="24" borderId="46" applyAlignment="1" pivotButton="0" quotePrefix="0" xfId="0">
      <alignment horizontal="center" vertical="center" wrapText="1"/>
    </xf>
    <xf numFmtId="4" fontId="25" fillId="24" borderId="43" applyAlignment="1" pivotButton="0" quotePrefix="0" xfId="0">
      <alignment horizontal="center" vertical="center" wrapText="1"/>
    </xf>
    <xf numFmtId="4" fontId="25" fillId="24" borderId="48" applyAlignment="1" pivotButton="0" quotePrefix="0" xfId="0">
      <alignment horizontal="center" vertical="center" wrapText="1"/>
    </xf>
    <xf numFmtId="4" fontId="25" fillId="24" borderId="63" applyAlignment="1" pivotButton="0" quotePrefix="0" xfId="0">
      <alignment horizontal="center" vertical="center" wrapText="1"/>
    </xf>
    <xf numFmtId="0" fontId="48" fillId="11" borderId="15" applyAlignment="1" pivotButton="0" quotePrefix="0" xfId="0">
      <alignment horizontal="left" vertical="center" wrapText="1"/>
    </xf>
    <xf numFmtId="0" fontId="33" fillId="8" borderId="1" applyAlignment="1" pivotButton="0" quotePrefix="0" xfId="0">
      <alignment horizontal="left" vertical="center" indent="1"/>
    </xf>
    <xf numFmtId="0" fontId="33" fillId="8" borderId="2" applyAlignment="1" pivotButton="0" quotePrefix="0" xfId="0">
      <alignment horizontal="left" vertical="center" indent="1"/>
    </xf>
    <xf numFmtId="0" fontId="33" fillId="8" borderId="3" applyAlignment="1" pivotButton="0" quotePrefix="0" xfId="0">
      <alignment horizontal="left" vertical="center" indent="1"/>
    </xf>
    <xf numFmtId="0" fontId="28" fillId="0" borderId="29" applyAlignment="1" pivotButton="0" quotePrefix="0" xfId="0">
      <alignment horizontal="center" vertical="center"/>
    </xf>
    <xf numFmtId="0" fontId="28" fillId="0" borderId="31" applyAlignment="1" pivotButton="0" quotePrefix="0" xfId="0">
      <alignment horizontal="center" vertical="center"/>
    </xf>
    <xf numFmtId="0" fontId="33" fillId="8" borderId="1" applyAlignment="1" pivotButton="0" quotePrefix="0" xfId="0">
      <alignment horizontal="center" vertical="center"/>
    </xf>
    <xf numFmtId="0" fontId="33" fillId="8" borderId="2" applyAlignment="1" pivotButton="0" quotePrefix="0" xfId="0">
      <alignment horizontal="center" vertical="center"/>
    </xf>
    <xf numFmtId="4" fontId="28" fillId="0" borderId="1" applyAlignment="1" pivotButton="0" quotePrefix="0" xfId="0">
      <alignment horizontal="center" vertical="center"/>
    </xf>
    <xf numFmtId="0" fontId="28" fillId="0" borderId="2" applyAlignment="1" pivotButton="0" quotePrefix="0" xfId="0">
      <alignment horizontal="center" vertical="center"/>
    </xf>
    <xf numFmtId="0" fontId="28" fillId="0" borderId="3" applyAlignment="1" pivotButton="0" quotePrefix="0" xfId="0">
      <alignment horizontal="center" vertical="center"/>
    </xf>
    <xf numFmtId="0" fontId="36" fillId="0" borderId="0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4" fontId="49" fillId="0" borderId="61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4" fillId="0" borderId="7" applyAlignment="1" pivotButton="0" quotePrefix="0" xfId="0">
      <alignment horizontal="left" wrapText="1"/>
    </xf>
    <xf numFmtId="0" fontId="24" fillId="0" borderId="8" applyAlignment="1" pivotButton="0" quotePrefix="0" xfId="0">
      <alignment horizontal="left" wrapText="1"/>
    </xf>
    <xf numFmtId="0" fontId="24" fillId="0" borderId="16" applyAlignment="1" pivotButton="0" quotePrefix="0" xfId="0">
      <alignment horizontal="left" wrapText="1"/>
    </xf>
    <xf numFmtId="0" fontId="25" fillId="24" borderId="15" applyAlignment="1" pivotButton="0" quotePrefix="0" xfId="0">
      <alignment horizontal="left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/>
    </xf>
    <xf numFmtId="0" fontId="25" fillId="0" borderId="15" applyAlignment="1" pivotButton="0" quotePrefix="0" xfId="0">
      <alignment horizontal="left"/>
    </xf>
    <xf numFmtId="4" fontId="48" fillId="0" borderId="15" applyAlignment="1" applyProtection="1" pivotButton="0" quotePrefix="0" xfId="0">
      <alignment horizontal="center" vertical="center" wrapText="1"/>
      <protection locked="0" hidden="0"/>
    </xf>
    <xf numFmtId="0" fontId="24" fillId="0" borderId="7" applyAlignment="1" pivotButton="0" quotePrefix="0" xfId="0">
      <alignment horizontal="left"/>
    </xf>
    <xf numFmtId="0" fontId="24" fillId="0" borderId="8" applyAlignment="1" pivotButton="0" quotePrefix="0" xfId="0">
      <alignment horizontal="left"/>
    </xf>
    <xf numFmtId="0" fontId="24" fillId="0" borderId="16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5" fillId="0" borderId="15" applyAlignment="1" pivotButton="0" quotePrefix="0" xfId="0">
      <alignment horizontal="left" indent="2"/>
    </xf>
    <xf numFmtId="0" fontId="24" fillId="0" borderId="15" applyAlignment="1" pivotButton="0" quotePrefix="0" xfId="0">
      <alignment horizontal="left" wrapText="1"/>
    </xf>
    <xf numFmtId="0" fontId="24" fillId="0" borderId="15" applyAlignment="1" pivotButton="0" quotePrefix="0" xfId="0">
      <alignment horizontal="left" wrapText="1"/>
    </xf>
    <xf numFmtId="0" fontId="26" fillId="0" borderId="0" applyAlignment="1" applyProtection="1" pivotButton="0" quotePrefix="0" xfId="0">
      <alignment horizontal="center" vertical="center"/>
      <protection locked="0" hidden="0"/>
    </xf>
    <xf numFmtId="0" fontId="31" fillId="0" borderId="0" applyAlignment="1" pivotButton="0" quotePrefix="0" xfId="0">
      <alignment horizontal="center" vertical="center" wrapText="1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center" vertical="center" wrapText="1"/>
    </xf>
    <xf numFmtId="0" fontId="28" fillId="26" borderId="7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58" fillId="26" borderId="70" applyAlignment="1" pivotButton="0" quotePrefix="0" xfId="1">
      <alignment horizontal="center" vertical="center"/>
    </xf>
    <xf numFmtId="0" fontId="4" fillId="3" borderId="70" applyAlignment="1" applyProtection="1" pivotButton="0" quotePrefix="0" xfId="0">
      <alignment horizontal="center" vertical="center"/>
      <protection locked="0" hidden="0"/>
    </xf>
    <xf numFmtId="0" fontId="0" fillId="0" borderId="2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0" fillId="0" borderId="8" pivotButton="0" quotePrefix="0" xfId="0"/>
    <xf numFmtId="0" fontId="0" fillId="0" borderId="16" pivotButton="0" quotePrefix="0" xfId="0"/>
    <xf numFmtId="0" fontId="24" fillId="4" borderId="7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63" pivotButton="0" quotePrefix="0" xfId="0"/>
    <xf numFmtId="0" fontId="0" fillId="0" borderId="57" applyProtection="1" pivotButton="0" quotePrefix="0" xfId="0">
      <protection locked="0" hidden="0"/>
    </xf>
    <xf numFmtId="0" fontId="0" fillId="0" borderId="63" applyProtection="1" pivotButton="0" quotePrefix="0" xfId="0">
      <protection locked="0" hidden="0"/>
    </xf>
    <xf numFmtId="0" fontId="0" fillId="0" borderId="5" pivotButton="0" quotePrefix="0" xfId="0"/>
    <xf numFmtId="0" fontId="0" fillId="0" borderId="32" pivotButton="0" quotePrefix="0" xfId="0"/>
    <xf numFmtId="0" fontId="4" fillId="0" borderId="22" applyAlignment="1" pivotButton="0" quotePrefix="0" xfId="0">
      <alignment horizontal="left" vertical="center"/>
    </xf>
    <xf numFmtId="0" fontId="0" fillId="0" borderId="8" applyProtection="1" pivotButton="0" quotePrefix="0" xfId="0">
      <protection locked="0" hidden="0"/>
    </xf>
    <xf numFmtId="0" fontId="0" fillId="0" borderId="16" applyProtection="1" pivotButton="0" quotePrefix="0" xfId="0">
      <protection locked="0" hidden="0"/>
    </xf>
    <xf numFmtId="0" fontId="0" fillId="0" borderId="71" pivotButton="0" quotePrefix="0" xfId="0"/>
    <xf numFmtId="0" fontId="4" fillId="0" borderId="24" applyAlignment="1" pivotButton="0" quotePrefix="0" xfId="0">
      <alignment horizontal="left" vertical="center"/>
    </xf>
    <xf numFmtId="0" fontId="0" fillId="0" borderId="12" pivotButton="0" quotePrefix="0" xfId="0"/>
    <xf numFmtId="0" fontId="0" fillId="0" borderId="41" pivotButton="0" quotePrefix="0" xfId="0"/>
    <xf numFmtId="0" fontId="0" fillId="0" borderId="12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" fillId="0" borderId="29" applyAlignment="1" pivotButton="0" quotePrefix="0" xfId="0">
      <alignment horizontal="center" vertical="center" wrapText="1"/>
    </xf>
    <xf numFmtId="10" fontId="3" fillId="30" borderId="31" applyAlignment="1" pivotButton="0" quotePrefix="0" xfId="0">
      <alignment horizontal="center" vertical="center"/>
    </xf>
    <xf numFmtId="0" fontId="0" fillId="0" borderId="55" pivotButton="0" quotePrefix="0" xfId="0"/>
    <xf numFmtId="0" fontId="0" fillId="0" borderId="46" pivotButton="0" quotePrefix="0" xfId="0"/>
    <xf numFmtId="0" fontId="0" fillId="0" borderId="47" pivotButton="0" quotePrefix="0" xfId="0"/>
    <xf numFmtId="0" fontId="0" fillId="0" borderId="68" pivotButton="0" quotePrefix="0" xfId="0"/>
    <xf numFmtId="0" fontId="0" fillId="0" borderId="60" pivotButton="0" quotePrefix="0" xfId="0"/>
    <xf numFmtId="10" fontId="3" fillId="3" borderId="3" applyAlignment="1" applyProtection="1" pivotButton="0" quotePrefix="0" xfId="0">
      <alignment horizontal="center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47" applyProtection="1" pivotButton="0" quotePrefix="0" xfId="0">
      <protection locked="0" hidden="0"/>
    </xf>
    <xf numFmtId="0" fontId="0" fillId="0" borderId="59" applyProtection="1" pivotButton="0" quotePrefix="0" xfId="0">
      <protection locked="0" hidden="0"/>
    </xf>
    <xf numFmtId="0" fontId="0" fillId="0" borderId="60" applyProtection="1" pivotButton="0" quotePrefix="0" xfId="0">
      <protection locked="0" hidden="0"/>
    </xf>
    <xf numFmtId="0" fontId="0" fillId="0" borderId="27" pivotButton="0" quotePrefix="0" xfId="0"/>
    <xf numFmtId="0" fontId="0" fillId="0" borderId="61" pivotButton="0" quotePrefix="0" xfId="0"/>
    <xf numFmtId="0" fontId="0" fillId="0" borderId="62" pivotButton="0" quotePrefix="0" xfId="0"/>
    <xf numFmtId="0" fontId="0" fillId="0" borderId="5" applyProtection="1" pivotButton="0" quotePrefix="0" xfId="0">
      <protection locked="0" hidden="0"/>
    </xf>
    <xf numFmtId="0" fontId="0" fillId="0" borderId="32" applyProtection="1" pivotButton="0" quotePrefix="0" xfId="0">
      <protection locked="0" hidden="0"/>
    </xf>
    <xf numFmtId="0" fontId="36" fillId="26" borderId="19" applyAlignment="1" pivotButton="0" quotePrefix="0" xfId="0">
      <alignment horizontal="center" vertical="center" wrapText="1"/>
    </xf>
    <xf numFmtId="0" fontId="44" fillId="26" borderId="69" applyAlignment="1" pivotButton="0" quotePrefix="0" xfId="0">
      <alignment horizontal="center" vertical="center" wrapText="1"/>
    </xf>
    <xf numFmtId="0" fontId="3" fillId="10" borderId="70" applyAlignment="1" pivotButton="0" quotePrefix="0" xfId="0">
      <alignment horizontal="center" vertical="center"/>
    </xf>
    <xf numFmtId="0" fontId="3" fillId="4" borderId="75" applyAlignment="1" pivotButton="0" quotePrefix="0" xfId="0">
      <alignment horizontal="center" vertical="center" wrapText="1"/>
    </xf>
    <xf numFmtId="0" fontId="4" fillId="4" borderId="30" applyAlignment="1" pivotButton="0" quotePrefix="0" xfId="0">
      <alignment horizontal="center" vertical="center" wrapText="1"/>
    </xf>
    <xf numFmtId="0" fontId="0" fillId="0" borderId="33" pivotButton="0" quotePrefix="0" xfId="0"/>
    <xf numFmtId="0" fontId="4" fillId="10" borderId="7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9" applyProtection="1" pivotButton="0" quotePrefix="0" xfId="0">
      <protection locked="0" hidden="0"/>
    </xf>
    <xf numFmtId="0" fontId="3" fillId="29" borderId="70" applyAlignment="1" pivotButton="0" quotePrefix="0" xfId="0">
      <alignment horizontal="center" vertical="center" wrapText="1"/>
    </xf>
    <xf numFmtId="0" fontId="0" fillId="0" borderId="48" pivotButton="0" quotePrefix="0" xfId="0"/>
    <xf numFmtId="0" fontId="4" fillId="4" borderId="7" applyAlignment="1" pivotButton="0" quotePrefix="0" xfId="0">
      <alignment horizontal="center" vertical="center"/>
    </xf>
    <xf numFmtId="0" fontId="4" fillId="10" borderId="15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17" pivotButton="0" quotePrefix="0" xfId="0"/>
    <xf numFmtId="0" fontId="4" fillId="4" borderId="15" applyAlignment="1" pivotButton="0" quotePrefix="0" xfId="0">
      <alignment horizontal="center" vertical="center"/>
    </xf>
    <xf numFmtId="0" fontId="58" fillId="26" borderId="72" applyAlignment="1" pivotButton="0" quotePrefix="0" xfId="1">
      <alignment horizontal="center" vertical="center"/>
    </xf>
    <xf numFmtId="0" fontId="3" fillId="3" borderId="22" applyAlignment="1" applyProtection="1" pivotButton="0" quotePrefix="0" xfId="0">
      <alignment horizontal="left" vertical="center" wrapText="1"/>
      <protection locked="0" hidden="0"/>
    </xf>
    <xf numFmtId="0" fontId="3" fillId="3" borderId="39" applyAlignment="1" applyProtection="1" pivotButton="0" quotePrefix="0" xfId="0">
      <alignment horizontal="left" vertical="center" wrapText="1"/>
      <protection locked="0" hidden="0"/>
    </xf>
    <xf numFmtId="0" fontId="0" fillId="0" borderId="61" applyProtection="1" pivotButton="0" quotePrefix="0" xfId="0">
      <protection locked="0" hidden="0"/>
    </xf>
    <xf numFmtId="0" fontId="0" fillId="0" borderId="62" applyProtection="1" pivotButton="0" quotePrefix="0" xfId="0">
      <protection locked="0" hidden="0"/>
    </xf>
    <xf numFmtId="4" fontId="4" fillId="18" borderId="15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/>
    </xf>
    <xf numFmtId="4" fontId="4" fillId="8" borderId="15" applyAlignment="1" pivotButton="0" quotePrefix="0" xfId="0">
      <alignment horizontal="center" vertical="center"/>
    </xf>
    <xf numFmtId="9" fontId="4" fillId="17" borderId="15" applyAlignment="1" pivotButton="0" quotePrefix="0" xfId="0">
      <alignment horizontal="center" vertical="center"/>
    </xf>
    <xf numFmtId="10" fontId="4" fillId="8" borderId="15" applyAlignment="1" pivotButton="0" quotePrefix="0" xfId="0">
      <alignment horizontal="center" vertical="center"/>
    </xf>
    <xf numFmtId="10" fontId="4" fillId="13" borderId="23" applyAlignment="1" pivotButton="0" quotePrefix="0" xfId="0">
      <alignment horizontal="center" vertical="center"/>
    </xf>
    <xf numFmtId="0" fontId="0" fillId="0" borderId="9" pivotButton="0" quotePrefix="0" xfId="0"/>
    <xf numFmtId="4" fontId="30" fillId="16" borderId="15" applyAlignment="1" pivotButton="0" quotePrefix="0" xfId="0">
      <alignment horizontal="center" vertical="center"/>
    </xf>
    <xf numFmtId="0" fontId="29" fillId="16" borderId="15" applyAlignment="1" pivotButton="0" quotePrefix="0" xfId="0">
      <alignment horizontal="center" vertical="center"/>
    </xf>
    <xf numFmtId="4" fontId="4" fillId="0" borderId="15" applyAlignment="1" pivotButton="0" quotePrefix="0" xfId="0">
      <alignment horizontal="center" vertical="center"/>
    </xf>
    <xf numFmtId="9" fontId="30" fillId="16" borderId="15" applyAlignment="1" pivotButton="0" quotePrefix="0" xfId="0">
      <alignment horizontal="center" vertical="center"/>
    </xf>
    <xf numFmtId="10" fontId="4" fillId="0" borderId="15" applyAlignment="1" pivotButton="0" quotePrefix="0" xfId="0">
      <alignment horizontal="center" vertical="center"/>
    </xf>
    <xf numFmtId="10" fontId="4" fillId="0" borderId="23" applyAlignment="1" pivotButton="0" quotePrefix="0" xfId="0">
      <alignment horizontal="center" vertical="center"/>
    </xf>
    <xf numFmtId="4" fontId="3" fillId="3" borderId="15" applyAlignment="1" applyProtection="1" pivotButton="0" quotePrefix="0" xfId="0">
      <alignment horizontal="center" vertical="center"/>
      <protection locked="0" hidden="0"/>
    </xf>
    <xf numFmtId="0" fontId="3" fillId="3" borderId="15" applyAlignment="1" applyProtection="1" pivotButton="0" quotePrefix="0" xfId="0">
      <alignment horizontal="center" vertical="center"/>
      <protection locked="0" hidden="0"/>
    </xf>
    <xf numFmtId="9" fontId="3" fillId="3" borderId="15" applyAlignment="1" applyProtection="1" pivotButton="0" quotePrefix="0" xfId="0">
      <alignment horizontal="center" vertical="center"/>
      <protection locked="0" hidden="0"/>
    </xf>
    <xf numFmtId="9" fontId="3" fillId="0" borderId="15" applyAlignment="1" pivotButton="0" quotePrefix="0" xfId="0">
      <alignment horizontal="center" vertical="center"/>
    </xf>
    <xf numFmtId="10" fontId="3" fillId="0" borderId="15" applyAlignment="1" pivotButton="0" quotePrefix="0" xfId="0">
      <alignment horizontal="center" vertical="center"/>
    </xf>
    <xf numFmtId="10" fontId="3" fillId="12" borderId="23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9" pivotButton="0" quotePrefix="0" xfId="0"/>
    <xf numFmtId="9" fontId="4" fillId="18" borderId="15" applyAlignment="1" pivotButton="0" quotePrefix="0" xfId="0">
      <alignment horizontal="center" vertical="center"/>
    </xf>
    <xf numFmtId="4" fontId="4" fillId="3" borderId="15" applyAlignment="1" applyProtection="1" pivotButton="0" quotePrefix="0" xfId="0">
      <alignment horizontal="center" vertical="center"/>
      <protection locked="0" hidden="0"/>
    </xf>
    <xf numFmtId="0" fontId="4" fillId="3" borderId="15" applyAlignment="1" applyProtection="1" pivotButton="0" quotePrefix="0" xfId="0">
      <alignment horizontal="center" vertical="center"/>
      <protection locked="0" hidden="0"/>
    </xf>
    <xf numFmtId="9" fontId="4" fillId="8" borderId="15" applyAlignment="1" pivotButton="0" quotePrefix="0" xfId="0">
      <alignment horizontal="center" vertical="center"/>
    </xf>
    <xf numFmtId="4" fontId="4" fillId="19" borderId="15" applyAlignment="1" pivotButton="0" quotePrefix="0" xfId="0">
      <alignment horizontal="center" vertical="center"/>
    </xf>
    <xf numFmtId="0" fontId="4" fillId="19" borderId="15" applyAlignment="1" pivotButton="0" quotePrefix="0" xfId="0">
      <alignment horizontal="center" vertical="center"/>
    </xf>
    <xf numFmtId="4" fontId="4" fillId="4" borderId="15" applyAlignment="1" pivotButton="0" quotePrefix="0" xfId="0">
      <alignment horizontal="center" vertical="center"/>
    </xf>
    <xf numFmtId="9" fontId="4" fillId="19" borderId="15" applyAlignment="1" pivotButton="0" quotePrefix="0" xfId="0">
      <alignment horizontal="center" vertical="center"/>
    </xf>
    <xf numFmtId="10" fontId="4" fillId="4" borderId="15" applyAlignment="1" pivotButton="0" quotePrefix="0" xfId="0">
      <alignment horizontal="center" vertical="center"/>
    </xf>
    <xf numFmtId="10" fontId="4" fillId="14" borderId="23" applyAlignment="1" pivotButton="0" quotePrefix="0" xfId="0">
      <alignment horizontal="center" vertical="center"/>
    </xf>
    <xf numFmtId="4" fontId="4" fillId="19" borderId="25" applyAlignment="1" pivotButton="0" quotePrefix="0" xfId="0">
      <alignment horizontal="center" vertical="center"/>
    </xf>
    <xf numFmtId="0" fontId="4" fillId="19" borderId="25" applyAlignment="1" pivotButton="0" quotePrefix="0" xfId="0">
      <alignment horizontal="center" vertical="center"/>
    </xf>
    <xf numFmtId="4" fontId="4" fillId="4" borderId="25" applyAlignment="1" pivotButton="0" quotePrefix="0" xfId="0">
      <alignment horizontal="center" vertical="center"/>
    </xf>
    <xf numFmtId="9" fontId="4" fillId="19" borderId="25" applyAlignment="1" pivotButton="0" quotePrefix="0" xfId="0">
      <alignment horizontal="center" vertical="center"/>
    </xf>
    <xf numFmtId="10" fontId="4" fillId="4" borderId="25" applyAlignment="1" pivotButton="0" quotePrefix="0" xfId="0">
      <alignment horizontal="center" vertical="center"/>
    </xf>
    <xf numFmtId="10" fontId="4" fillId="15" borderId="26" applyAlignment="1" pivotButton="0" quotePrefix="0" xfId="0">
      <alignment horizontal="center" vertical="center"/>
    </xf>
    <xf numFmtId="0" fontId="0" fillId="0" borderId="13" pivotButton="0" quotePrefix="0" xfId="0"/>
    <xf numFmtId="0" fontId="3" fillId="9" borderId="19" applyAlignment="1" pivotButton="0" quotePrefix="0" xfId="0">
      <alignment horizontal="center" vertical="center" wrapText="1"/>
    </xf>
    <xf numFmtId="0" fontId="3" fillId="9" borderId="21" applyAlignment="1" pivotButton="0" quotePrefix="0" xfId="0">
      <alignment horizontal="center" vertical="center" wrapText="1"/>
    </xf>
    <xf numFmtId="0" fontId="0" fillId="0" borderId="6" pivotButton="0" quotePrefix="0" xfId="0"/>
    <xf numFmtId="0" fontId="3" fillId="8" borderId="22" applyAlignment="1" pivotButton="0" quotePrefix="0" xfId="0">
      <alignment horizontal="left" vertical="center" wrapText="1"/>
    </xf>
    <xf numFmtId="0" fontId="0" fillId="0" borderId="22" applyAlignment="1" pivotButton="0" quotePrefix="0" xfId="0">
      <alignment horizontal="left" vertical="center" wrapText="1" indent="2"/>
    </xf>
    <xf numFmtId="0" fontId="25" fillId="8" borderId="22" applyAlignment="1" pivotButton="0" quotePrefix="0" xfId="0">
      <alignment horizontal="left" vertical="center" wrapText="1"/>
    </xf>
    <xf numFmtId="0" fontId="3" fillId="3" borderId="22" applyAlignment="1" applyProtection="1" pivotButton="0" quotePrefix="0" xfId="0">
      <alignment horizontal="left" vertical="center" wrapText="1" indent="2"/>
      <protection locked="0" hidden="0"/>
    </xf>
    <xf numFmtId="0" fontId="4" fillId="8" borderId="24" applyAlignment="1" pivotButton="0" quotePrefix="0" xfId="0">
      <alignment horizontal="left" vertical="center" wrapText="1"/>
    </xf>
    <xf numFmtId="0" fontId="58" fillId="26" borderId="70" applyAlignment="1" pivotButton="0" quotePrefix="0" xfId="1">
      <alignment horizontal="center" vertical="center" wrapText="1"/>
    </xf>
    <xf numFmtId="0" fontId="4" fillId="11" borderId="22" applyAlignment="1" pivotButton="0" quotePrefix="0" xfId="0">
      <alignment horizontal="left" vertical="center" wrapText="1"/>
    </xf>
    <xf numFmtId="4" fontId="4" fillId="11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1"/>
    </xf>
    <xf numFmtId="4" fontId="3" fillId="3" borderId="23" applyAlignment="1" applyProtection="1" pivotButton="0" quotePrefix="0" xfId="0">
      <alignment horizontal="center" vertical="center"/>
      <protection locked="0" hidden="0"/>
    </xf>
    <xf numFmtId="4" fontId="4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24" applyAlignment="1" pivotButton="0" quotePrefix="0" xfId="0">
      <alignment horizontal="left" vertical="center" wrapText="1" indent="1"/>
    </xf>
    <xf numFmtId="4" fontId="4" fillId="4" borderId="26" applyAlignment="1" pivotButton="0" quotePrefix="0" xfId="0">
      <alignment horizontal="center" vertical="center"/>
    </xf>
    <xf numFmtId="4" fontId="3" fillId="22" borderId="23" applyAlignment="1" pivotButton="0" quotePrefix="0" xfId="0">
      <alignment horizontal="center" vertical="center" wrapText="1"/>
    </xf>
    <xf numFmtId="0" fontId="4" fillId="8" borderId="22" applyAlignment="1" pivotButton="0" quotePrefix="0" xfId="0">
      <alignment horizontal="left" vertical="center" wrapText="1"/>
    </xf>
    <xf numFmtId="4" fontId="4" fillId="8" borderId="15" applyAlignment="1" pivotButton="0" quotePrefix="0" xfId="0">
      <alignment horizontal="center" vertical="center" wrapText="1"/>
    </xf>
    <xf numFmtId="4" fontId="4" fillId="8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2"/>
    </xf>
    <xf numFmtId="0" fontId="3" fillId="0" borderId="24" applyAlignment="1" pivotButton="0" quotePrefix="0" xfId="0">
      <alignment horizontal="left" vertical="center" wrapText="1" indent="2"/>
    </xf>
    <xf numFmtId="0" fontId="4" fillId="0" borderId="29" applyAlignment="1" pivotButton="0" quotePrefix="0" xfId="0">
      <alignment horizontal="left" vertical="center" wrapText="1"/>
    </xf>
    <xf numFmtId="0" fontId="0" fillId="0" borderId="33" applyProtection="1" pivotButton="0" quotePrefix="0" xfId="0">
      <protection locked="0" hidden="0"/>
    </xf>
    <xf numFmtId="0" fontId="4" fillId="0" borderId="24" applyAlignment="1" pivotButton="0" quotePrefix="0" xfId="0">
      <alignment horizontal="left" vertical="center" wrapText="1" indent="2"/>
    </xf>
    <xf numFmtId="0" fontId="43" fillId="27" borderId="15" applyAlignment="1" pivotButton="0" quotePrefix="0" xfId="0">
      <alignment horizontal="left" vertical="center"/>
    </xf>
    <xf numFmtId="0" fontId="43" fillId="27" borderId="17" applyAlignment="1" pivotButton="0" quotePrefix="0" xfId="0">
      <alignment horizontal="left" vertical="center"/>
    </xf>
    <xf numFmtId="0" fontId="32" fillId="26" borderId="15" applyAlignment="1" pivotButton="0" quotePrefix="0" xfId="0">
      <alignment horizontal="center" vertical="center"/>
    </xf>
    <xf numFmtId="0" fontId="32" fillId="8" borderId="15" applyAlignment="1" pivotButton="0" quotePrefix="0" xfId="0">
      <alignment horizontal="left" vertical="center" wrapText="1" indent="1"/>
    </xf>
    <xf numFmtId="0" fontId="25" fillId="26" borderId="15" applyAlignment="1" pivotButton="0" quotePrefix="0" xfId="0">
      <alignment horizontal="center" vertical="center" wrapText="1"/>
    </xf>
    <xf numFmtId="0" fontId="0" fillId="0" borderId="78" pivotButton="0" quotePrefix="0" xfId="0"/>
    <xf numFmtId="0" fontId="46" fillId="25" borderId="15" applyAlignment="1" pivotButton="0" quotePrefix="0" xfId="0">
      <alignment horizontal="left" vertical="center" wrapText="1"/>
    </xf>
    <xf numFmtId="0" fontId="0" fillId="8" borderId="15" applyAlignment="1" pivotButton="0" quotePrefix="0" xfId="0">
      <alignment horizontal="left" vertical="center" wrapText="1"/>
    </xf>
    <xf numFmtId="0" fontId="0" fillId="0" borderId="15" applyAlignment="1" pivotButton="0" quotePrefix="0" xfId="0">
      <alignment horizontal="left" vertical="center" wrapText="1" indent="2"/>
    </xf>
    <xf numFmtId="0" fontId="2" fillId="26" borderId="15" applyAlignment="1" pivotButton="0" quotePrefix="0" xfId="0">
      <alignment horizontal="center" vertical="center"/>
    </xf>
    <xf numFmtId="0" fontId="0" fillId="0" borderId="18" applyAlignment="1" pivotButton="0" quotePrefix="0" xfId="0">
      <alignment horizontal="center" vertical="center"/>
    </xf>
    <xf numFmtId="0" fontId="47" fillId="0" borderId="37" applyAlignment="1" pivotButton="0" quotePrefix="0" xfId="0">
      <alignment horizontal="center" vertical="top"/>
    </xf>
    <xf numFmtId="4" fontId="0" fillId="0" borderId="43" applyAlignment="1" pivotButton="0" quotePrefix="0" xfId="0">
      <alignment horizontal="center" vertical="center"/>
    </xf>
    <xf numFmtId="4" fontId="48" fillId="11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 wrapText="1" indent="1"/>
    </xf>
    <xf numFmtId="4" fontId="25" fillId="24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 indent="1"/>
    </xf>
    <xf numFmtId="0" fontId="24" fillId="8" borderId="15" applyAlignment="1" pivotButton="0" quotePrefix="0" xfId="0">
      <alignment horizontal="left" vertical="center" wrapText="1" indent="1"/>
    </xf>
    <xf numFmtId="0" fontId="25" fillId="0" borderId="15" applyAlignment="1" pivotButton="0" quotePrefix="0" xfId="0">
      <alignment horizontal="left" vertical="center" wrapText="1" indent="2"/>
    </xf>
    <xf numFmtId="0" fontId="24" fillId="0" borderId="18" applyAlignment="1" pivotButton="0" quotePrefix="0" xfId="0">
      <alignment horizontal="left"/>
    </xf>
    <xf numFmtId="0" fontId="33" fillId="8" borderId="70" applyAlignment="1" pivotButton="0" quotePrefix="0" xfId="0">
      <alignment horizontal="left" vertical="center" indent="1"/>
    </xf>
    <xf numFmtId="4" fontId="28" fillId="0" borderId="70" applyAlignment="1" pivotButton="0" quotePrefix="0" xfId="0">
      <alignment horizontal="center" vertical="center"/>
    </xf>
  </cellXfs>
  <cellStyles count="3">
    <cellStyle name="Normal" xfId="0" builtinId="0"/>
    <cellStyle name="%20 - Vurgu1" xfId="1" builtinId="30"/>
    <cellStyle name="Yüzde" xfId="2" builtinId="5"/>
  </cellStyles>
  <dxfs count="13"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FF0000"/>
      </font>
    </dxf>
    <dxf>
      <font>
        <b val="1"/>
        <color rgb="FFFF0000"/>
      </font>
    </dxf>
    <dxf>
      <fill>
        <gradientFill type="linear" degree="270">
          <stop position="0">
            <color theme="0"/>
          </stop>
          <stop position="1">
            <color theme="5" tint="0.8000122074037904"/>
          </stop>
        </gradient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theme="5" tint="0.7999816888943144"/>
        </patternFill>
      </fill>
      <border>
        <left/>
        <right/>
        <top/>
        <bottom/>
        <vertical/>
        <horizontal/>
      </border>
    </dxf>
    <dxf>
      <fill>
        <patternFill patternType="darkUp">
          <bgColor theme="0" tint="-0.249946592608417"/>
        </patternFill>
      </fill>
    </dxf>
    <dxf>
      <fill>
        <patternFill patternType="darkUp">
          <bgColor theme="0" tint="-0.249946592608417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ayfa2">
    <tabColor rgb="FFFFFF00"/>
    <outlinePr summaryBelow="1" summaryRight="1"/>
    <pageSetUpPr/>
  </sheetPr>
  <dimension ref="A1:BL408"/>
  <sheetViews>
    <sheetView showGridLines="0" showZeros="0" tabSelected="1" zoomScaleNormal="100" zoomScaleSheetLayoutView="70" workbookViewId="0">
      <selection activeCell="AH13" sqref="AH13"/>
    </sheetView>
  </sheetViews>
  <sheetFormatPr baseColWidth="8" defaultColWidth="0" defaultRowHeight="12.75" zeroHeight="1"/>
  <cols>
    <col width="8.140625" customWidth="1" style="24" min="1" max="1"/>
    <col width="5.7109375" customWidth="1" style="26" min="2" max="33"/>
    <col width="7.5703125" customWidth="1" style="26" min="34" max="34"/>
    <col hidden="1" width="5.7109375" customWidth="1" style="26" min="35" max="78"/>
    <col hidden="1" width="9.140625" customWidth="1" style="26" min="79" max="16384"/>
  </cols>
  <sheetData>
    <row r="1" ht="33" customHeight="1" s="321" thickBot="1">
      <c r="B1" s="766" t="inlineStr">
        <is>
          <t>B2 // VERİ GİRİŞ</t>
        </is>
      </c>
      <c r="C1" s="767" t="n"/>
      <c r="D1" s="767" t="n"/>
      <c r="E1" s="767" t="n"/>
      <c r="F1" s="767" t="n"/>
      <c r="G1" s="767" t="n"/>
      <c r="H1" s="767" t="n"/>
      <c r="I1" s="767" t="n"/>
      <c r="J1" s="767" t="n"/>
      <c r="K1" s="767" t="n"/>
      <c r="L1" s="767" t="n"/>
      <c r="M1" s="767" t="n"/>
      <c r="N1" s="767" t="n"/>
      <c r="O1" s="767" t="n"/>
      <c r="P1" s="767" t="n"/>
      <c r="Q1" s="767" t="n"/>
      <c r="R1" s="767" t="n"/>
      <c r="S1" s="767" t="n"/>
      <c r="T1" s="767" t="n"/>
      <c r="U1" s="767" t="n"/>
      <c r="V1" s="767" t="n"/>
      <c r="W1" s="767" t="n"/>
      <c r="X1" s="767" t="n"/>
      <c r="Y1" s="767" t="n"/>
      <c r="Z1" s="767" t="n"/>
      <c r="AA1" s="767" t="n"/>
      <c r="AB1" s="767" t="n"/>
      <c r="AC1" s="767" t="n"/>
      <c r="AD1" s="767" t="n"/>
      <c r="AE1" s="767" t="n"/>
      <c r="AF1" s="767" t="n"/>
      <c r="AG1" s="768" t="n"/>
      <c r="AN1" s="26" t="inlineStr">
        <is>
          <t>Sektör Seçiniz</t>
        </is>
      </c>
    </row>
    <row r="2" ht="13.5" customHeight="1" s="321" thickBot="1">
      <c r="AN2" s="26" t="inlineStr">
        <is>
          <t>101-1 Süt Üreten Tarımsal İşletmeler</t>
        </is>
      </c>
    </row>
    <row r="3" ht="24.75" customHeight="1" s="321" thickBot="1">
      <c r="B3" s="769" t="inlineStr">
        <is>
          <t>Tedbir / Sektör :</t>
        </is>
      </c>
      <c r="C3" s="767" t="n"/>
      <c r="D3" s="767" t="n"/>
      <c r="E3" s="767" t="n"/>
      <c r="F3" s="767" t="n"/>
      <c r="G3" s="768" t="n"/>
      <c r="H3" s="770" t="inlineStr">
        <is>
          <t>101-3 Kanatlı Eti Üreten Tarımsal İşletmeler</t>
        </is>
      </c>
      <c r="I3" s="771" t="n"/>
      <c r="J3" s="771" t="n"/>
      <c r="K3" s="771" t="n"/>
      <c r="L3" s="771" t="n"/>
      <c r="M3" s="771" t="n"/>
      <c r="N3" s="771" t="n"/>
      <c r="O3" s="771" t="n"/>
      <c r="P3" s="771" t="n"/>
      <c r="Q3" s="771" t="n"/>
      <c r="R3" s="771" t="n"/>
      <c r="S3" s="771" t="n"/>
      <c r="T3" s="771" t="n"/>
      <c r="U3" s="772" t="n"/>
      <c r="AN3" s="26" t="inlineStr">
        <is>
          <t>101-2 Kırmızı Et Üreten Tarımsal İşletmeler</t>
        </is>
      </c>
      <c r="AX3" s="26" t="inlineStr">
        <is>
          <t>Tedbir:</t>
        </is>
      </c>
      <c r="AY3" s="26">
        <f>MID(H3,1,3)</f>
        <v/>
      </c>
    </row>
    <row r="4" ht="13.5" customHeight="1" s="321" thickBot="1">
      <c r="AN4" s="26" t="inlineStr">
        <is>
          <t>101-3 Kanatlı Eti Üreten Tarımsal İşletmeler</t>
        </is>
      </c>
      <c r="BA4" s="26" t="n">
        <v>101</v>
      </c>
      <c r="BB4" s="26" t="n">
        <v>103</v>
      </c>
      <c r="BC4" s="26" t="n">
        <v>302</v>
      </c>
    </row>
    <row r="5" ht="17.45" customHeight="1" s="321" thickBot="1">
      <c r="B5" s="769" t="inlineStr">
        <is>
          <t>TOPLAM YATIRIM BÜTÇESİ ve FİNANSMAN KAYNAKLARI</t>
        </is>
      </c>
      <c r="C5" s="767" t="n"/>
      <c r="D5" s="767" t="n"/>
      <c r="E5" s="767" t="n"/>
      <c r="F5" s="767" t="n"/>
      <c r="G5" s="767" t="n"/>
      <c r="H5" s="767" t="n"/>
      <c r="I5" s="767" t="n"/>
      <c r="J5" s="767" t="n"/>
      <c r="K5" s="767" t="n"/>
      <c r="L5" s="767" t="n"/>
      <c r="M5" s="767" t="n"/>
      <c r="N5" s="767" t="n"/>
      <c r="O5" s="767" t="n"/>
      <c r="P5" s="767" t="n"/>
      <c r="Q5" s="767" t="n"/>
      <c r="R5" s="767" t="n"/>
      <c r="S5" s="767" t="n"/>
      <c r="T5" s="767" t="n"/>
      <c r="U5" s="767" t="n"/>
      <c r="V5" s="767" t="n"/>
      <c r="W5" s="767" t="n"/>
      <c r="X5" s="768" t="n"/>
      <c r="AB5" s="769" t="inlineStr">
        <is>
          <t>YARDIM ORANI / TUTARI</t>
        </is>
      </c>
      <c r="AC5" s="767" t="n"/>
      <c r="AD5" s="767" t="n"/>
      <c r="AE5" s="767" t="n"/>
      <c r="AF5" s="767" t="n"/>
      <c r="AG5" s="768" t="n"/>
      <c r="AN5" s="26" t="inlineStr">
        <is>
          <t>101-4 Yumurta Üreten Tarımsal İşletmeler</t>
        </is>
      </c>
      <c r="AZ5" s="110" t="inlineStr">
        <is>
          <t>Lütfen Seçiniz</t>
        </is>
      </c>
      <c r="BA5" s="110" t="inlineStr">
        <is>
          <t>Lütfen Seçiniz</t>
        </is>
      </c>
      <c r="BB5" s="110" t="inlineStr">
        <is>
          <t>Lütfen Seçiniz</t>
        </is>
      </c>
      <c r="BC5" s="110" t="inlineStr">
        <is>
          <t>Lütfen Seçiniz</t>
        </is>
      </c>
      <c r="BE5" s="466" t="inlineStr">
        <is>
          <t>Total Depreciation (1st Year)</t>
        </is>
      </c>
      <c r="BF5" s="773" t="n"/>
      <c r="BG5" s="773" t="n"/>
      <c r="BH5" s="773" t="n"/>
      <c r="BI5" s="774" t="n"/>
      <c r="BJ5" s="457" t="n"/>
      <c r="BK5" s="773" t="n"/>
      <c r="BL5" s="774" t="n"/>
    </row>
    <row r="6" ht="17.25" customHeight="1" s="321" thickBot="1">
      <c r="B6" s="775" t="n"/>
      <c r="C6" s="318" t="n"/>
      <c r="D6" s="318" t="n"/>
      <c r="E6" s="318" t="n"/>
      <c r="F6" s="318" t="n"/>
      <c r="G6" s="318" t="n"/>
      <c r="H6" s="318" t="n"/>
      <c r="I6" s="318" t="n"/>
      <c r="J6" s="318" t="n"/>
      <c r="K6" s="318" t="n"/>
      <c r="L6" s="319" t="n"/>
      <c r="M6" s="342" t="inlineStr">
        <is>
          <t>1. Taksit</t>
        </is>
      </c>
      <c r="N6" s="318" t="n"/>
      <c r="O6" s="319" t="n"/>
      <c r="P6" s="342" t="inlineStr">
        <is>
          <t>2. Taksit</t>
        </is>
      </c>
      <c r="Q6" s="318" t="n"/>
      <c r="R6" s="319" t="n"/>
      <c r="S6" s="342" t="inlineStr">
        <is>
          <t>3. Taksit</t>
        </is>
      </c>
      <c r="T6" s="318" t="n"/>
      <c r="U6" s="319" t="n"/>
      <c r="V6" s="343" t="inlineStr">
        <is>
          <t>Toplam  (TL)</t>
        </is>
      </c>
      <c r="W6" s="318" t="n"/>
      <c r="X6" s="319" t="n"/>
      <c r="AB6" s="316" t="inlineStr">
        <is>
          <t>Yardım Oranı</t>
        </is>
      </c>
      <c r="AC6" s="776" t="n"/>
      <c r="AD6" s="777" t="n"/>
      <c r="AE6" s="363" t="n">
        <v>0.7</v>
      </c>
      <c r="AF6" s="778" t="n"/>
      <c r="AG6" s="779" t="n"/>
      <c r="AH6" s="157">
        <f>IF(AND(AE9&gt;0,AE8&gt;0),3,IF(AE8&gt;0,2,1))</f>
        <v/>
      </c>
      <c r="AN6" s="26" t="inlineStr">
        <is>
          <t>Sektör Seçiniz</t>
        </is>
      </c>
      <c r="AZ6" s="26" t="inlineStr">
        <is>
          <t>Önce Tedbir-Sektör Seçimini Yapınız</t>
        </is>
      </c>
      <c r="BA6" s="111" t="n">
        <v>0.6</v>
      </c>
      <c r="BB6" s="113" t="n">
        <v>0.5</v>
      </c>
      <c r="BC6" s="111" t="n">
        <v>0.6</v>
      </c>
      <c r="BE6" s="466" t="inlineStr">
        <is>
          <t>Production</t>
        </is>
      </c>
      <c r="BF6" s="773" t="n"/>
      <c r="BG6" s="773" t="n"/>
      <c r="BH6" s="773" t="n"/>
      <c r="BI6" s="774" t="n"/>
      <c r="BJ6" s="459" t="n"/>
      <c r="BK6" s="773" t="n"/>
      <c r="BL6" s="774" t="n"/>
    </row>
    <row r="7" ht="17.45" customHeight="1" s="321">
      <c r="B7" s="346" t="inlineStr">
        <is>
          <t>YATIRIM BÜTÇESİ</t>
        </is>
      </c>
      <c r="C7" s="349" t="inlineStr">
        <is>
          <t xml:space="preserve">A-UYGUN HARCAMALAR </t>
        </is>
      </c>
      <c r="D7" s="780" t="n"/>
      <c r="E7" s="780" t="n"/>
      <c r="F7" s="780" t="n"/>
      <c r="G7" s="780" t="n"/>
      <c r="H7" s="780" t="n"/>
      <c r="I7" s="780" t="n"/>
      <c r="J7" s="780" t="n"/>
      <c r="K7" s="780" t="n"/>
      <c r="L7" s="781" t="n"/>
      <c r="M7" s="350">
        <f>ROUNDUP(SUM(M8:O11),2)</f>
        <v/>
      </c>
      <c r="N7" s="780" t="n"/>
      <c r="O7" s="781" t="n"/>
      <c r="P7" s="350">
        <f>ROUNDUP(SUM(P8:R11),2)</f>
        <v/>
      </c>
      <c r="Q7" s="780" t="n"/>
      <c r="R7" s="781" t="n"/>
      <c r="S7" s="350">
        <f>ROUNDUP(SUM(S8:U11),2)</f>
        <v/>
      </c>
      <c r="T7" s="780" t="n"/>
      <c r="U7" s="781" t="n"/>
      <c r="V7" s="351">
        <f>SUM(M7:U7)</f>
        <v/>
      </c>
      <c r="W7" s="780" t="n"/>
      <c r="X7" s="781" t="n"/>
      <c r="AB7" s="782" t="inlineStr">
        <is>
          <t>1.Taksit Tutari</t>
        </is>
      </c>
      <c r="AC7" s="773" t="n"/>
      <c r="AD7" s="774" t="n"/>
      <c r="AE7" s="312">
        <f>IF(AY3="101",IFERROR(ROUNDDOWN((M7*AE6)+((M30+M31)*0.1),2),0),IFERROR(ROUNDDOWN((M7*AE6)+((M30+M31)*0.1),2),0))</f>
        <v/>
      </c>
      <c r="AF7" s="783" t="n"/>
      <c r="AG7" s="784" t="n"/>
      <c r="AH7" s="320" t="n"/>
      <c r="AN7" s="26" t="inlineStr">
        <is>
          <t>103-1 Süt ve Süt Ürünlerinin İşlenmesi ve Pazarlanması</t>
        </is>
      </c>
      <c r="BA7" s="115" t="n">
        <v>0.65</v>
      </c>
      <c r="BB7" s="111" t="n">
        <v>0.7</v>
      </c>
      <c r="BC7" s="116" t="n">
        <v>0.7</v>
      </c>
      <c r="BE7" s="466" t="inlineStr">
        <is>
          <t>Administration</t>
        </is>
      </c>
      <c r="BF7" s="773" t="n"/>
      <c r="BG7" s="773" t="n"/>
      <c r="BH7" s="773" t="n"/>
      <c r="BI7" s="774" t="n"/>
      <c r="BJ7" s="459" t="n"/>
      <c r="BK7" s="773" t="n"/>
      <c r="BL7" s="774" t="n"/>
    </row>
    <row r="8" ht="17.45" customHeight="1" s="321">
      <c r="B8" s="785" t="n"/>
      <c r="C8" s="332" t="inlineStr">
        <is>
          <t>A1 - Yapım İşleri</t>
        </is>
      </c>
      <c r="D8" s="773" t="n"/>
      <c r="E8" s="773" t="n"/>
      <c r="F8" s="773" t="n"/>
      <c r="G8" s="773" t="n"/>
      <c r="H8" s="773" t="n"/>
      <c r="I8" s="773" t="n"/>
      <c r="J8" s="773" t="n"/>
      <c r="K8" s="773" t="n"/>
      <c r="L8" s="774" t="n"/>
      <c r="M8" s="328" t="n">
        <v>15720192.5</v>
      </c>
      <c r="N8" s="783" t="n"/>
      <c r="O8" s="784" t="n"/>
      <c r="P8" s="328" t="n"/>
      <c r="Q8" s="783" t="n"/>
      <c r="R8" s="784" t="n"/>
      <c r="S8" s="329" t="n"/>
      <c r="T8" s="783" t="n"/>
      <c r="U8" s="784" t="n"/>
      <c r="V8" s="330">
        <f>SUM(M8:U8)</f>
        <v/>
      </c>
      <c r="W8" s="773" t="n"/>
      <c r="X8" s="774" t="n"/>
      <c r="AB8" s="782" t="inlineStr">
        <is>
          <t>2.Taksit Tutari</t>
        </is>
      </c>
      <c r="AC8" s="773" t="n"/>
      <c r="AD8" s="774" t="n"/>
      <c r="AE8" s="312">
        <f>IF(AY3="101",IFERROR(ROUNDDOWN((P7*AE6)+((P30+P31)*0.1),2),0),IFERROR(ROUNDDOWN((P7*AE6)+((P30+P31)*0.1),2),0))</f>
        <v/>
      </c>
      <c r="AF8" s="783" t="n"/>
      <c r="AG8" s="784" t="n"/>
      <c r="AH8" s="320" t="n"/>
      <c r="AN8" s="26" t="inlineStr">
        <is>
          <t>103-2 Kırmızı Et ve Kırmızı Et Ürünlerinin İşlenmesi ve Pazarlanması</t>
        </is>
      </c>
      <c r="BA8" s="111" t="n">
        <v>0.7</v>
      </c>
      <c r="BB8" s="114" t="n"/>
      <c r="BE8" s="466" t="inlineStr">
        <is>
          <t>Marketing</t>
        </is>
      </c>
      <c r="BF8" s="773" t="n"/>
      <c r="BG8" s="773" t="n"/>
      <c r="BH8" s="773" t="n"/>
      <c r="BI8" s="774" t="n"/>
      <c r="BJ8" s="459" t="n"/>
      <c r="BK8" s="773" t="n"/>
      <c r="BL8" s="774" t="n"/>
    </row>
    <row r="9" ht="17.45" customHeight="1" s="321" thickBot="1">
      <c r="B9" s="785" t="n"/>
      <c r="C9" s="332" t="inlineStr">
        <is>
          <t>A2 - Makine ve Ekipman Alımları</t>
        </is>
      </c>
      <c r="D9" s="773" t="n"/>
      <c r="E9" s="773" t="n"/>
      <c r="F9" s="773" t="n"/>
      <c r="G9" s="773" t="n"/>
      <c r="H9" s="773" t="n"/>
      <c r="I9" s="773" t="n"/>
      <c r="J9" s="773" t="n"/>
      <c r="K9" s="773" t="n"/>
      <c r="L9" s="774" t="n"/>
      <c r="M9" s="328" t="n">
        <v>0</v>
      </c>
      <c r="N9" s="783" t="n"/>
      <c r="O9" s="784" t="n"/>
      <c r="P9" s="328" t="n"/>
      <c r="Q9" s="783" t="n"/>
      <c r="R9" s="784" t="n"/>
      <c r="S9" s="329" t="n"/>
      <c r="T9" s="783" t="n"/>
      <c r="U9" s="784" t="n"/>
      <c r="V9" s="330">
        <f>SUM(M9:U9)</f>
        <v/>
      </c>
      <c r="W9" s="773" t="n"/>
      <c r="X9" s="774" t="n"/>
      <c r="AB9" s="786" t="inlineStr">
        <is>
          <t>3.Taksit Tutari</t>
        </is>
      </c>
      <c r="AC9" s="787" t="n"/>
      <c r="AD9" s="788" t="n"/>
      <c r="AE9" s="314">
        <f>IF(AY3="101",IFERROR(ROUNDDOWN((S7*AE6),2),0),IFERROR(ROUNDDOWN((S7*AE6),2),0))</f>
        <v/>
      </c>
      <c r="AF9" s="789" t="n"/>
      <c r="AG9" s="790" t="n"/>
      <c r="AH9" s="320" t="n"/>
      <c r="AN9" s="26" t="inlineStr">
        <is>
          <t>103-3 Kanatlı Eti ve Kanatlı Et Ürünlerinin İşlenmesi ve Pazarlanması</t>
        </is>
      </c>
      <c r="BA9" s="111" t="n">
        <v>0.75</v>
      </c>
      <c r="BB9" s="114" t="n"/>
    </row>
    <row r="10" ht="16.5" customHeight="1" s="321" thickBot="1">
      <c r="B10" s="785" t="n"/>
      <c r="C10" s="332" t="inlineStr">
        <is>
          <t>A3 - Genel Harcamalar (Hizmet Alımları)</t>
        </is>
      </c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4" t="n"/>
      <c r="M10" s="328" t="n">
        <v>0</v>
      </c>
      <c r="N10" s="783" t="n"/>
      <c r="O10" s="784" t="n"/>
      <c r="P10" s="328" t="n"/>
      <c r="Q10" s="783" t="n"/>
      <c r="R10" s="784" t="n"/>
      <c r="S10" s="329" t="n"/>
      <c r="T10" s="783" t="n"/>
      <c r="U10" s="784" t="n"/>
      <c r="V10" s="330">
        <f>SUM(M10:U10)</f>
        <v/>
      </c>
      <c r="W10" s="773" t="n"/>
      <c r="X10" s="774" t="n"/>
      <c r="AN10" s="26" t="inlineStr">
        <is>
          <t>103-4 Su Ürünlerinin İşlenmesi ve Pazarlanması</t>
        </is>
      </c>
      <c r="BA10" s="114" t="n"/>
      <c r="BB10" s="26" t="n"/>
    </row>
    <row r="11" ht="18" customHeight="1" s="321" thickBot="1">
      <c r="B11" s="785" t="n"/>
      <c r="C11" s="332" t="inlineStr">
        <is>
          <t>A4 - Görünürlük Harcamaları</t>
        </is>
      </c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4" t="n"/>
      <c r="M11" s="328" t="n">
        <v>0</v>
      </c>
      <c r="N11" s="783" t="n"/>
      <c r="O11" s="784" t="n"/>
      <c r="P11" s="328" t="n"/>
      <c r="Q11" s="783" t="n"/>
      <c r="R11" s="784" t="n"/>
      <c r="S11" s="329" t="n"/>
      <c r="T11" s="783" t="n"/>
      <c r="U11" s="784" t="n"/>
      <c r="V11" s="330">
        <f>SUM(M11:U11)</f>
        <v/>
      </c>
      <c r="W11" s="773" t="n"/>
      <c r="X11" s="774" t="n"/>
      <c r="AB11" s="769" t="inlineStr">
        <is>
          <t>İSKONTO ORANI</t>
        </is>
      </c>
      <c r="AC11" s="767" t="n"/>
      <c r="AD11" s="767" t="n"/>
      <c r="AE11" s="767" t="n"/>
      <c r="AF11" s="768" t="n"/>
      <c r="AN11" s="26" t="inlineStr">
        <is>
          <t>103-5 Meyve ve Sebze Ürünlerinin İşlenmesi ve Pazarlanması</t>
        </is>
      </c>
      <c r="AW11" s="112" t="inlineStr">
        <is>
          <t>İş Planı Tedbirini Seçiniz</t>
        </is>
      </c>
      <c r="BA11" s="114" t="n"/>
      <c r="BB11" s="26" t="n"/>
    </row>
    <row r="12" ht="18" customHeight="1" s="321">
      <c r="B12" s="785" t="n"/>
      <c r="C12" s="371" t="inlineStr">
        <is>
          <t xml:space="preserve">B- UYGUN OLMAYAN HARCAMALAR </t>
        </is>
      </c>
      <c r="D12" s="773" t="n"/>
      <c r="E12" s="773" t="n"/>
      <c r="F12" s="773" t="n"/>
      <c r="G12" s="773" t="n"/>
      <c r="H12" s="773" t="n"/>
      <c r="I12" s="773" t="n"/>
      <c r="J12" s="773" t="n"/>
      <c r="K12" s="773" t="n"/>
      <c r="L12" s="774" t="n"/>
      <c r="M12" s="353">
        <f>ROUNDUP(SUM(M13:O19),2)</f>
        <v/>
      </c>
      <c r="N12" s="773" t="n"/>
      <c r="O12" s="774" t="n"/>
      <c r="P12" s="353">
        <f>ROUNDUP(SUM(P13:R19),2)</f>
        <v/>
      </c>
      <c r="Q12" s="773" t="n"/>
      <c r="R12" s="774" t="n"/>
      <c r="S12" s="353">
        <f>ROUNDUP(SUM(S13:U19),2)</f>
        <v/>
      </c>
      <c r="T12" s="773" t="n"/>
      <c r="U12" s="774" t="n"/>
      <c r="V12" s="354">
        <f>SUM(M12:U12)</f>
        <v/>
      </c>
      <c r="W12" s="773" t="n"/>
      <c r="X12" s="774" t="n"/>
      <c r="Y12" s="20" t="n"/>
      <c r="AB12" s="791" t="inlineStr">
        <is>
          <t>Değerlendirmede Kullanılacak İskonto Oranı</t>
        </is>
      </c>
      <c r="AC12" s="318" t="n"/>
      <c r="AD12" s="319" t="n"/>
      <c r="AE12" s="792" t="n">
        <v>0.01575</v>
      </c>
      <c r="AF12" s="793" t="n"/>
      <c r="AN12" s="26" t="inlineStr">
        <is>
          <t>103-6 Yumurtanın İşlenmesi ve Pazarlanması</t>
        </is>
      </c>
      <c r="BA12" s="114" t="n"/>
      <c r="BB12" s="26" t="n"/>
    </row>
    <row r="13" ht="18" customHeight="1" s="321">
      <c r="B13" s="785" t="n"/>
      <c r="C13" s="332" t="inlineStr">
        <is>
          <t>B1 - Yapım İşleri</t>
        </is>
      </c>
      <c r="D13" s="773" t="n"/>
      <c r="E13" s="773" t="n"/>
      <c r="F13" s="773" t="n"/>
      <c r="G13" s="773" t="n"/>
      <c r="H13" s="773" t="n"/>
      <c r="I13" s="773" t="n"/>
      <c r="J13" s="773" t="n"/>
      <c r="K13" s="773" t="n"/>
      <c r="L13" s="774" t="n"/>
      <c r="M13" s="328" t="n">
        <v>5845091.09</v>
      </c>
      <c r="N13" s="783" t="n"/>
      <c r="O13" s="784" t="n"/>
      <c r="P13" s="328" t="n"/>
      <c r="Q13" s="783" t="n"/>
      <c r="R13" s="784" t="n"/>
      <c r="S13" s="329" t="n"/>
      <c r="T13" s="783" t="n"/>
      <c r="U13" s="784" t="n"/>
      <c r="V13" s="330">
        <f>SUM(M13:U13)</f>
        <v/>
      </c>
      <c r="W13" s="773" t="n"/>
      <c r="X13" s="774" t="n"/>
      <c r="Y13" s="24" t="n"/>
      <c r="AB13" s="320" t="n"/>
      <c r="AD13" s="322" t="n"/>
      <c r="AE13" s="794" t="n"/>
      <c r="AF13" s="795" t="n"/>
      <c r="AN13" s="26" t="inlineStr">
        <is>
          <t>Sektör Seçiniz</t>
        </is>
      </c>
      <c r="BA13" s="26" t="n"/>
      <c r="BB13" s="26" t="n"/>
    </row>
    <row r="14" ht="18" customHeight="1" s="321" thickBot="1">
      <c r="B14" s="785" t="n"/>
      <c r="C14" s="332" t="inlineStr">
        <is>
          <t>B2 - Makine ve Ekipman Alımları</t>
        </is>
      </c>
      <c r="D14" s="773" t="n"/>
      <c r="E14" s="773" t="n"/>
      <c r="F14" s="773" t="n"/>
      <c r="G14" s="773" t="n"/>
      <c r="H14" s="773" t="n"/>
      <c r="I14" s="773" t="n"/>
      <c r="J14" s="773" t="n"/>
      <c r="K14" s="773" t="n"/>
      <c r="L14" s="774" t="n"/>
      <c r="M14" s="328" t="n">
        <v>3595847.21</v>
      </c>
      <c r="N14" s="783" t="n"/>
      <c r="O14" s="784" t="n"/>
      <c r="P14" s="328" t="n"/>
      <c r="Q14" s="783" t="n"/>
      <c r="R14" s="784" t="n"/>
      <c r="S14" s="329" t="n"/>
      <c r="T14" s="783" t="n"/>
      <c r="U14" s="784" t="n"/>
      <c r="V14" s="330">
        <f>SUM(M14:U14)</f>
        <v/>
      </c>
      <c r="W14" s="773" t="n"/>
      <c r="X14" s="774" t="n"/>
      <c r="Y14" s="22" t="n"/>
      <c r="AB14" s="323" t="n"/>
      <c r="AC14" s="324" t="n"/>
      <c r="AD14" s="325" t="n"/>
      <c r="AE14" s="796" t="n"/>
      <c r="AF14" s="797" t="n"/>
      <c r="AN14" s="26" t="inlineStr">
        <is>
          <t>302-1 Bitkisel Üretimin Çeşitlendirilmesi, İşlenmesi ve Paketlenmesi</t>
        </is>
      </c>
      <c r="BA14" s="26" t="n"/>
      <c r="BB14" s="26" t="n"/>
    </row>
    <row r="15" ht="18" customHeight="1" s="321" thickBot="1">
      <c r="B15" s="785" t="n"/>
      <c r="C15" s="332" t="inlineStr">
        <is>
          <t>B3 - Diğer Harcamalar</t>
        </is>
      </c>
      <c r="D15" s="773" t="n"/>
      <c r="E15" s="773" t="n"/>
      <c r="F15" s="773" t="n"/>
      <c r="G15" s="773" t="n"/>
      <c r="H15" s="773" t="n"/>
      <c r="I15" s="773" t="n"/>
      <c r="J15" s="773" t="n"/>
      <c r="K15" s="773" t="n"/>
      <c r="L15" s="774" t="n"/>
      <c r="M15" s="328" t="n">
        <v>1000</v>
      </c>
      <c r="N15" s="783" t="n"/>
      <c r="O15" s="784" t="n"/>
      <c r="P15" s="328" t="n"/>
      <c r="Q15" s="783" t="n"/>
      <c r="R15" s="784" t="n"/>
      <c r="S15" s="329" t="n"/>
      <c r="T15" s="783" t="n"/>
      <c r="U15" s="784" t="n"/>
      <c r="V15" s="330">
        <f>SUM(M15:U15)</f>
        <v/>
      </c>
      <c r="W15" s="773" t="n"/>
      <c r="X15" s="774" t="n"/>
      <c r="Y15" s="22" t="n"/>
      <c r="AN15" s="26" t="inlineStr">
        <is>
          <t>302-2 Arıcılık ve Arı Ürünlerinin Üretimi, İşlenmesi ve Paketlenmesi</t>
        </is>
      </c>
    </row>
    <row r="16" ht="18" customHeight="1" s="321" thickBot="1">
      <c r="B16" s="785" t="n"/>
      <c r="C16" s="332" t="inlineStr">
        <is>
          <t>B4 - Genel Harcamalar (Hizmet Alımları)</t>
        </is>
      </c>
      <c r="D16" s="773" t="n"/>
      <c r="E16" s="773" t="n"/>
      <c r="F16" s="773" t="n"/>
      <c r="G16" s="773" t="n"/>
      <c r="H16" s="773" t="n"/>
      <c r="I16" s="773" t="n"/>
      <c r="J16" s="773" t="n"/>
      <c r="K16" s="773" t="n"/>
      <c r="L16" s="774" t="n"/>
      <c r="M16" s="328" t="n">
        <v>0</v>
      </c>
      <c r="N16" s="783" t="n"/>
      <c r="O16" s="784" t="n"/>
      <c r="P16" s="328" t="n"/>
      <c r="Q16" s="783" t="n"/>
      <c r="R16" s="784" t="n"/>
      <c r="S16" s="329" t="n"/>
      <c r="T16" s="783" t="n"/>
      <c r="U16" s="784" t="n"/>
      <c r="V16" s="330">
        <f>SUM(M16:U16)</f>
        <v/>
      </c>
      <c r="W16" s="773" t="n"/>
      <c r="X16" s="774" t="n"/>
      <c r="Y16" s="22" t="n"/>
      <c r="AB16" s="769" t="inlineStr">
        <is>
          <t>VERGİ ORANI</t>
        </is>
      </c>
      <c r="AC16" s="767" t="n"/>
      <c r="AD16" s="767" t="n"/>
      <c r="AE16" s="767" t="n"/>
      <c r="AF16" s="768" t="n"/>
      <c r="AN16" s="26" t="inlineStr">
        <is>
          <t>302-3 Zanaatkarlık ve Katma Değerli Ürün İşletmeleri</t>
        </is>
      </c>
    </row>
    <row r="17" ht="18" customHeight="1" s="321">
      <c r="B17" s="785" t="n"/>
      <c r="C17" s="332" t="inlineStr">
        <is>
          <t xml:space="preserve">B5 - İşletme Sermayesi Değişimi </t>
        </is>
      </c>
      <c r="D17" s="773" t="n"/>
      <c r="E17" s="773" t="n"/>
      <c r="F17" s="773" t="n"/>
      <c r="G17" s="773" t="n"/>
      <c r="H17" s="773" t="n"/>
      <c r="I17" s="773" t="n"/>
      <c r="J17" s="773" t="n"/>
      <c r="K17" s="773" t="n"/>
      <c r="L17" s="774" t="n"/>
      <c r="M17" s="484">
        <f>IF(taksit_sayisi=1,IsletmeSer!K72,0)</f>
        <v/>
      </c>
      <c r="N17" s="773" t="n"/>
      <c r="O17" s="774" t="n"/>
      <c r="P17" s="484">
        <f>IF(taksit_sayisi=2,IsletmeSer!K72,0)</f>
        <v/>
      </c>
      <c r="Q17" s="773" t="n"/>
      <c r="R17" s="774" t="n"/>
      <c r="S17" s="485" t="n"/>
      <c r="T17" s="773" t="n"/>
      <c r="U17" s="774" t="n"/>
      <c r="V17" s="330">
        <f>SUM(M17:U17)</f>
        <v/>
      </c>
      <c r="W17" s="773" t="n"/>
      <c r="X17" s="774" t="n"/>
      <c r="Y17" s="22" t="n"/>
      <c r="AB17" s="791" t="inlineStr">
        <is>
          <t>Kurumlar Vergisi / Gelir Vergisi Oranı</t>
        </is>
      </c>
      <c r="AC17" s="318" t="n"/>
      <c r="AD17" s="319" t="n"/>
      <c r="AE17" s="798" t="n">
        <v>0</v>
      </c>
      <c r="AF17" s="799" t="n"/>
      <c r="AN17" s="26" t="inlineStr">
        <is>
          <t>302-4 Kırsal Turizm ve Rekreasyon Faaliyetleri</t>
        </is>
      </c>
    </row>
    <row r="18" ht="18" customHeight="1" s="321">
      <c r="B18" s="785" t="n"/>
      <c r="C18" s="332" t="inlineStr">
        <is>
          <t>B6 - Yatırım Dönemi Finansman Giderleri</t>
        </is>
      </c>
      <c r="D18" s="773" t="n"/>
      <c r="E18" s="773" t="n"/>
      <c r="F18" s="773" t="n"/>
      <c r="G18" s="773" t="n"/>
      <c r="H18" s="773" t="n"/>
      <c r="I18" s="773" t="n"/>
      <c r="J18" s="773" t="n"/>
      <c r="K18" s="773" t="n"/>
      <c r="L18" s="774" t="n"/>
      <c r="M18" s="328" t="n">
        <v>0</v>
      </c>
      <c r="N18" s="783" t="n"/>
      <c r="O18" s="784" t="n"/>
      <c r="P18" s="328" t="n"/>
      <c r="Q18" s="783" t="n"/>
      <c r="R18" s="784" t="n"/>
      <c r="S18" s="329" t="n"/>
      <c r="T18" s="783" t="n"/>
      <c r="U18" s="784" t="n"/>
      <c r="V18" s="330">
        <f>SUM(M18:U18)</f>
        <v/>
      </c>
      <c r="W18" s="773" t="n"/>
      <c r="X18" s="774" t="n"/>
      <c r="Y18" s="26" t="n"/>
      <c r="AB18" s="320" t="n"/>
      <c r="AD18" s="322" t="n"/>
      <c r="AE18" s="83" t="n"/>
      <c r="AF18" s="800" t="n"/>
      <c r="AN18" s="26" t="inlineStr">
        <is>
          <t>302-5 Su Ürünleri Yetiştiriciliği</t>
        </is>
      </c>
    </row>
    <row r="19" ht="18" customHeight="1" s="321" thickBot="1">
      <c r="B19" s="785" t="n"/>
      <c r="C19" s="332" t="inlineStr">
        <is>
          <t>B7 - Yatırım Dönemi KDV Ödemeleri</t>
        </is>
      </c>
      <c r="D19" s="773" t="n"/>
      <c r="E19" s="773" t="n"/>
      <c r="F19" s="773" t="n"/>
      <c r="G19" s="773" t="n"/>
      <c r="H19" s="773" t="n"/>
      <c r="I19" s="773" t="n"/>
      <c r="J19" s="773" t="n"/>
      <c r="K19" s="773" t="n"/>
      <c r="L19" s="774" t="n"/>
      <c r="M19" s="328" t="n">
        <v>5032226.16</v>
      </c>
      <c r="N19" s="783" t="n"/>
      <c r="O19" s="784" t="n"/>
      <c r="P19" s="328" t="n"/>
      <c r="Q19" s="783" t="n"/>
      <c r="R19" s="784" t="n"/>
      <c r="S19" s="329" t="n"/>
      <c r="T19" s="783" t="n"/>
      <c r="U19" s="784" t="n"/>
      <c r="V19" s="330">
        <f>SUM(M19:U19)</f>
        <v/>
      </c>
      <c r="W19" s="773" t="n"/>
      <c r="X19" s="774" t="n"/>
      <c r="AB19" s="323" t="n"/>
      <c r="AC19" s="324" t="n"/>
      <c r="AD19" s="325" t="n"/>
      <c r="AE19" s="801" t="n"/>
      <c r="AF19" s="802" t="n"/>
      <c r="AN19" s="26" t="inlineStr">
        <is>
          <t>302-6 Makine Parkları</t>
        </is>
      </c>
    </row>
    <row r="20" ht="18" customHeight="1" s="321" thickBot="1">
      <c r="B20" s="803" t="n"/>
      <c r="C20" s="497" t="inlineStr">
        <is>
          <t>C- TOPLAM YATIRIM TUTARI (A+B)</t>
        </is>
      </c>
      <c r="D20" s="804" t="n"/>
      <c r="E20" s="804" t="n"/>
      <c r="F20" s="804" t="n"/>
      <c r="G20" s="804" t="n"/>
      <c r="H20" s="804" t="n"/>
      <c r="I20" s="804" t="n"/>
      <c r="J20" s="804" t="n"/>
      <c r="K20" s="804" t="n"/>
      <c r="L20" s="805" t="n"/>
      <c r="M20" s="498">
        <f>M7+M12</f>
        <v/>
      </c>
      <c r="N20" s="804" t="n"/>
      <c r="O20" s="805" t="n"/>
      <c r="P20" s="499">
        <f>P7+P12</f>
        <v/>
      </c>
      <c r="Q20" s="804" t="n"/>
      <c r="R20" s="805" t="n"/>
      <c r="S20" s="500">
        <f>S7+S12</f>
        <v/>
      </c>
      <c r="T20" s="804" t="n"/>
      <c r="U20" s="805" t="n"/>
      <c r="V20" s="500">
        <f>V7+V12</f>
        <v/>
      </c>
      <c r="W20" s="804" t="n"/>
      <c r="X20" s="805" t="n"/>
      <c r="AN20" s="26" t="inlineStr">
        <is>
          <t>302-7 Yenilenebilir Enerji Yatırımları</t>
        </is>
      </c>
    </row>
    <row r="21" ht="18" customHeight="1" s="321">
      <c r="B21" s="486" t="inlineStr">
        <is>
          <t>FİNANSMAN KAYNAKLARI</t>
        </is>
      </c>
      <c r="C21" s="489" t="inlineStr">
        <is>
          <t>D- ÖZKAYNAK</t>
        </is>
      </c>
      <c r="D21" s="780" t="n"/>
      <c r="E21" s="780" t="n"/>
      <c r="F21" s="780" t="n"/>
      <c r="G21" s="780" t="n"/>
      <c r="H21" s="780" t="n"/>
      <c r="I21" s="780" t="n"/>
      <c r="J21" s="780" t="n"/>
      <c r="K21" s="780" t="n"/>
      <c r="L21" s="781" t="n"/>
      <c r="M21" s="490" t="n">
        <v>30764489.41</v>
      </c>
      <c r="N21" s="806" t="n"/>
      <c r="O21" s="807" t="n"/>
      <c r="P21" s="490" t="n"/>
      <c r="Q21" s="806" t="n"/>
      <c r="R21" s="807" t="n"/>
      <c r="S21" s="491" t="n"/>
      <c r="T21" s="806" t="n"/>
      <c r="U21" s="807" t="n"/>
      <c r="V21" s="492">
        <f>SUM(M21:U21)</f>
        <v/>
      </c>
      <c r="W21" s="780" t="n"/>
      <c r="X21" s="781" t="n"/>
    </row>
    <row r="22" ht="18" customHeight="1" s="321">
      <c r="B22" s="785" t="n"/>
      <c r="C22" s="483" t="inlineStr">
        <is>
          <t>E- BANKA KREDİSİ</t>
        </is>
      </c>
      <c r="D22" s="773" t="n"/>
      <c r="E22" s="773" t="n"/>
      <c r="F22" s="773" t="n"/>
      <c r="G22" s="773" t="n"/>
      <c r="H22" s="773" t="n"/>
      <c r="I22" s="773" t="n"/>
      <c r="J22" s="773" t="n"/>
      <c r="K22" s="773" t="n"/>
      <c r="L22" s="774" t="n"/>
      <c r="M22" s="328" t="n">
        <v>0</v>
      </c>
      <c r="N22" s="783" t="n"/>
      <c r="O22" s="784" t="n"/>
      <c r="P22" s="328" t="n"/>
      <c r="Q22" s="783" t="n"/>
      <c r="R22" s="784" t="n"/>
      <c r="S22" s="329" t="n"/>
      <c r="T22" s="783" t="n"/>
      <c r="U22" s="784" t="n"/>
      <c r="V22" s="330">
        <f>SUM(M22:U22)</f>
        <v/>
      </c>
      <c r="W22" s="773" t="n"/>
      <c r="X22" s="774" t="n"/>
      <c r="AB22" s="108" t="n"/>
      <c r="AC22" s="108" t="n"/>
      <c r="AD22" s="108" t="n"/>
      <c r="AE22" s="108" t="n"/>
      <c r="AF22" s="108" t="n"/>
      <c r="AG22" s="108" t="n"/>
      <c r="AN22" s="117" t="n"/>
    </row>
    <row r="23" ht="18" customHeight="1" s="321">
      <c r="B23" s="785" t="n"/>
      <c r="C23" s="483" t="inlineStr">
        <is>
          <t>F- IPARD DESTEK TUTARI</t>
        </is>
      </c>
      <c r="D23" s="773" t="n"/>
      <c r="E23" s="773" t="n"/>
      <c r="F23" s="773" t="n"/>
      <c r="G23" s="773" t="n"/>
      <c r="H23" s="773" t="n"/>
      <c r="I23" s="773" t="n"/>
      <c r="J23" s="773" t="n"/>
      <c r="K23" s="773" t="n"/>
      <c r="L23" s="774" t="n"/>
      <c r="M23" s="360" t="n">
        <v>0</v>
      </c>
      <c r="N23" s="773" t="n"/>
      <c r="O23" s="774" t="n"/>
      <c r="P23" s="484">
        <f>P24</f>
        <v/>
      </c>
      <c r="Q23" s="773" t="n"/>
      <c r="R23" s="774" t="n"/>
      <c r="S23" s="485">
        <f>S24+S25</f>
        <v/>
      </c>
      <c r="T23" s="773" t="n"/>
      <c r="U23" s="774" t="n"/>
      <c r="V23" s="330">
        <f>SUM(M23:U23)</f>
        <v/>
      </c>
      <c r="W23" s="773" t="n"/>
      <c r="X23" s="774" t="n"/>
      <c r="AB23" s="108" t="n"/>
      <c r="AC23" s="108" t="n"/>
      <c r="AD23" s="108" t="n"/>
      <c r="AE23" s="108" t="n"/>
      <c r="AF23" s="108" t="n"/>
      <c r="AG23" s="108" t="n"/>
      <c r="AN23" s="117" t="n"/>
    </row>
    <row r="24" ht="18" customHeight="1" s="321">
      <c r="B24" s="785" t="n"/>
      <c r="C24" s="332" t="inlineStr">
        <is>
          <t>F1 - 1.Taksit</t>
        </is>
      </c>
      <c r="D24" s="773" t="n"/>
      <c r="E24" s="773" t="n"/>
      <c r="F24" s="773" t="n"/>
      <c r="G24" s="773" t="n"/>
      <c r="H24" s="773" t="n"/>
      <c r="I24" s="773" t="n"/>
      <c r="J24" s="773" t="n"/>
      <c r="K24" s="773" t="n"/>
      <c r="L24" s="774" t="n"/>
      <c r="M24" s="360" t="n"/>
      <c r="N24" s="773" t="n"/>
      <c r="O24" s="774" t="n"/>
      <c r="P24" s="328">
        <f>IF(taksit_sayisi&gt;1,AE7,0)</f>
        <v/>
      </c>
      <c r="Q24" s="783" t="n"/>
      <c r="R24" s="784" t="n"/>
      <c r="S24" s="329" t="n"/>
      <c r="T24" s="783" t="n"/>
      <c r="U24" s="784" t="n"/>
      <c r="V24" s="481">
        <f>SUM(M24:U24)</f>
        <v/>
      </c>
      <c r="W24" s="773" t="n"/>
      <c r="X24" s="774" t="n"/>
      <c r="AB24" s="109" t="n"/>
      <c r="AC24" s="109" t="n"/>
      <c r="AD24" s="109" t="n"/>
      <c r="AE24" s="109" t="n"/>
      <c r="AF24" s="109" t="n"/>
      <c r="AG24" s="109" t="n"/>
    </row>
    <row r="25" ht="18" customHeight="1" s="321">
      <c r="B25" s="785" t="n"/>
      <c r="C25" s="332" t="inlineStr">
        <is>
          <t>F2 - 2.Taksit</t>
        </is>
      </c>
      <c r="D25" s="773" t="n"/>
      <c r="E25" s="773" t="n"/>
      <c r="F25" s="773" t="n"/>
      <c r="G25" s="773" t="n"/>
      <c r="H25" s="773" t="n"/>
      <c r="I25" s="773" t="n"/>
      <c r="J25" s="773" t="n"/>
      <c r="K25" s="773" t="n"/>
      <c r="L25" s="774" t="n"/>
      <c r="M25" s="360" t="n"/>
      <c r="N25" s="773" t="n"/>
      <c r="O25" s="774" t="n"/>
      <c r="P25" s="360" t="n"/>
      <c r="Q25" s="773" t="n"/>
      <c r="R25" s="774" t="n"/>
      <c r="S25" s="329">
        <f>IF(taksit_sayisi&gt;2,AE8,0)</f>
        <v/>
      </c>
      <c r="T25" s="783" t="n"/>
      <c r="U25" s="784" t="n"/>
      <c r="V25" s="481">
        <f>SUM(M25:U25)</f>
        <v/>
      </c>
      <c r="W25" s="773" t="n"/>
      <c r="X25" s="774" t="n"/>
      <c r="AB25" s="109" t="n"/>
      <c r="AC25" s="109" t="n"/>
      <c r="AD25" s="109" t="n"/>
      <c r="AE25" s="109" t="n"/>
      <c r="AF25" s="109" t="n"/>
      <c r="AG25" s="109" t="n"/>
    </row>
    <row r="26" ht="18" customHeight="1" s="321">
      <c r="B26" s="785" t="n"/>
      <c r="C26" s="483" t="inlineStr">
        <is>
          <t>G- DİĞER KAYNAKLAR</t>
        </is>
      </c>
      <c r="D26" s="773" t="n"/>
      <c r="E26" s="773" t="n"/>
      <c r="F26" s="773" t="n"/>
      <c r="G26" s="773" t="n"/>
      <c r="H26" s="773" t="n"/>
      <c r="I26" s="773" t="n"/>
      <c r="J26" s="773" t="n"/>
      <c r="K26" s="773" t="n"/>
      <c r="L26" s="774" t="n"/>
      <c r="M26" s="328" t="n">
        <v>0</v>
      </c>
      <c r="N26" s="783" t="n"/>
      <c r="O26" s="784" t="n"/>
      <c r="P26" s="328" t="n"/>
      <c r="Q26" s="783" t="n"/>
      <c r="R26" s="784" t="n"/>
      <c r="S26" s="329" t="n"/>
      <c r="T26" s="783" t="n"/>
      <c r="U26" s="784" t="n"/>
      <c r="V26" s="330">
        <f>SUM(M26:U26)</f>
        <v/>
      </c>
      <c r="W26" s="773" t="n"/>
      <c r="X26" s="774" t="n"/>
    </row>
    <row r="27" ht="18" customHeight="1" s="321" thickBot="1">
      <c r="B27" s="803" t="n"/>
      <c r="C27" s="496" t="inlineStr">
        <is>
          <t>H- FİNANSMAN KAYNAKLARI TOPLAMI (D+E+F+G)</t>
        </is>
      </c>
      <c r="D27" s="787" t="n"/>
      <c r="E27" s="787" t="n"/>
      <c r="F27" s="787" t="n"/>
      <c r="G27" s="787" t="n"/>
      <c r="H27" s="787" t="n"/>
      <c r="I27" s="787" t="n"/>
      <c r="J27" s="787" t="n"/>
      <c r="K27" s="787" t="n"/>
      <c r="L27" s="788" t="n"/>
      <c r="M27" s="356">
        <f>ROUNDUP(M21+M22+M26,2)</f>
        <v/>
      </c>
      <c r="N27" s="787" t="n"/>
      <c r="O27" s="788" t="n"/>
      <c r="P27" s="357">
        <f>ROUNDUP(P21+P22+P23+P26,2)</f>
        <v/>
      </c>
      <c r="Q27" s="787" t="n"/>
      <c r="R27" s="788" t="n"/>
      <c r="S27" s="358">
        <f>ROUNDUP(S21+S22+S23+S26,2)</f>
        <v/>
      </c>
      <c r="T27" s="787" t="n"/>
      <c r="U27" s="788" t="n"/>
      <c r="V27" s="358">
        <f>SUM(M27:U27)</f>
        <v/>
      </c>
      <c r="W27" s="787" t="n"/>
      <c r="X27" s="788" t="n"/>
    </row>
    <row r="28" ht="16.5" customHeight="1" s="321" thickBot="1"/>
    <row r="29" ht="19.5" customHeight="1" s="321">
      <c r="B29" s="808" t="inlineStr">
        <is>
          <t>EK %10 DESTEK HARCAMALARI</t>
        </is>
      </c>
      <c r="C29" s="780" t="n"/>
      <c r="D29" s="780" t="n"/>
      <c r="E29" s="780" t="n"/>
      <c r="F29" s="780" t="n"/>
      <c r="G29" s="780" t="n"/>
      <c r="H29" s="781" t="n"/>
      <c r="I29" s="508" t="inlineStr">
        <is>
          <t>Harcama Alanı</t>
        </is>
      </c>
      <c r="J29" s="780" t="n"/>
      <c r="K29" s="780" t="n"/>
      <c r="L29" s="781" t="n"/>
      <c r="M29" s="508" t="inlineStr">
        <is>
          <t>1. Taksit</t>
        </is>
      </c>
      <c r="N29" s="780" t="n"/>
      <c r="O29" s="781" t="n"/>
      <c r="P29" s="508" t="inlineStr">
        <is>
          <t>2. Taksit</t>
        </is>
      </c>
      <c r="Q29" s="780" t="n"/>
      <c r="R29" s="781" t="n"/>
      <c r="S29" s="508" t="inlineStr">
        <is>
          <t>3. Taksit</t>
        </is>
      </c>
      <c r="T29" s="780" t="n"/>
      <c r="U29" s="781" t="n"/>
      <c r="V29" s="509" t="inlineStr">
        <is>
          <t>Toplam  (TL)</t>
        </is>
      </c>
      <c r="W29" s="780" t="n"/>
      <c r="X29" s="781" t="n"/>
    </row>
    <row r="30" ht="18.75" customHeight="1" s="321">
      <c r="B30" s="809" t="inlineStr">
        <is>
          <t>Atık Su Arıtma, Döngüsel Ekonomi ve Yenilenebilir Enerji Yatırımları</t>
        </is>
      </c>
      <c r="H30" s="322" t="n"/>
      <c r="I30" s="518" t="inlineStr">
        <is>
          <t>Yapım İşleri :</t>
        </is>
      </c>
      <c r="J30" s="773" t="n"/>
      <c r="K30" s="773" t="n"/>
      <c r="L30" s="774" t="n"/>
      <c r="M30" s="328" t="n">
        <v>0</v>
      </c>
      <c r="N30" s="783" t="n"/>
      <c r="O30" s="784" t="n"/>
      <c r="P30" s="328" t="n"/>
      <c r="Q30" s="783" t="n"/>
      <c r="R30" s="784" t="n"/>
      <c r="S30" s="329" t="n"/>
      <c r="T30" s="783" t="n"/>
      <c r="U30" s="784" t="n"/>
      <c r="V30" s="330">
        <f>+M30+P30+S30</f>
        <v/>
      </c>
      <c r="W30" s="773" t="n"/>
      <c r="X30" s="774" t="n"/>
    </row>
    <row r="31" ht="18.75" customHeight="1" s="321">
      <c r="B31" s="320" t="n"/>
      <c r="H31" s="322" t="n"/>
      <c r="I31" s="518" t="inlineStr">
        <is>
          <t>Makine ve Ekipman :</t>
        </is>
      </c>
      <c r="J31" s="773" t="n"/>
      <c r="K31" s="773" t="n"/>
      <c r="L31" s="774" t="n"/>
      <c r="M31" s="328" t="n">
        <v>0</v>
      </c>
      <c r="N31" s="783" t="n"/>
      <c r="O31" s="784" t="n"/>
      <c r="P31" s="328" t="n"/>
      <c r="Q31" s="783" t="n"/>
      <c r="R31" s="784" t="n"/>
      <c r="S31" s="329" t="n"/>
      <c r="T31" s="783" t="n"/>
      <c r="U31" s="784" t="n"/>
      <c r="V31" s="330">
        <f>+M31+P31+S31</f>
        <v/>
      </c>
      <c r="W31" s="773" t="n"/>
      <c r="X31" s="774" t="n"/>
    </row>
    <row r="32" ht="18.75" customHeight="1" s="321" thickBot="1">
      <c r="B32" s="323" t="n"/>
      <c r="C32" s="324" t="n"/>
      <c r="D32" s="324" t="n"/>
      <c r="E32" s="324" t="n"/>
      <c r="F32" s="324" t="n"/>
      <c r="G32" s="324" t="n"/>
      <c r="H32" s="325" t="n"/>
      <c r="I32" s="519" t="inlineStr">
        <is>
          <t>Toplam :</t>
        </is>
      </c>
      <c r="J32" s="787" t="n"/>
      <c r="K32" s="787" t="n"/>
      <c r="L32" s="788" t="n"/>
      <c r="M32" s="520">
        <f>+M30+M31</f>
        <v/>
      </c>
      <c r="N32" s="787" t="n"/>
      <c r="O32" s="788" t="n"/>
      <c r="P32" s="520">
        <f>+P30+P31</f>
        <v/>
      </c>
      <c r="Q32" s="787" t="n"/>
      <c r="R32" s="788" t="n"/>
      <c r="S32" s="520">
        <f>+S30+S31</f>
        <v/>
      </c>
      <c r="T32" s="787" t="n"/>
      <c r="U32" s="788" t="n"/>
      <c r="V32" s="521">
        <f>+V30+V31</f>
        <v/>
      </c>
      <c r="W32" s="787" t="n"/>
      <c r="X32" s="788" t="n"/>
    </row>
    <row r="33" ht="22.5" customHeight="1" s="321" thickBot="1"/>
    <row r="34" ht="16.15" customHeight="1" s="321" thickBot="1">
      <c r="A34" s="24" t="n">
        <v>1</v>
      </c>
      <c r="B34" s="769" t="inlineStr">
        <is>
          <t>ÜRETİM VE SATIŞ BİLGİLERİ</t>
        </is>
      </c>
      <c r="C34" s="767" t="n"/>
      <c r="D34" s="767" t="n"/>
      <c r="E34" s="767" t="n"/>
      <c r="F34" s="767" t="n"/>
      <c r="G34" s="767" t="n"/>
      <c r="H34" s="767" t="n"/>
      <c r="I34" s="767" t="n"/>
      <c r="J34" s="767" t="n"/>
      <c r="K34" s="767" t="n"/>
      <c r="L34" s="767" t="n"/>
      <c r="M34" s="767" t="n"/>
      <c r="N34" s="767" t="n"/>
      <c r="O34" s="767" t="n"/>
      <c r="P34" s="767" t="n"/>
      <c r="Q34" s="767" t="n"/>
      <c r="R34" s="767" t="n"/>
      <c r="S34" s="767" t="n"/>
      <c r="T34" s="767" t="n"/>
      <c r="U34" s="767" t="n"/>
      <c r="V34" s="767" t="n"/>
      <c r="W34" s="767" t="n"/>
      <c r="X34" s="767" t="n"/>
      <c r="Y34" s="767" t="n"/>
      <c r="Z34" s="767" t="n"/>
      <c r="AA34" s="767" t="n"/>
      <c r="AB34" s="767" t="n"/>
      <c r="AC34" s="767" t="n"/>
      <c r="AD34" s="768" t="n"/>
      <c r="AE34" s="18" t="n"/>
      <c r="AF34" s="810" t="n"/>
      <c r="AG34" s="793" t="n"/>
    </row>
    <row r="35" ht="40.5" customHeight="1" s="321" thickBot="1">
      <c r="B35" s="811" t="n"/>
      <c r="C35" s="318" t="n"/>
      <c r="D35" s="318" t="n"/>
      <c r="E35" s="318" t="n"/>
      <c r="F35" s="319" t="n"/>
      <c r="G35" s="368" t="inlineStr">
        <is>
          <t>Birim (Ton, Kg, Lt, vb.)</t>
        </is>
      </c>
      <c r="H35" s="319" t="n"/>
      <c r="I35" s="368" t="inlineStr">
        <is>
          <t>Mevcut Durum</t>
        </is>
      </c>
      <c r="J35" s="319" t="n"/>
      <c r="K35" s="812" t="inlineStr">
        <is>
          <t>1.Yıl</t>
        </is>
      </c>
      <c r="L35" s="813" t="n"/>
      <c r="M35" s="812" t="inlineStr">
        <is>
          <t>2.Yıl</t>
        </is>
      </c>
      <c r="N35" s="813" t="n"/>
      <c r="O35" s="812" t="inlineStr">
        <is>
          <t>3.Yıl</t>
        </is>
      </c>
      <c r="P35" s="813" t="n"/>
      <c r="Q35" s="812" t="inlineStr">
        <is>
          <t>4.Yıl</t>
        </is>
      </c>
      <c r="R35" s="813" t="n"/>
      <c r="S35" s="812" t="inlineStr">
        <is>
          <t>5.Yıl</t>
        </is>
      </c>
      <c r="T35" s="813" t="n"/>
      <c r="U35" s="368" t="inlineStr">
        <is>
          <t>6.Yıl</t>
        </is>
      </c>
      <c r="V35" s="319" t="n"/>
      <c r="W35" s="368" t="inlineStr">
        <is>
          <t>7.Yıl</t>
        </is>
      </c>
      <c r="X35" s="319" t="n"/>
      <c r="Y35" s="368" t="inlineStr">
        <is>
          <t>8.Yıl</t>
        </is>
      </c>
      <c r="Z35" s="319" t="n"/>
      <c r="AA35" s="368" t="inlineStr">
        <is>
          <t>9.Yıl</t>
        </is>
      </c>
      <c r="AB35" s="319" t="n"/>
      <c r="AC35" s="368" t="inlineStr">
        <is>
          <t>10.Yıl</t>
        </is>
      </c>
      <c r="AD35" s="319" t="n"/>
      <c r="AE35" s="18" t="n"/>
      <c r="AF35" s="323" t="n"/>
      <c r="AG35" s="797" t="n"/>
    </row>
    <row r="36" ht="14.25" customHeight="1" s="321" thickBot="1">
      <c r="A36" s="814" t="n">
        <v>1</v>
      </c>
      <c r="B36" s="293" t="inlineStr">
        <is>
          <t>Etlik piliç (canlı ağırlık)</t>
        </is>
      </c>
      <c r="C36" s="806" t="n"/>
      <c r="D36" s="806" t="n"/>
      <c r="E36" s="806" t="n"/>
      <c r="F36" s="807" t="n"/>
      <c r="G36" s="295" t="n"/>
      <c r="H36" s="815" t="n"/>
      <c r="I36" s="286" t="n"/>
      <c r="J36" s="815" t="n"/>
      <c r="K36" s="286" t="n"/>
      <c r="L36" s="815" t="n"/>
      <c r="M36" s="286" t="n"/>
      <c r="N36" s="815" t="n"/>
      <c r="O36" s="286" t="n"/>
      <c r="P36" s="815" t="n"/>
      <c r="Q36" s="286" t="n"/>
      <c r="R36" s="815" t="n"/>
      <c r="S36" s="286" t="n"/>
      <c r="T36" s="815" t="n"/>
      <c r="U36" s="286" t="n"/>
      <c r="V36" s="815" t="n"/>
      <c r="W36" s="286" t="n"/>
      <c r="X36" s="815" t="n"/>
      <c r="Y36" s="286" t="n"/>
      <c r="Z36" s="815" t="n"/>
      <c r="AA36" s="286" t="n"/>
      <c r="AB36" s="815" t="n"/>
      <c r="AC36" s="286" t="n"/>
      <c r="AD36" s="815" t="n"/>
      <c r="AE36" s="18" t="n"/>
    </row>
    <row r="37" ht="14.25" customHeight="1" s="321">
      <c r="A37" s="794" t="n"/>
      <c r="B37" s="207" t="inlineStr">
        <is>
          <t xml:space="preserve">Kurulu Kapasite </t>
        </is>
      </c>
      <c r="C37" s="773" t="n"/>
      <c r="D37" s="773" t="n"/>
      <c r="E37" s="773" t="n"/>
      <c r="F37" s="774" t="n"/>
      <c r="G37" s="267" t="inlineStr">
        <is>
          <t>kg/yıl</t>
        </is>
      </c>
      <c r="H37" s="784" t="n"/>
      <c r="I37" s="130" t="n"/>
      <c r="J37" s="784" t="n"/>
      <c r="K37" s="130" t="n">
        <v>523000</v>
      </c>
      <c r="L37" s="784" t="n"/>
      <c r="M37" s="130" t="n">
        <v>523000</v>
      </c>
      <c r="N37" s="784" t="n"/>
      <c r="O37" s="130" t="n">
        <v>523000</v>
      </c>
      <c r="P37" s="784" t="n"/>
      <c r="Q37" s="130" t="n">
        <v>523000</v>
      </c>
      <c r="R37" s="784" t="n"/>
      <c r="S37" s="130" t="n">
        <v>523000</v>
      </c>
      <c r="T37" s="784" t="n"/>
      <c r="U37" s="130" t="n">
        <v>523000</v>
      </c>
      <c r="V37" s="784" t="n"/>
      <c r="W37" s="130" t="n">
        <v>523000</v>
      </c>
      <c r="X37" s="784" t="n"/>
      <c r="Y37" s="130" t="n">
        <v>523000</v>
      </c>
      <c r="Z37" s="784" t="n"/>
      <c r="AA37" s="130" t="n">
        <v>523000</v>
      </c>
      <c r="AB37" s="784" t="n"/>
      <c r="AC37" s="145" t="n">
        <v>523000</v>
      </c>
      <c r="AD37" s="816" t="n"/>
      <c r="AE37" s="18" t="n"/>
      <c r="AF37" s="817" t="n"/>
      <c r="AG37" s="793" t="n"/>
    </row>
    <row r="38" ht="14.25" customHeight="1" s="321">
      <c r="A38" s="794" t="n"/>
      <c r="B38" s="207" t="inlineStr">
        <is>
          <t>Üretim Miktarı</t>
        </is>
      </c>
      <c r="C38" s="773" t="n"/>
      <c r="D38" s="773" t="n"/>
      <c r="E38" s="773" t="n"/>
      <c r="F38" s="774" t="n"/>
      <c r="G38" s="267" t="inlineStr">
        <is>
          <t>kg/yıl</t>
        </is>
      </c>
      <c r="H38" s="784" t="n"/>
      <c r="I38" s="130" t="n"/>
      <c r="J38" s="784" t="n"/>
      <c r="K38" s="130" t="n">
        <v>523000</v>
      </c>
      <c r="L38" s="784" t="n"/>
      <c r="M38" s="130" t="n">
        <v>523000</v>
      </c>
      <c r="N38" s="784" t="n"/>
      <c r="O38" s="130" t="n">
        <v>523000</v>
      </c>
      <c r="P38" s="784" t="n"/>
      <c r="Q38" s="130" t="n">
        <v>523000</v>
      </c>
      <c r="R38" s="784" t="n"/>
      <c r="S38" s="130" t="n">
        <v>523000</v>
      </c>
      <c r="T38" s="784" t="n"/>
      <c r="U38" s="130" t="n">
        <v>523000</v>
      </c>
      <c r="V38" s="784" t="n"/>
      <c r="W38" s="130" t="n">
        <v>523000</v>
      </c>
      <c r="X38" s="784" t="n"/>
      <c r="Y38" s="130" t="n">
        <v>523000</v>
      </c>
      <c r="Z38" s="784" t="n"/>
      <c r="AA38" s="130" t="n">
        <v>523000</v>
      </c>
      <c r="AB38" s="784" t="n"/>
      <c r="AC38" s="130" t="n">
        <v>523000</v>
      </c>
      <c r="AD38" s="784" t="n"/>
      <c r="AE38" s="18" t="n"/>
      <c r="AF38" s="320" t="n"/>
      <c r="AG38" s="795" t="n"/>
    </row>
    <row r="39" ht="14.25" customHeight="1" s="321">
      <c r="A39" s="794" t="n"/>
      <c r="B39" s="207" t="inlineStr">
        <is>
          <t>Satış Miktarı</t>
        </is>
      </c>
      <c r="C39" s="773" t="n"/>
      <c r="D39" s="773" t="n"/>
      <c r="E39" s="773" t="n"/>
      <c r="F39" s="774" t="n"/>
      <c r="G39" s="267" t="inlineStr">
        <is>
          <t>kg/yıl</t>
        </is>
      </c>
      <c r="H39" s="784" t="n"/>
      <c r="I39" s="129" t="n"/>
      <c r="J39" s="784" t="n"/>
      <c r="K39" s="129" t="n">
        <v>523000</v>
      </c>
      <c r="L39" s="784" t="n"/>
      <c r="M39" s="129" t="n">
        <v>523000</v>
      </c>
      <c r="N39" s="784" t="n"/>
      <c r="O39" s="129" t="n">
        <v>523000</v>
      </c>
      <c r="P39" s="784" t="n"/>
      <c r="Q39" s="129" t="n">
        <v>523000</v>
      </c>
      <c r="R39" s="784" t="n"/>
      <c r="S39" s="129" t="n">
        <v>523000</v>
      </c>
      <c r="T39" s="784" t="n"/>
      <c r="U39" s="129" t="n">
        <v>523000</v>
      </c>
      <c r="V39" s="784" t="n"/>
      <c r="W39" s="129" t="n">
        <v>523000</v>
      </c>
      <c r="X39" s="784" t="n"/>
      <c r="Y39" s="129" t="n">
        <v>523000</v>
      </c>
      <c r="Z39" s="784" t="n"/>
      <c r="AA39" s="129" t="n">
        <v>523000</v>
      </c>
      <c r="AB39" s="784" t="n"/>
      <c r="AC39" s="129" t="n">
        <v>523000</v>
      </c>
      <c r="AD39" s="784" t="n"/>
      <c r="AE39" s="18" t="n"/>
      <c r="AF39" s="320" t="n"/>
      <c r="AG39" s="795" t="n"/>
    </row>
    <row r="40" ht="14.25" customHeight="1" s="321" thickBot="1">
      <c r="A40" s="818" t="n"/>
      <c r="B40" s="284" t="inlineStr">
        <is>
          <t>Birim Satış Fiyatı</t>
        </is>
      </c>
      <c r="C40" s="787" t="n"/>
      <c r="D40" s="787" t="n"/>
      <c r="E40" s="787" t="n"/>
      <c r="F40" s="788" t="n"/>
      <c r="G40" s="289" t="inlineStr">
        <is>
          <t>TL/kg</t>
        </is>
      </c>
      <c r="H40" s="790" t="n"/>
      <c r="I40" s="280" t="n"/>
      <c r="J40" s="790" t="n"/>
      <c r="K40" s="280" t="n">
        <v>12</v>
      </c>
      <c r="L40" s="790" t="n"/>
      <c r="M40" s="280" t="n">
        <v>12</v>
      </c>
      <c r="N40" s="790" t="n"/>
      <c r="O40" s="280" t="n">
        <v>12</v>
      </c>
      <c r="P40" s="790" t="n"/>
      <c r="Q40" s="280" t="n">
        <v>12</v>
      </c>
      <c r="R40" s="790" t="n"/>
      <c r="S40" s="280" t="n">
        <v>12</v>
      </c>
      <c r="T40" s="790" t="n"/>
      <c r="U40" s="280" t="n">
        <v>12</v>
      </c>
      <c r="V40" s="790" t="n"/>
      <c r="W40" s="280" t="n">
        <v>12</v>
      </c>
      <c r="X40" s="790" t="n"/>
      <c r="Y40" s="280" t="n">
        <v>12</v>
      </c>
      <c r="Z40" s="790" t="n"/>
      <c r="AA40" s="280" t="n">
        <v>12</v>
      </c>
      <c r="AB40" s="790" t="n"/>
      <c r="AC40" s="280" t="n">
        <v>12</v>
      </c>
      <c r="AD40" s="790" t="n"/>
      <c r="AE40" s="18" t="n"/>
      <c r="AF40" s="323" t="n"/>
      <c r="AG40" s="797" t="n"/>
    </row>
    <row r="41">
      <c r="B41" s="128" t="n"/>
      <c r="C41" s="318" t="n"/>
      <c r="D41" s="318" t="n"/>
      <c r="E41" s="318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AE41" s="18" t="n"/>
    </row>
    <row r="42" hidden="1" ht="14.25" customHeight="1" s="321">
      <c r="A42" s="819" t="n">
        <v>2</v>
      </c>
      <c r="B42" s="293" t="n"/>
      <c r="C42" s="806" t="n"/>
      <c r="D42" s="806" t="n"/>
      <c r="E42" s="806" t="n"/>
      <c r="F42" s="807" t="n"/>
      <c r="G42" s="295" t="n"/>
      <c r="H42" s="815" t="n"/>
      <c r="I42" s="286" t="n"/>
      <c r="J42" s="815" t="n"/>
      <c r="K42" s="286" t="n"/>
      <c r="L42" s="815" t="n"/>
      <c r="M42" s="286" t="n"/>
      <c r="N42" s="815" t="n"/>
      <c r="O42" s="286" t="n"/>
      <c r="P42" s="815" t="n"/>
      <c r="Q42" s="286" t="n"/>
      <c r="R42" s="815" t="n"/>
      <c r="S42" s="286" t="n"/>
      <c r="T42" s="815" t="n"/>
      <c r="U42" s="286" t="n"/>
      <c r="V42" s="815" t="n"/>
      <c r="W42" s="286" t="n"/>
      <c r="X42" s="815" t="n"/>
      <c r="Y42" s="286" t="n"/>
      <c r="Z42" s="815" t="n"/>
      <c r="AA42" s="286" t="n"/>
      <c r="AB42" s="815" t="n"/>
      <c r="AC42" s="286" t="n"/>
      <c r="AD42" s="815" t="n"/>
      <c r="AE42" s="18" t="n"/>
    </row>
    <row r="43" hidden="1" ht="14.25" customHeight="1" s="321">
      <c r="A43" s="794" t="n"/>
      <c r="B43" s="207" t="inlineStr">
        <is>
          <t xml:space="preserve">Kurulu Kapasite </t>
        </is>
      </c>
      <c r="C43" s="773" t="n"/>
      <c r="D43" s="773" t="n"/>
      <c r="E43" s="773" t="n"/>
      <c r="F43" s="774" t="n"/>
      <c r="G43" s="267" t="n"/>
      <c r="H43" s="784" t="n"/>
      <c r="I43" s="130" t="n"/>
      <c r="J43" s="784" t="n"/>
      <c r="K43" s="130" t="n"/>
      <c r="L43" s="784" t="n"/>
      <c r="M43" s="130" t="n"/>
      <c r="N43" s="784" t="n"/>
      <c r="O43" s="130" t="n"/>
      <c r="P43" s="784" t="n"/>
      <c r="Q43" s="130" t="n"/>
      <c r="R43" s="784" t="n"/>
      <c r="S43" s="130" t="n"/>
      <c r="T43" s="784" t="n"/>
      <c r="U43" s="130" t="n"/>
      <c r="V43" s="784" t="n"/>
      <c r="W43" s="130" t="n"/>
      <c r="X43" s="784" t="n"/>
      <c r="Y43" s="130" t="n"/>
      <c r="Z43" s="784" t="n"/>
      <c r="AA43" s="130" t="n"/>
      <c r="AB43" s="784" t="n"/>
      <c r="AC43" s="130" t="n"/>
      <c r="AD43" s="784" t="n"/>
      <c r="AE43" s="18" t="n"/>
    </row>
    <row r="44" hidden="1" ht="14.25" customHeight="1" s="321">
      <c r="A44" s="794" t="n"/>
      <c r="B44" s="207" t="inlineStr">
        <is>
          <t>Üretim Miktarı</t>
        </is>
      </c>
      <c r="C44" s="773" t="n"/>
      <c r="D44" s="773" t="n"/>
      <c r="E44" s="773" t="n"/>
      <c r="F44" s="774" t="n"/>
      <c r="G44" s="267" t="n"/>
      <c r="H44" s="784" t="n"/>
      <c r="I44" s="130" t="n"/>
      <c r="J44" s="784" t="n"/>
      <c r="K44" s="130" t="n"/>
      <c r="L44" s="784" t="n"/>
      <c r="M44" s="130" t="n"/>
      <c r="N44" s="784" t="n"/>
      <c r="O44" s="130" t="n"/>
      <c r="P44" s="784" t="n"/>
      <c r="Q44" s="130" t="n"/>
      <c r="R44" s="784" t="n"/>
      <c r="S44" s="130" t="n"/>
      <c r="T44" s="784" t="n"/>
      <c r="U44" s="130" t="n"/>
      <c r="V44" s="784" t="n"/>
      <c r="W44" s="130" t="n"/>
      <c r="X44" s="784" t="n"/>
      <c r="Y44" s="130" t="n"/>
      <c r="Z44" s="784" t="n"/>
      <c r="AA44" s="130" t="n"/>
      <c r="AB44" s="784" t="n"/>
      <c r="AC44" s="130" t="n"/>
      <c r="AD44" s="784" t="n"/>
      <c r="AE44" s="18" t="n"/>
    </row>
    <row r="45" hidden="1" ht="14.25" customHeight="1" s="321">
      <c r="A45" s="794" t="n"/>
      <c r="B45" s="207" t="inlineStr">
        <is>
          <t>Satış Miktarı</t>
        </is>
      </c>
      <c r="C45" s="773" t="n"/>
      <c r="D45" s="773" t="n"/>
      <c r="E45" s="773" t="n"/>
      <c r="F45" s="774" t="n"/>
      <c r="G45" s="267" t="n"/>
      <c r="H45" s="784" t="n"/>
      <c r="I45" s="129" t="n"/>
      <c r="J45" s="784" t="n"/>
      <c r="K45" s="129" t="n"/>
      <c r="L45" s="784" t="n"/>
      <c r="M45" s="129" t="n"/>
      <c r="N45" s="784" t="n"/>
      <c r="O45" s="129" t="n"/>
      <c r="P45" s="784" t="n"/>
      <c r="Q45" s="129" t="n"/>
      <c r="R45" s="784" t="n"/>
      <c r="S45" s="129" t="n"/>
      <c r="T45" s="784" t="n"/>
      <c r="U45" s="129" t="n"/>
      <c r="V45" s="784" t="n"/>
      <c r="W45" s="129" t="n"/>
      <c r="X45" s="784" t="n"/>
      <c r="Y45" s="129" t="n"/>
      <c r="Z45" s="784" t="n"/>
      <c r="AA45" s="129" t="n"/>
      <c r="AB45" s="784" t="n"/>
      <c r="AC45" s="129" t="n"/>
      <c r="AD45" s="784" t="n"/>
      <c r="AE45" s="18" t="n"/>
    </row>
    <row r="46" hidden="1" ht="14.25" customHeight="1" s="321" thickBot="1">
      <c r="A46" s="818" t="n"/>
      <c r="B46" s="284" t="inlineStr">
        <is>
          <t>Birim Satış Fiyatı</t>
        </is>
      </c>
      <c r="C46" s="787" t="n"/>
      <c r="D46" s="787" t="n"/>
      <c r="E46" s="787" t="n"/>
      <c r="F46" s="788" t="n"/>
      <c r="G46" s="289" t="n"/>
      <c r="H46" s="790" t="n"/>
      <c r="I46" s="280" t="n"/>
      <c r="J46" s="790" t="n"/>
      <c r="K46" s="280" t="n"/>
      <c r="L46" s="790" t="n"/>
      <c r="M46" s="280" t="n"/>
      <c r="N46" s="790" t="n"/>
      <c r="O46" s="280" t="n"/>
      <c r="P46" s="790" t="n"/>
      <c r="Q46" s="280" t="n"/>
      <c r="R46" s="790" t="n"/>
      <c r="S46" s="280" t="n"/>
      <c r="T46" s="790" t="n"/>
      <c r="U46" s="280" t="n"/>
      <c r="V46" s="790" t="n"/>
      <c r="W46" s="280" t="n"/>
      <c r="X46" s="790" t="n"/>
      <c r="Y46" s="280" t="n"/>
      <c r="Z46" s="790" t="n"/>
      <c r="AA46" s="280" t="n"/>
      <c r="AB46" s="790" t="n"/>
      <c r="AC46" s="280" t="n"/>
      <c r="AD46" s="790" t="n"/>
      <c r="AE46" s="18" t="n"/>
    </row>
    <row r="47" hidden="1" s="321">
      <c r="B47" s="128" t="n"/>
      <c r="C47" s="318" t="n"/>
      <c r="D47" s="318" t="n"/>
      <c r="E47" s="318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AE47" s="18" t="n"/>
    </row>
    <row r="48" hidden="1" ht="14.25" customHeight="1" s="321">
      <c r="A48" s="820" t="n">
        <v>3</v>
      </c>
      <c r="B48" s="293" t="n"/>
      <c r="C48" s="806" t="n"/>
      <c r="D48" s="806" t="n"/>
      <c r="E48" s="806" t="n"/>
      <c r="F48" s="807" t="n"/>
      <c r="G48" s="295" t="n"/>
      <c r="H48" s="815" t="n"/>
      <c r="I48" s="286" t="n"/>
      <c r="J48" s="815" t="n"/>
      <c r="K48" s="286" t="n"/>
      <c r="L48" s="815" t="n"/>
      <c r="M48" s="286" t="n"/>
      <c r="N48" s="815" t="n"/>
      <c r="O48" s="286" t="n"/>
      <c r="P48" s="815" t="n"/>
      <c r="Q48" s="286" t="n"/>
      <c r="R48" s="815" t="n"/>
      <c r="S48" s="286" t="n"/>
      <c r="T48" s="815" t="n"/>
      <c r="U48" s="286" t="n"/>
      <c r="V48" s="815" t="n"/>
      <c r="W48" s="286" t="n"/>
      <c r="X48" s="815" t="n"/>
      <c r="Y48" s="286" t="n"/>
      <c r="Z48" s="815" t="n"/>
      <c r="AA48" s="286" t="n"/>
      <c r="AB48" s="815" t="n"/>
      <c r="AC48" s="286" t="n"/>
      <c r="AD48" s="815" t="n"/>
      <c r="AE48" s="18" t="n"/>
    </row>
    <row r="49" hidden="1" ht="14.25" customHeight="1" s="321">
      <c r="A49" s="821" t="n"/>
      <c r="B49" s="207" t="inlineStr">
        <is>
          <t xml:space="preserve">Kurulu Kapasite </t>
        </is>
      </c>
      <c r="C49" s="773" t="n"/>
      <c r="D49" s="773" t="n"/>
      <c r="E49" s="773" t="n"/>
      <c r="F49" s="774" t="n"/>
      <c r="G49" s="267" t="n"/>
      <c r="H49" s="784" t="n"/>
      <c r="I49" s="130" t="n"/>
      <c r="J49" s="784" t="n"/>
      <c r="K49" s="130" t="n"/>
      <c r="L49" s="784" t="n"/>
      <c r="M49" s="130" t="n"/>
      <c r="N49" s="784" t="n"/>
      <c r="O49" s="130" t="n"/>
      <c r="P49" s="784" t="n"/>
      <c r="Q49" s="130" t="n"/>
      <c r="R49" s="784" t="n"/>
      <c r="S49" s="130" t="n"/>
      <c r="T49" s="784" t="n"/>
      <c r="U49" s="130" t="n"/>
      <c r="V49" s="784" t="n"/>
      <c r="W49" s="130" t="n"/>
      <c r="X49" s="784" t="n"/>
      <c r="Y49" s="130" t="n"/>
      <c r="Z49" s="784" t="n"/>
      <c r="AA49" s="130" t="n"/>
      <c r="AB49" s="784" t="n"/>
      <c r="AC49" s="130" t="n"/>
      <c r="AD49" s="784" t="n"/>
      <c r="AE49" s="18" t="n"/>
    </row>
    <row r="50" hidden="1" ht="14.25" customHeight="1" s="321">
      <c r="A50" s="821" t="n"/>
      <c r="B50" s="207" t="inlineStr">
        <is>
          <t>Üretim Miktarı</t>
        </is>
      </c>
      <c r="C50" s="773" t="n"/>
      <c r="D50" s="773" t="n"/>
      <c r="E50" s="773" t="n"/>
      <c r="F50" s="774" t="n"/>
      <c r="G50" s="267" t="n"/>
      <c r="H50" s="784" t="n"/>
      <c r="I50" s="130" t="n"/>
      <c r="J50" s="784" t="n"/>
      <c r="K50" s="130" t="n"/>
      <c r="L50" s="784" t="n"/>
      <c r="M50" s="130" t="n"/>
      <c r="N50" s="784" t="n"/>
      <c r="O50" s="130" t="n"/>
      <c r="P50" s="784" t="n"/>
      <c r="Q50" s="130" t="n"/>
      <c r="R50" s="784" t="n"/>
      <c r="S50" s="130" t="n"/>
      <c r="T50" s="784" t="n"/>
      <c r="U50" s="130" t="n"/>
      <c r="V50" s="784" t="n"/>
      <c r="W50" s="130" t="n"/>
      <c r="X50" s="784" t="n"/>
      <c r="Y50" s="130" t="n"/>
      <c r="Z50" s="784" t="n"/>
      <c r="AA50" s="130" t="n"/>
      <c r="AB50" s="784" t="n"/>
      <c r="AC50" s="130" t="n"/>
      <c r="AD50" s="784" t="n"/>
      <c r="AE50" s="18" t="n"/>
    </row>
    <row r="51" hidden="1" ht="14.25" customHeight="1" s="321">
      <c r="A51" s="821" t="n"/>
      <c r="B51" s="207" t="inlineStr">
        <is>
          <t>Satış Miktarı</t>
        </is>
      </c>
      <c r="C51" s="773" t="n"/>
      <c r="D51" s="773" t="n"/>
      <c r="E51" s="773" t="n"/>
      <c r="F51" s="774" t="n"/>
      <c r="G51" s="267" t="n"/>
      <c r="H51" s="784" t="n"/>
      <c r="I51" s="129" t="n"/>
      <c r="J51" s="784" t="n"/>
      <c r="K51" s="129" t="n"/>
      <c r="L51" s="784" t="n"/>
      <c r="M51" s="129" t="n"/>
      <c r="N51" s="784" t="n"/>
      <c r="O51" s="129" t="n"/>
      <c r="P51" s="784" t="n"/>
      <c r="Q51" s="129" t="n"/>
      <c r="R51" s="784" t="n"/>
      <c r="S51" s="129" t="n"/>
      <c r="T51" s="784" t="n"/>
      <c r="U51" s="129" t="n"/>
      <c r="V51" s="784" t="n"/>
      <c r="W51" s="129" t="n"/>
      <c r="X51" s="784" t="n"/>
      <c r="Y51" s="129" t="n"/>
      <c r="Z51" s="784" t="n"/>
      <c r="AA51" s="129" t="n"/>
      <c r="AB51" s="784" t="n"/>
      <c r="AC51" s="129" t="n"/>
      <c r="AD51" s="784" t="n"/>
      <c r="AE51" s="18" t="n"/>
    </row>
    <row r="52" hidden="1" ht="14.25" customHeight="1" s="321" thickBot="1">
      <c r="A52" s="822" t="n"/>
      <c r="B52" s="284" t="inlineStr">
        <is>
          <t>Birim Satış Fiyatı</t>
        </is>
      </c>
      <c r="C52" s="787" t="n"/>
      <c r="D52" s="787" t="n"/>
      <c r="E52" s="787" t="n"/>
      <c r="F52" s="788" t="n"/>
      <c r="G52" s="289" t="n"/>
      <c r="H52" s="790" t="n"/>
      <c r="I52" s="280" t="n"/>
      <c r="J52" s="790" t="n"/>
      <c r="K52" s="280" t="n"/>
      <c r="L52" s="790" t="n"/>
      <c r="M52" s="280" t="n"/>
      <c r="N52" s="790" t="n"/>
      <c r="O52" s="280" t="n"/>
      <c r="P52" s="790" t="n"/>
      <c r="Q52" s="280" t="n"/>
      <c r="R52" s="790" t="n"/>
      <c r="S52" s="280" t="n"/>
      <c r="T52" s="790" t="n"/>
      <c r="U52" s="280" t="n"/>
      <c r="V52" s="790" t="n"/>
      <c r="W52" s="280" t="n"/>
      <c r="X52" s="790" t="n"/>
      <c r="Y52" s="280" t="n"/>
      <c r="Z52" s="790" t="n"/>
      <c r="AA52" s="280" t="n"/>
      <c r="AB52" s="790" t="n"/>
      <c r="AC52" s="280" t="n"/>
      <c r="AD52" s="790" t="n"/>
      <c r="AE52" s="18" t="n"/>
    </row>
    <row r="53" hidden="1" s="321">
      <c r="B53" s="128" t="n"/>
      <c r="C53" s="318" t="n"/>
      <c r="D53" s="318" t="n"/>
      <c r="E53" s="318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AE53" s="18" t="n"/>
    </row>
    <row r="54" hidden="1" ht="14.25" customHeight="1" s="321">
      <c r="A54" s="823" t="n">
        <v>4</v>
      </c>
      <c r="B54" s="293" t="n"/>
      <c r="C54" s="806" t="n"/>
      <c r="D54" s="806" t="n"/>
      <c r="E54" s="806" t="n"/>
      <c r="F54" s="807" t="n"/>
      <c r="G54" s="295" t="n"/>
      <c r="H54" s="815" t="n"/>
      <c r="I54" s="286" t="n"/>
      <c r="J54" s="815" t="n"/>
      <c r="K54" s="286" t="n"/>
      <c r="L54" s="815" t="n"/>
      <c r="M54" s="286" t="n"/>
      <c r="N54" s="815" t="n"/>
      <c r="O54" s="286" t="n"/>
      <c r="P54" s="815" t="n"/>
      <c r="Q54" s="286" t="n"/>
      <c r="R54" s="815" t="n"/>
      <c r="S54" s="286" t="n"/>
      <c r="T54" s="815" t="n"/>
      <c r="U54" s="286" t="n"/>
      <c r="V54" s="815" t="n"/>
      <c r="W54" s="286" t="n"/>
      <c r="X54" s="815" t="n"/>
      <c r="Y54" s="286" t="n"/>
      <c r="Z54" s="815" t="n"/>
      <c r="AA54" s="286" t="n"/>
      <c r="AB54" s="815" t="n"/>
      <c r="AC54" s="286" t="n"/>
      <c r="AD54" s="815" t="n"/>
      <c r="AE54" s="18" t="n"/>
    </row>
    <row r="55" hidden="1" ht="14.25" customHeight="1" s="321">
      <c r="A55" s="821" t="n"/>
      <c r="B55" s="207" t="inlineStr">
        <is>
          <t xml:space="preserve">Kurulu Kapasite </t>
        </is>
      </c>
      <c r="C55" s="773" t="n"/>
      <c r="D55" s="773" t="n"/>
      <c r="E55" s="773" t="n"/>
      <c r="F55" s="774" t="n"/>
      <c r="G55" s="267" t="n"/>
      <c r="H55" s="784" t="n"/>
      <c r="I55" s="130" t="n"/>
      <c r="J55" s="784" t="n"/>
      <c r="K55" s="130" t="n"/>
      <c r="L55" s="784" t="n"/>
      <c r="M55" s="130" t="n"/>
      <c r="N55" s="784" t="n"/>
      <c r="O55" s="130" t="n"/>
      <c r="P55" s="784" t="n"/>
      <c r="Q55" s="130" t="n"/>
      <c r="R55" s="784" t="n"/>
      <c r="S55" s="130" t="n"/>
      <c r="T55" s="784" t="n"/>
      <c r="U55" s="130" t="n"/>
      <c r="V55" s="784" t="n"/>
      <c r="W55" s="130" t="n"/>
      <c r="X55" s="784" t="n"/>
      <c r="Y55" s="130" t="n"/>
      <c r="Z55" s="784" t="n"/>
      <c r="AA55" s="130" t="n"/>
      <c r="AB55" s="784" t="n"/>
      <c r="AC55" s="130" t="n"/>
      <c r="AD55" s="784" t="n"/>
      <c r="AE55" s="18" t="n"/>
    </row>
    <row r="56" hidden="1" ht="14.25" customHeight="1" s="321">
      <c r="A56" s="821" t="n"/>
      <c r="B56" s="207" t="inlineStr">
        <is>
          <t>Üretim Miktarı</t>
        </is>
      </c>
      <c r="C56" s="773" t="n"/>
      <c r="D56" s="773" t="n"/>
      <c r="E56" s="773" t="n"/>
      <c r="F56" s="774" t="n"/>
      <c r="G56" s="267" t="n"/>
      <c r="H56" s="784" t="n"/>
      <c r="I56" s="130" t="n"/>
      <c r="J56" s="784" t="n"/>
      <c r="K56" s="130" t="n"/>
      <c r="L56" s="784" t="n"/>
      <c r="M56" s="130" t="n"/>
      <c r="N56" s="784" t="n"/>
      <c r="O56" s="130" t="n"/>
      <c r="P56" s="784" t="n"/>
      <c r="Q56" s="130" t="n"/>
      <c r="R56" s="784" t="n"/>
      <c r="S56" s="130" t="n"/>
      <c r="T56" s="784" t="n"/>
      <c r="U56" s="130" t="n"/>
      <c r="V56" s="784" t="n"/>
      <c r="W56" s="130" t="n"/>
      <c r="X56" s="784" t="n"/>
      <c r="Y56" s="130" t="n"/>
      <c r="Z56" s="784" t="n"/>
      <c r="AA56" s="130" t="n"/>
      <c r="AB56" s="784" t="n"/>
      <c r="AC56" s="130" t="n"/>
      <c r="AD56" s="784" t="n"/>
      <c r="AE56" s="18" t="n"/>
    </row>
    <row r="57" hidden="1" ht="14.25" customHeight="1" s="321">
      <c r="A57" s="821" t="n"/>
      <c r="B57" s="207" t="inlineStr">
        <is>
          <t>Satış Miktarı</t>
        </is>
      </c>
      <c r="C57" s="773" t="n"/>
      <c r="D57" s="773" t="n"/>
      <c r="E57" s="773" t="n"/>
      <c r="F57" s="774" t="n"/>
      <c r="G57" s="267" t="n"/>
      <c r="H57" s="784" t="n"/>
      <c r="I57" s="129" t="n"/>
      <c r="J57" s="784" t="n"/>
      <c r="K57" s="129" t="n"/>
      <c r="L57" s="784" t="n"/>
      <c r="M57" s="129" t="n"/>
      <c r="N57" s="784" t="n"/>
      <c r="O57" s="129" t="n"/>
      <c r="P57" s="784" t="n"/>
      <c r="Q57" s="129" t="n"/>
      <c r="R57" s="784" t="n"/>
      <c r="S57" s="129" t="n"/>
      <c r="T57" s="784" t="n"/>
      <c r="U57" s="129" t="n"/>
      <c r="V57" s="784" t="n"/>
      <c r="W57" s="129" t="n"/>
      <c r="X57" s="784" t="n"/>
      <c r="Y57" s="129" t="n"/>
      <c r="Z57" s="784" t="n"/>
      <c r="AA57" s="129" t="n"/>
      <c r="AB57" s="784" t="n"/>
      <c r="AC57" s="129" t="n"/>
      <c r="AD57" s="784" t="n"/>
      <c r="AE57" s="18" t="n"/>
    </row>
    <row r="58" hidden="1" ht="14.25" customHeight="1" s="321" thickBot="1">
      <c r="A58" s="822" t="n"/>
      <c r="B58" s="284" t="inlineStr">
        <is>
          <t>Birim Satış Fiyatı</t>
        </is>
      </c>
      <c r="C58" s="787" t="n"/>
      <c r="D58" s="787" t="n"/>
      <c r="E58" s="787" t="n"/>
      <c r="F58" s="788" t="n"/>
      <c r="G58" s="289" t="n"/>
      <c r="H58" s="790" t="n"/>
      <c r="I58" s="280" t="n"/>
      <c r="J58" s="790" t="n"/>
      <c r="K58" s="280" t="n"/>
      <c r="L58" s="790" t="n"/>
      <c r="M58" s="280" t="n"/>
      <c r="N58" s="790" t="n"/>
      <c r="O58" s="280" t="n"/>
      <c r="P58" s="790" t="n"/>
      <c r="Q58" s="280" t="n"/>
      <c r="R58" s="790" t="n"/>
      <c r="S58" s="280" t="n"/>
      <c r="T58" s="790" t="n"/>
      <c r="U58" s="280" t="n"/>
      <c r="V58" s="790" t="n"/>
      <c r="W58" s="280" t="n"/>
      <c r="X58" s="790" t="n"/>
      <c r="Y58" s="280" t="n"/>
      <c r="Z58" s="790" t="n"/>
      <c r="AA58" s="280" t="n"/>
      <c r="AB58" s="790" t="n"/>
      <c r="AC58" s="280" t="n"/>
      <c r="AD58" s="790" t="n"/>
      <c r="AE58" s="18" t="n"/>
    </row>
    <row r="59" hidden="1" s="321">
      <c r="B59" s="128" t="n"/>
      <c r="C59" s="318" t="n"/>
      <c r="D59" s="318" t="n"/>
      <c r="E59" s="318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AE59" s="18" t="n"/>
    </row>
    <row r="60" hidden="1" ht="14.25" customHeight="1" s="321">
      <c r="A60" s="820" t="n">
        <v>5</v>
      </c>
      <c r="B60" s="293" t="n"/>
      <c r="C60" s="806" t="n"/>
      <c r="D60" s="806" t="n"/>
      <c r="E60" s="806" t="n"/>
      <c r="F60" s="807" t="n"/>
      <c r="G60" s="295" t="n"/>
      <c r="H60" s="815" t="n"/>
      <c r="I60" s="286" t="n"/>
      <c r="J60" s="815" t="n"/>
      <c r="K60" s="286" t="n"/>
      <c r="L60" s="815" t="n"/>
      <c r="M60" s="286" t="n"/>
      <c r="N60" s="815" t="n"/>
      <c r="O60" s="286" t="n"/>
      <c r="P60" s="815" t="n"/>
      <c r="Q60" s="286" t="n"/>
      <c r="R60" s="815" t="n"/>
      <c r="S60" s="286" t="n"/>
      <c r="T60" s="815" t="n"/>
      <c r="U60" s="286" t="n"/>
      <c r="V60" s="815" t="n"/>
      <c r="W60" s="286" t="n"/>
      <c r="X60" s="815" t="n"/>
      <c r="Y60" s="286" t="n"/>
      <c r="Z60" s="815" t="n"/>
      <c r="AA60" s="286" t="n"/>
      <c r="AB60" s="815" t="n"/>
      <c r="AC60" s="286" t="n"/>
      <c r="AD60" s="815" t="n"/>
      <c r="AE60" s="18" t="n"/>
    </row>
    <row r="61" hidden="1" ht="14.25" customHeight="1" s="321">
      <c r="A61" s="821" t="n"/>
      <c r="B61" s="207" t="inlineStr">
        <is>
          <t xml:space="preserve">Kurulu Kapasite </t>
        </is>
      </c>
      <c r="C61" s="773" t="n"/>
      <c r="D61" s="773" t="n"/>
      <c r="E61" s="773" t="n"/>
      <c r="F61" s="774" t="n"/>
      <c r="G61" s="267" t="n"/>
      <c r="H61" s="784" t="n"/>
      <c r="I61" s="130" t="n"/>
      <c r="J61" s="784" t="n"/>
      <c r="K61" s="130" t="n"/>
      <c r="L61" s="784" t="n"/>
      <c r="M61" s="130" t="n"/>
      <c r="N61" s="784" t="n"/>
      <c r="O61" s="130" t="n"/>
      <c r="P61" s="784" t="n"/>
      <c r="Q61" s="130" t="n"/>
      <c r="R61" s="784" t="n"/>
      <c r="S61" s="130" t="n"/>
      <c r="T61" s="784" t="n"/>
      <c r="U61" s="130" t="n"/>
      <c r="V61" s="784" t="n"/>
      <c r="W61" s="130" t="n"/>
      <c r="X61" s="784" t="n"/>
      <c r="Y61" s="130" t="n"/>
      <c r="Z61" s="784" t="n"/>
      <c r="AA61" s="130" t="n"/>
      <c r="AB61" s="784" t="n"/>
      <c r="AC61" s="130" t="n"/>
      <c r="AD61" s="784" t="n"/>
      <c r="AE61" s="18" t="n"/>
    </row>
    <row r="62" hidden="1" ht="14.25" customHeight="1" s="321">
      <c r="A62" s="821" t="n"/>
      <c r="B62" s="207" t="inlineStr">
        <is>
          <t>Üretim Miktarı</t>
        </is>
      </c>
      <c r="C62" s="773" t="n"/>
      <c r="D62" s="773" t="n"/>
      <c r="E62" s="773" t="n"/>
      <c r="F62" s="774" t="n"/>
      <c r="G62" s="267" t="n"/>
      <c r="H62" s="784" t="n"/>
      <c r="I62" s="130" t="n"/>
      <c r="J62" s="784" t="n"/>
      <c r="K62" s="130" t="n"/>
      <c r="L62" s="784" t="n"/>
      <c r="M62" s="130" t="n"/>
      <c r="N62" s="784" t="n"/>
      <c r="O62" s="130" t="n"/>
      <c r="P62" s="784" t="n"/>
      <c r="Q62" s="130" t="n"/>
      <c r="R62" s="784" t="n"/>
      <c r="S62" s="130" t="n"/>
      <c r="T62" s="784" t="n"/>
      <c r="U62" s="130" t="n"/>
      <c r="V62" s="784" t="n"/>
      <c r="W62" s="130" t="n"/>
      <c r="X62" s="784" t="n"/>
      <c r="Y62" s="130" t="n"/>
      <c r="Z62" s="784" t="n"/>
      <c r="AA62" s="130" t="n"/>
      <c r="AB62" s="784" t="n"/>
      <c r="AC62" s="130" t="n"/>
      <c r="AD62" s="784" t="n"/>
      <c r="AE62" s="18" t="n"/>
    </row>
    <row r="63" hidden="1" ht="14.25" customHeight="1" s="321">
      <c r="A63" s="821" t="n"/>
      <c r="B63" s="207" t="inlineStr">
        <is>
          <t>Satış Miktarı</t>
        </is>
      </c>
      <c r="C63" s="773" t="n"/>
      <c r="D63" s="773" t="n"/>
      <c r="E63" s="773" t="n"/>
      <c r="F63" s="774" t="n"/>
      <c r="G63" s="267" t="n"/>
      <c r="H63" s="784" t="n"/>
      <c r="I63" s="129" t="n"/>
      <c r="J63" s="784" t="n"/>
      <c r="K63" s="129" t="n"/>
      <c r="L63" s="784" t="n"/>
      <c r="M63" s="129" t="n"/>
      <c r="N63" s="784" t="n"/>
      <c r="O63" s="129" t="n"/>
      <c r="P63" s="784" t="n"/>
      <c r="Q63" s="129" t="n"/>
      <c r="R63" s="784" t="n"/>
      <c r="S63" s="129" t="n"/>
      <c r="T63" s="784" t="n"/>
      <c r="U63" s="129" t="n"/>
      <c r="V63" s="784" t="n"/>
      <c r="W63" s="129" t="n"/>
      <c r="X63" s="784" t="n"/>
      <c r="Y63" s="129" t="n"/>
      <c r="Z63" s="784" t="n"/>
      <c r="AA63" s="129" t="n"/>
      <c r="AB63" s="784" t="n"/>
      <c r="AC63" s="129" t="n"/>
      <c r="AD63" s="784" t="n"/>
      <c r="AE63" s="18" t="n"/>
    </row>
    <row r="64" hidden="1" ht="14.25" customHeight="1" s="321" thickBot="1">
      <c r="A64" s="822" t="n"/>
      <c r="B64" s="284" t="inlineStr">
        <is>
          <t>Birim Satış Fiyatı</t>
        </is>
      </c>
      <c r="C64" s="787" t="n"/>
      <c r="D64" s="787" t="n"/>
      <c r="E64" s="787" t="n"/>
      <c r="F64" s="788" t="n"/>
      <c r="G64" s="289" t="n"/>
      <c r="H64" s="790" t="n"/>
      <c r="I64" s="280" t="n"/>
      <c r="J64" s="790" t="n"/>
      <c r="K64" s="280" t="n"/>
      <c r="L64" s="790" t="n"/>
      <c r="M64" s="280" t="n"/>
      <c r="N64" s="790" t="n"/>
      <c r="O64" s="280" t="n"/>
      <c r="P64" s="790" t="n"/>
      <c r="Q64" s="280" t="n"/>
      <c r="R64" s="790" t="n"/>
      <c r="S64" s="280" t="n"/>
      <c r="T64" s="790" t="n"/>
      <c r="U64" s="280" t="n"/>
      <c r="V64" s="790" t="n"/>
      <c r="W64" s="280" t="n"/>
      <c r="X64" s="790" t="n"/>
      <c r="Y64" s="280" t="n"/>
      <c r="Z64" s="790" t="n"/>
      <c r="AA64" s="280" t="n"/>
      <c r="AB64" s="790" t="n"/>
      <c r="AC64" s="280" t="n"/>
      <c r="AD64" s="790" t="n"/>
      <c r="AE64" s="18" t="n"/>
    </row>
    <row r="65" hidden="1" s="321">
      <c r="B65" s="128" t="n"/>
      <c r="C65" s="318" t="n"/>
      <c r="D65" s="318" t="n"/>
      <c r="E65" s="318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AE65" s="18" t="n"/>
    </row>
    <row r="66" hidden="1" ht="14.25" customHeight="1" s="321">
      <c r="A66" s="823" t="n">
        <v>6</v>
      </c>
      <c r="B66" s="293" t="n"/>
      <c r="C66" s="806" t="n"/>
      <c r="D66" s="806" t="n"/>
      <c r="E66" s="806" t="n"/>
      <c r="F66" s="807" t="n"/>
      <c r="G66" s="295" t="n"/>
      <c r="H66" s="815" t="n"/>
      <c r="I66" s="286" t="n"/>
      <c r="J66" s="815" t="n"/>
      <c r="K66" s="286" t="n"/>
      <c r="L66" s="815" t="n"/>
      <c r="M66" s="286" t="n"/>
      <c r="N66" s="815" t="n"/>
      <c r="O66" s="286" t="n"/>
      <c r="P66" s="815" t="n"/>
      <c r="Q66" s="286" t="n"/>
      <c r="R66" s="815" t="n"/>
      <c r="S66" s="286" t="n"/>
      <c r="T66" s="815" t="n"/>
      <c r="U66" s="286" t="n"/>
      <c r="V66" s="815" t="n"/>
      <c r="W66" s="286" t="n"/>
      <c r="X66" s="815" t="n"/>
      <c r="Y66" s="286" t="n"/>
      <c r="Z66" s="815" t="n"/>
      <c r="AA66" s="286" t="n"/>
      <c r="AB66" s="815" t="n"/>
      <c r="AC66" s="286" t="n"/>
      <c r="AD66" s="815" t="n"/>
      <c r="AE66" s="18" t="n"/>
    </row>
    <row r="67" hidden="1" ht="14.25" customHeight="1" s="321">
      <c r="A67" s="821" t="n"/>
      <c r="B67" s="207" t="inlineStr">
        <is>
          <t xml:space="preserve">Kurulu Kapasite </t>
        </is>
      </c>
      <c r="C67" s="773" t="n"/>
      <c r="D67" s="773" t="n"/>
      <c r="E67" s="773" t="n"/>
      <c r="F67" s="774" t="n"/>
      <c r="G67" s="267" t="n"/>
      <c r="H67" s="784" t="n"/>
      <c r="I67" s="130" t="n"/>
      <c r="J67" s="784" t="n"/>
      <c r="K67" s="130" t="n"/>
      <c r="L67" s="784" t="n"/>
      <c r="M67" s="130" t="n"/>
      <c r="N67" s="784" t="n"/>
      <c r="O67" s="130" t="n"/>
      <c r="P67" s="784" t="n"/>
      <c r="Q67" s="130" t="n"/>
      <c r="R67" s="784" t="n"/>
      <c r="S67" s="130" t="n"/>
      <c r="T67" s="784" t="n"/>
      <c r="U67" s="130" t="n"/>
      <c r="V67" s="784" t="n"/>
      <c r="W67" s="130" t="n"/>
      <c r="X67" s="784" t="n"/>
      <c r="Y67" s="130" t="n"/>
      <c r="Z67" s="784" t="n"/>
      <c r="AA67" s="130" t="n"/>
      <c r="AB67" s="784" t="n"/>
      <c r="AC67" s="130" t="n"/>
      <c r="AD67" s="784" t="n"/>
      <c r="AE67" s="18" t="n"/>
    </row>
    <row r="68" hidden="1" ht="14.25" customHeight="1" s="321">
      <c r="A68" s="821" t="n"/>
      <c r="B68" s="207" t="inlineStr">
        <is>
          <t>Üretim Miktarı</t>
        </is>
      </c>
      <c r="C68" s="773" t="n"/>
      <c r="D68" s="773" t="n"/>
      <c r="E68" s="773" t="n"/>
      <c r="F68" s="774" t="n"/>
      <c r="G68" s="267" t="n"/>
      <c r="H68" s="784" t="n"/>
      <c r="I68" s="130" t="n"/>
      <c r="J68" s="784" t="n"/>
      <c r="K68" s="130" t="n"/>
      <c r="L68" s="784" t="n"/>
      <c r="M68" s="130" t="n"/>
      <c r="N68" s="784" t="n"/>
      <c r="O68" s="130" t="n"/>
      <c r="P68" s="784" t="n"/>
      <c r="Q68" s="130" t="n"/>
      <c r="R68" s="784" t="n"/>
      <c r="S68" s="130" t="n"/>
      <c r="T68" s="784" t="n"/>
      <c r="U68" s="130" t="n"/>
      <c r="V68" s="784" t="n"/>
      <c r="W68" s="130" t="n"/>
      <c r="X68" s="784" t="n"/>
      <c r="Y68" s="130" t="n"/>
      <c r="Z68" s="784" t="n"/>
      <c r="AA68" s="130" t="n"/>
      <c r="AB68" s="784" t="n"/>
      <c r="AC68" s="130" t="n"/>
      <c r="AD68" s="784" t="n"/>
      <c r="AE68" s="18" t="n"/>
    </row>
    <row r="69" hidden="1" ht="14.25" customHeight="1" s="321">
      <c r="A69" s="821" t="n"/>
      <c r="B69" s="207" t="inlineStr">
        <is>
          <t>Satış Miktarı</t>
        </is>
      </c>
      <c r="C69" s="773" t="n"/>
      <c r="D69" s="773" t="n"/>
      <c r="E69" s="773" t="n"/>
      <c r="F69" s="774" t="n"/>
      <c r="G69" s="267" t="n"/>
      <c r="H69" s="784" t="n"/>
      <c r="I69" s="129" t="n"/>
      <c r="J69" s="784" t="n"/>
      <c r="K69" s="129" t="n"/>
      <c r="L69" s="784" t="n"/>
      <c r="M69" s="129" t="n"/>
      <c r="N69" s="784" t="n"/>
      <c r="O69" s="129" t="n"/>
      <c r="P69" s="784" t="n"/>
      <c r="Q69" s="129" t="n"/>
      <c r="R69" s="784" t="n"/>
      <c r="S69" s="129" t="n"/>
      <c r="T69" s="784" t="n"/>
      <c r="U69" s="129" t="n"/>
      <c r="V69" s="784" t="n"/>
      <c r="W69" s="129" t="n"/>
      <c r="X69" s="784" t="n"/>
      <c r="Y69" s="129" t="n"/>
      <c r="Z69" s="784" t="n"/>
      <c r="AA69" s="129" t="n"/>
      <c r="AB69" s="784" t="n"/>
      <c r="AC69" s="129" t="n"/>
      <c r="AD69" s="784" t="n"/>
      <c r="AE69" s="18" t="n"/>
    </row>
    <row r="70" hidden="1" ht="14.25" customHeight="1" s="321" thickBot="1">
      <c r="A70" s="822" t="n"/>
      <c r="B70" s="284" t="inlineStr">
        <is>
          <t>Birim Satış Fiyatı</t>
        </is>
      </c>
      <c r="C70" s="787" t="n"/>
      <c r="D70" s="787" t="n"/>
      <c r="E70" s="787" t="n"/>
      <c r="F70" s="788" t="n"/>
      <c r="G70" s="289" t="n"/>
      <c r="H70" s="790" t="n"/>
      <c r="I70" s="280" t="n"/>
      <c r="J70" s="790" t="n"/>
      <c r="K70" s="280" t="n"/>
      <c r="L70" s="790" t="n"/>
      <c r="M70" s="280" t="n"/>
      <c r="N70" s="790" t="n"/>
      <c r="O70" s="280" t="n"/>
      <c r="P70" s="790" t="n"/>
      <c r="Q70" s="280" t="n"/>
      <c r="R70" s="790" t="n"/>
      <c r="S70" s="280" t="n"/>
      <c r="T70" s="790" t="n"/>
      <c r="U70" s="280" t="n"/>
      <c r="V70" s="790" t="n"/>
      <c r="W70" s="280" t="n"/>
      <c r="X70" s="790" t="n"/>
      <c r="Y70" s="280" t="n"/>
      <c r="Z70" s="790" t="n"/>
      <c r="AA70" s="280" t="n"/>
      <c r="AB70" s="790" t="n"/>
      <c r="AC70" s="280" t="n"/>
      <c r="AD70" s="790" t="n"/>
      <c r="AE70" s="18" t="n"/>
    </row>
    <row r="71" hidden="1" s="321">
      <c r="B71" s="128" t="n"/>
      <c r="C71" s="318" t="n"/>
      <c r="D71" s="318" t="n"/>
      <c r="E71" s="318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AE71" s="18" t="n"/>
    </row>
    <row r="72" hidden="1" ht="14.25" customHeight="1" s="321">
      <c r="A72" s="820" t="n">
        <v>7</v>
      </c>
      <c r="B72" s="293" t="n"/>
      <c r="C72" s="806" t="n"/>
      <c r="D72" s="806" t="n"/>
      <c r="E72" s="806" t="n"/>
      <c r="F72" s="807" t="n"/>
      <c r="G72" s="295" t="n"/>
      <c r="H72" s="815" t="n"/>
      <c r="I72" s="286" t="n"/>
      <c r="J72" s="815" t="n"/>
      <c r="K72" s="286" t="n"/>
      <c r="L72" s="815" t="n"/>
      <c r="M72" s="286" t="n"/>
      <c r="N72" s="815" t="n"/>
      <c r="O72" s="286" t="n"/>
      <c r="P72" s="815" t="n"/>
      <c r="Q72" s="286" t="n"/>
      <c r="R72" s="815" t="n"/>
      <c r="S72" s="286" t="n"/>
      <c r="T72" s="815" t="n"/>
      <c r="U72" s="286" t="n"/>
      <c r="V72" s="815" t="n"/>
      <c r="W72" s="286" t="n"/>
      <c r="X72" s="815" t="n"/>
      <c r="Y72" s="286" t="n"/>
      <c r="Z72" s="815" t="n"/>
      <c r="AA72" s="286" t="n"/>
      <c r="AB72" s="815" t="n"/>
      <c r="AC72" s="286" t="n"/>
      <c r="AD72" s="815" t="n"/>
      <c r="AE72" s="18" t="n"/>
    </row>
    <row r="73" hidden="1" ht="14.25" customHeight="1" s="321">
      <c r="A73" s="821" t="n"/>
      <c r="B73" s="207" t="inlineStr">
        <is>
          <t xml:space="preserve">Kurulu Kapasite </t>
        </is>
      </c>
      <c r="C73" s="773" t="n"/>
      <c r="D73" s="773" t="n"/>
      <c r="E73" s="773" t="n"/>
      <c r="F73" s="774" t="n"/>
      <c r="G73" s="267" t="n"/>
      <c r="H73" s="784" t="n"/>
      <c r="I73" s="130" t="n"/>
      <c r="J73" s="784" t="n"/>
      <c r="K73" s="130" t="n"/>
      <c r="L73" s="784" t="n"/>
      <c r="M73" s="130" t="n"/>
      <c r="N73" s="784" t="n"/>
      <c r="O73" s="130" t="n"/>
      <c r="P73" s="784" t="n"/>
      <c r="Q73" s="130" t="n"/>
      <c r="R73" s="784" t="n"/>
      <c r="S73" s="130" t="n"/>
      <c r="T73" s="784" t="n"/>
      <c r="U73" s="130" t="n"/>
      <c r="V73" s="784" t="n"/>
      <c r="W73" s="130" t="n"/>
      <c r="X73" s="784" t="n"/>
      <c r="Y73" s="130" t="n"/>
      <c r="Z73" s="784" t="n"/>
      <c r="AA73" s="130" t="n"/>
      <c r="AB73" s="784" t="n"/>
      <c r="AC73" s="130" t="n"/>
      <c r="AD73" s="784" t="n"/>
      <c r="AE73" s="18" t="n"/>
    </row>
    <row r="74" hidden="1" ht="14.25" customHeight="1" s="321">
      <c r="A74" s="821" t="n"/>
      <c r="B74" s="207" t="inlineStr">
        <is>
          <t>Üretim Miktarı</t>
        </is>
      </c>
      <c r="C74" s="773" t="n"/>
      <c r="D74" s="773" t="n"/>
      <c r="E74" s="773" t="n"/>
      <c r="F74" s="774" t="n"/>
      <c r="G74" s="267" t="n"/>
      <c r="H74" s="784" t="n"/>
      <c r="I74" s="130" t="n"/>
      <c r="J74" s="784" t="n"/>
      <c r="K74" s="130" t="n"/>
      <c r="L74" s="784" t="n"/>
      <c r="M74" s="130" t="n"/>
      <c r="N74" s="784" t="n"/>
      <c r="O74" s="130" t="n"/>
      <c r="P74" s="784" t="n"/>
      <c r="Q74" s="130" t="n"/>
      <c r="R74" s="784" t="n"/>
      <c r="S74" s="130" t="n"/>
      <c r="T74" s="784" t="n"/>
      <c r="U74" s="130" t="n"/>
      <c r="V74" s="784" t="n"/>
      <c r="W74" s="130" t="n"/>
      <c r="X74" s="784" t="n"/>
      <c r="Y74" s="130" t="n"/>
      <c r="Z74" s="784" t="n"/>
      <c r="AA74" s="130" t="n"/>
      <c r="AB74" s="784" t="n"/>
      <c r="AC74" s="130" t="n"/>
      <c r="AD74" s="784" t="n"/>
      <c r="AE74" s="18" t="n"/>
    </row>
    <row r="75" hidden="1" ht="14.25" customHeight="1" s="321">
      <c r="A75" s="821" t="n"/>
      <c r="B75" s="207" t="inlineStr">
        <is>
          <t>Satış Miktarı</t>
        </is>
      </c>
      <c r="C75" s="773" t="n"/>
      <c r="D75" s="773" t="n"/>
      <c r="E75" s="773" t="n"/>
      <c r="F75" s="774" t="n"/>
      <c r="G75" s="267" t="n"/>
      <c r="H75" s="784" t="n"/>
      <c r="I75" s="129" t="n"/>
      <c r="J75" s="784" t="n"/>
      <c r="K75" s="129" t="n"/>
      <c r="L75" s="784" t="n"/>
      <c r="M75" s="129" t="n"/>
      <c r="N75" s="784" t="n"/>
      <c r="O75" s="129" t="n"/>
      <c r="P75" s="784" t="n"/>
      <c r="Q75" s="129" t="n"/>
      <c r="R75" s="784" t="n"/>
      <c r="S75" s="129" t="n"/>
      <c r="T75" s="784" t="n"/>
      <c r="U75" s="129" t="n"/>
      <c r="V75" s="784" t="n"/>
      <c r="W75" s="129" t="n"/>
      <c r="X75" s="784" t="n"/>
      <c r="Y75" s="129" t="n"/>
      <c r="Z75" s="784" t="n"/>
      <c r="AA75" s="129" t="n"/>
      <c r="AB75" s="784" t="n"/>
      <c r="AC75" s="129" t="n"/>
      <c r="AD75" s="784" t="n"/>
      <c r="AE75" s="18" t="n"/>
    </row>
    <row r="76" hidden="1" ht="14.25" customHeight="1" s="321" thickBot="1">
      <c r="A76" s="822" t="n"/>
      <c r="B76" s="284" t="inlineStr">
        <is>
          <t>Birim Satış Fiyatı</t>
        </is>
      </c>
      <c r="C76" s="787" t="n"/>
      <c r="D76" s="787" t="n"/>
      <c r="E76" s="787" t="n"/>
      <c r="F76" s="788" t="n"/>
      <c r="G76" s="289" t="n"/>
      <c r="H76" s="790" t="n"/>
      <c r="I76" s="280" t="n"/>
      <c r="J76" s="790" t="n"/>
      <c r="K76" s="280" t="n"/>
      <c r="L76" s="790" t="n"/>
      <c r="M76" s="280" t="n"/>
      <c r="N76" s="790" t="n"/>
      <c r="O76" s="280" t="n"/>
      <c r="P76" s="790" t="n"/>
      <c r="Q76" s="280" t="n"/>
      <c r="R76" s="790" t="n"/>
      <c r="S76" s="280" t="n"/>
      <c r="T76" s="790" t="n"/>
      <c r="U76" s="280" t="n"/>
      <c r="V76" s="790" t="n"/>
      <c r="W76" s="280" t="n"/>
      <c r="X76" s="790" t="n"/>
      <c r="Y76" s="280" t="n"/>
      <c r="Z76" s="790" t="n"/>
      <c r="AA76" s="280" t="n"/>
      <c r="AB76" s="790" t="n"/>
      <c r="AC76" s="280" t="n"/>
      <c r="AD76" s="790" t="n"/>
      <c r="AE76" s="18" t="n"/>
    </row>
    <row r="77" hidden="1" s="321">
      <c r="B77" s="128" t="n"/>
      <c r="C77" s="318" t="n"/>
      <c r="D77" s="318" t="n"/>
      <c r="E77" s="318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AE77" s="18" t="n"/>
    </row>
    <row r="78" hidden="1" ht="14.25" customHeight="1" s="321">
      <c r="A78" s="823" t="n">
        <v>8</v>
      </c>
      <c r="B78" s="293" t="n"/>
      <c r="C78" s="806" t="n"/>
      <c r="D78" s="806" t="n"/>
      <c r="E78" s="806" t="n"/>
      <c r="F78" s="807" t="n"/>
      <c r="G78" s="295" t="n"/>
      <c r="H78" s="815" t="n"/>
      <c r="I78" s="286" t="n"/>
      <c r="J78" s="815" t="n"/>
      <c r="K78" s="286" t="n"/>
      <c r="L78" s="815" t="n"/>
      <c r="M78" s="286" t="n"/>
      <c r="N78" s="815" t="n"/>
      <c r="O78" s="286" t="n"/>
      <c r="P78" s="815" t="n"/>
      <c r="Q78" s="286" t="n"/>
      <c r="R78" s="815" t="n"/>
      <c r="S78" s="286" t="n"/>
      <c r="T78" s="815" t="n"/>
      <c r="U78" s="286" t="n"/>
      <c r="V78" s="815" t="n"/>
      <c r="W78" s="286" t="n"/>
      <c r="X78" s="815" t="n"/>
      <c r="Y78" s="286" t="n"/>
      <c r="Z78" s="815" t="n"/>
      <c r="AA78" s="286" t="n"/>
      <c r="AB78" s="815" t="n"/>
      <c r="AC78" s="286" t="n"/>
      <c r="AD78" s="815" t="n"/>
      <c r="AE78" s="18" t="n"/>
    </row>
    <row r="79" hidden="1" ht="14.25" customHeight="1" s="321">
      <c r="A79" s="821" t="n"/>
      <c r="B79" s="207" t="inlineStr">
        <is>
          <t xml:space="preserve">Kurulu Kapasite </t>
        </is>
      </c>
      <c r="C79" s="773" t="n"/>
      <c r="D79" s="773" t="n"/>
      <c r="E79" s="773" t="n"/>
      <c r="F79" s="774" t="n"/>
      <c r="G79" s="267" t="n"/>
      <c r="H79" s="784" t="n"/>
      <c r="I79" s="130" t="n"/>
      <c r="J79" s="784" t="n"/>
      <c r="K79" s="130" t="n"/>
      <c r="L79" s="784" t="n"/>
      <c r="M79" s="130" t="n"/>
      <c r="N79" s="784" t="n"/>
      <c r="O79" s="130" t="n"/>
      <c r="P79" s="784" t="n"/>
      <c r="Q79" s="130" t="n"/>
      <c r="R79" s="784" t="n"/>
      <c r="S79" s="130" t="n"/>
      <c r="T79" s="784" t="n"/>
      <c r="U79" s="130" t="n"/>
      <c r="V79" s="784" t="n"/>
      <c r="W79" s="130" t="n"/>
      <c r="X79" s="784" t="n"/>
      <c r="Y79" s="130" t="n"/>
      <c r="Z79" s="784" t="n"/>
      <c r="AA79" s="130" t="n"/>
      <c r="AB79" s="784" t="n"/>
      <c r="AC79" s="130" t="n"/>
      <c r="AD79" s="784" t="n"/>
      <c r="AE79" s="18" t="n"/>
    </row>
    <row r="80" hidden="1" ht="14.25" customHeight="1" s="321">
      <c r="A80" s="821" t="n"/>
      <c r="B80" s="207" t="inlineStr">
        <is>
          <t>Üretim Miktarı</t>
        </is>
      </c>
      <c r="C80" s="773" t="n"/>
      <c r="D80" s="773" t="n"/>
      <c r="E80" s="773" t="n"/>
      <c r="F80" s="774" t="n"/>
      <c r="G80" s="267" t="n"/>
      <c r="H80" s="784" t="n"/>
      <c r="I80" s="130" t="n"/>
      <c r="J80" s="784" t="n"/>
      <c r="K80" s="130" t="n"/>
      <c r="L80" s="784" t="n"/>
      <c r="M80" s="130" t="n"/>
      <c r="N80" s="784" t="n"/>
      <c r="O80" s="130" t="n"/>
      <c r="P80" s="784" t="n"/>
      <c r="Q80" s="130" t="n"/>
      <c r="R80" s="784" t="n"/>
      <c r="S80" s="130" t="n"/>
      <c r="T80" s="784" t="n"/>
      <c r="U80" s="130" t="n"/>
      <c r="V80" s="784" t="n"/>
      <c r="W80" s="130" t="n"/>
      <c r="X80" s="784" t="n"/>
      <c r="Y80" s="130" t="n"/>
      <c r="Z80" s="784" t="n"/>
      <c r="AA80" s="130" t="n"/>
      <c r="AB80" s="784" t="n"/>
      <c r="AC80" s="130" t="n"/>
      <c r="AD80" s="784" t="n"/>
      <c r="AE80" s="18" t="n"/>
    </row>
    <row r="81" hidden="1" ht="14.25" customHeight="1" s="321">
      <c r="A81" s="821" t="n"/>
      <c r="B81" s="207" t="inlineStr">
        <is>
          <t>Satış Miktarı</t>
        </is>
      </c>
      <c r="C81" s="773" t="n"/>
      <c r="D81" s="773" t="n"/>
      <c r="E81" s="773" t="n"/>
      <c r="F81" s="774" t="n"/>
      <c r="G81" s="267" t="n"/>
      <c r="H81" s="784" t="n"/>
      <c r="I81" s="129" t="n"/>
      <c r="J81" s="784" t="n"/>
      <c r="K81" s="129" t="n"/>
      <c r="L81" s="784" t="n"/>
      <c r="M81" s="129" t="n"/>
      <c r="N81" s="784" t="n"/>
      <c r="O81" s="129" t="n"/>
      <c r="P81" s="784" t="n"/>
      <c r="Q81" s="129" t="n"/>
      <c r="R81" s="784" t="n"/>
      <c r="S81" s="129" t="n"/>
      <c r="T81" s="784" t="n"/>
      <c r="U81" s="129" t="n"/>
      <c r="V81" s="784" t="n"/>
      <c r="W81" s="129" t="n"/>
      <c r="X81" s="784" t="n"/>
      <c r="Y81" s="129" t="n"/>
      <c r="Z81" s="784" t="n"/>
      <c r="AA81" s="129" t="n"/>
      <c r="AB81" s="784" t="n"/>
      <c r="AC81" s="129" t="n"/>
      <c r="AD81" s="784" t="n"/>
      <c r="AE81" s="18" t="n"/>
    </row>
    <row r="82" hidden="1" ht="14.25" customHeight="1" s="321" thickBot="1">
      <c r="A82" s="822" t="n"/>
      <c r="B82" s="284" t="inlineStr">
        <is>
          <t>Birim Satış Fiyatı</t>
        </is>
      </c>
      <c r="C82" s="787" t="n"/>
      <c r="D82" s="787" t="n"/>
      <c r="E82" s="787" t="n"/>
      <c r="F82" s="788" t="n"/>
      <c r="G82" s="289" t="n"/>
      <c r="H82" s="790" t="n"/>
      <c r="I82" s="280" t="n"/>
      <c r="J82" s="790" t="n"/>
      <c r="K82" s="280" t="n"/>
      <c r="L82" s="790" t="n"/>
      <c r="M82" s="280" t="n"/>
      <c r="N82" s="790" t="n"/>
      <c r="O82" s="280" t="n"/>
      <c r="P82" s="790" t="n"/>
      <c r="Q82" s="280" t="n"/>
      <c r="R82" s="790" t="n"/>
      <c r="S82" s="280" t="n"/>
      <c r="T82" s="790" t="n"/>
      <c r="U82" s="280" t="n"/>
      <c r="V82" s="790" t="n"/>
      <c r="W82" s="280" t="n"/>
      <c r="X82" s="790" t="n"/>
      <c r="Y82" s="280" t="n"/>
      <c r="Z82" s="790" t="n"/>
      <c r="AA82" s="280" t="n"/>
      <c r="AB82" s="790" t="n"/>
      <c r="AC82" s="280" t="n"/>
      <c r="AD82" s="790" t="n"/>
      <c r="AE82" s="18" t="n"/>
    </row>
    <row r="83" hidden="1" s="321">
      <c r="B83" s="128" t="n"/>
      <c r="C83" s="318" t="n"/>
      <c r="D83" s="318" t="n"/>
      <c r="E83" s="318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AE83" s="18" t="n"/>
    </row>
    <row r="84" hidden="1" ht="14.25" customHeight="1" s="321">
      <c r="A84" s="820" t="n">
        <v>9</v>
      </c>
      <c r="B84" s="293" t="n"/>
      <c r="C84" s="806" t="n"/>
      <c r="D84" s="806" t="n"/>
      <c r="E84" s="806" t="n"/>
      <c r="F84" s="807" t="n"/>
      <c r="G84" s="295" t="n"/>
      <c r="H84" s="815" t="n"/>
      <c r="I84" s="286" t="n"/>
      <c r="J84" s="815" t="n"/>
      <c r="K84" s="286" t="n"/>
      <c r="L84" s="815" t="n"/>
      <c r="M84" s="286" t="n"/>
      <c r="N84" s="815" t="n"/>
      <c r="O84" s="286" t="n"/>
      <c r="P84" s="815" t="n"/>
      <c r="Q84" s="286" t="n"/>
      <c r="R84" s="815" t="n"/>
      <c r="S84" s="286" t="n"/>
      <c r="T84" s="815" t="n"/>
      <c r="U84" s="286" t="n"/>
      <c r="V84" s="815" t="n"/>
      <c r="W84" s="286" t="n"/>
      <c r="X84" s="815" t="n"/>
      <c r="Y84" s="286" t="n"/>
      <c r="Z84" s="815" t="n"/>
      <c r="AA84" s="286" t="n"/>
      <c r="AB84" s="815" t="n"/>
      <c r="AC84" s="286" t="n"/>
      <c r="AD84" s="815" t="n"/>
      <c r="AE84" s="18" t="n"/>
    </row>
    <row r="85" hidden="1" ht="14.25" customHeight="1" s="321">
      <c r="A85" s="821" t="n"/>
      <c r="B85" s="207" t="inlineStr">
        <is>
          <t xml:space="preserve">Kurulu Kapasite </t>
        </is>
      </c>
      <c r="C85" s="773" t="n"/>
      <c r="D85" s="773" t="n"/>
      <c r="E85" s="773" t="n"/>
      <c r="F85" s="774" t="n"/>
      <c r="G85" s="267" t="n"/>
      <c r="H85" s="784" t="n"/>
      <c r="I85" s="130" t="n"/>
      <c r="J85" s="784" t="n"/>
      <c r="K85" s="130" t="n"/>
      <c r="L85" s="784" t="n"/>
      <c r="M85" s="130" t="n"/>
      <c r="N85" s="784" t="n"/>
      <c r="O85" s="130" t="n"/>
      <c r="P85" s="784" t="n"/>
      <c r="Q85" s="130" t="n"/>
      <c r="R85" s="784" t="n"/>
      <c r="S85" s="130" t="n"/>
      <c r="T85" s="784" t="n"/>
      <c r="U85" s="130" t="n"/>
      <c r="V85" s="784" t="n"/>
      <c r="W85" s="130" t="n"/>
      <c r="X85" s="784" t="n"/>
      <c r="Y85" s="130" t="n"/>
      <c r="Z85" s="784" t="n"/>
      <c r="AA85" s="130" t="n"/>
      <c r="AB85" s="784" t="n"/>
      <c r="AC85" s="130" t="n"/>
      <c r="AD85" s="784" t="n"/>
      <c r="AE85" s="18" t="n"/>
    </row>
    <row r="86" hidden="1" ht="14.25" customHeight="1" s="321">
      <c r="A86" s="821" t="n"/>
      <c r="B86" s="207" t="inlineStr">
        <is>
          <t>Üretim Miktarı</t>
        </is>
      </c>
      <c r="C86" s="773" t="n"/>
      <c r="D86" s="773" t="n"/>
      <c r="E86" s="773" t="n"/>
      <c r="F86" s="774" t="n"/>
      <c r="G86" s="267" t="n"/>
      <c r="H86" s="784" t="n"/>
      <c r="I86" s="130" t="n"/>
      <c r="J86" s="784" t="n"/>
      <c r="K86" s="130" t="n"/>
      <c r="L86" s="784" t="n"/>
      <c r="M86" s="130" t="n"/>
      <c r="N86" s="784" t="n"/>
      <c r="O86" s="130" t="n"/>
      <c r="P86" s="784" t="n"/>
      <c r="Q86" s="130" t="n"/>
      <c r="R86" s="784" t="n"/>
      <c r="S86" s="130" t="n"/>
      <c r="T86" s="784" t="n"/>
      <c r="U86" s="130" t="n"/>
      <c r="V86" s="784" t="n"/>
      <c r="W86" s="130" t="n"/>
      <c r="X86" s="784" t="n"/>
      <c r="Y86" s="130" t="n"/>
      <c r="Z86" s="784" t="n"/>
      <c r="AA86" s="130" t="n"/>
      <c r="AB86" s="784" t="n"/>
      <c r="AC86" s="130" t="n"/>
      <c r="AD86" s="784" t="n"/>
      <c r="AE86" s="18" t="n"/>
    </row>
    <row r="87" hidden="1" ht="14.25" customHeight="1" s="321">
      <c r="A87" s="821" t="n"/>
      <c r="B87" s="207" t="inlineStr">
        <is>
          <t>Satış Miktarı</t>
        </is>
      </c>
      <c r="C87" s="773" t="n"/>
      <c r="D87" s="773" t="n"/>
      <c r="E87" s="773" t="n"/>
      <c r="F87" s="774" t="n"/>
      <c r="G87" s="267" t="n"/>
      <c r="H87" s="784" t="n"/>
      <c r="I87" s="129" t="n"/>
      <c r="J87" s="784" t="n"/>
      <c r="K87" s="129" t="n"/>
      <c r="L87" s="784" t="n"/>
      <c r="M87" s="129" t="n"/>
      <c r="N87" s="784" t="n"/>
      <c r="O87" s="129" t="n"/>
      <c r="P87" s="784" t="n"/>
      <c r="Q87" s="129" t="n"/>
      <c r="R87" s="784" t="n"/>
      <c r="S87" s="129" t="n"/>
      <c r="T87" s="784" t="n"/>
      <c r="U87" s="129" t="n"/>
      <c r="V87" s="784" t="n"/>
      <c r="W87" s="129" t="n"/>
      <c r="X87" s="784" t="n"/>
      <c r="Y87" s="129" t="n"/>
      <c r="Z87" s="784" t="n"/>
      <c r="AA87" s="129" t="n"/>
      <c r="AB87" s="784" t="n"/>
      <c r="AC87" s="129" t="n"/>
      <c r="AD87" s="784" t="n"/>
      <c r="AE87" s="18" t="n"/>
    </row>
    <row r="88" hidden="1" ht="14.25" customHeight="1" s="321" thickBot="1">
      <c r="A88" s="822" t="n"/>
      <c r="B88" s="284" t="inlineStr">
        <is>
          <t>Birim Satış Fiyatı</t>
        </is>
      </c>
      <c r="C88" s="787" t="n"/>
      <c r="D88" s="787" t="n"/>
      <c r="E88" s="787" t="n"/>
      <c r="F88" s="788" t="n"/>
      <c r="G88" s="289" t="n"/>
      <c r="H88" s="790" t="n"/>
      <c r="I88" s="280" t="n"/>
      <c r="J88" s="790" t="n"/>
      <c r="K88" s="280" t="n"/>
      <c r="L88" s="790" t="n"/>
      <c r="M88" s="280" t="n"/>
      <c r="N88" s="790" t="n"/>
      <c r="O88" s="280" t="n"/>
      <c r="P88" s="790" t="n"/>
      <c r="Q88" s="280" t="n"/>
      <c r="R88" s="790" t="n"/>
      <c r="S88" s="280" t="n"/>
      <c r="T88" s="790" t="n"/>
      <c r="U88" s="280" t="n"/>
      <c r="V88" s="790" t="n"/>
      <c r="W88" s="280" t="n"/>
      <c r="X88" s="790" t="n"/>
      <c r="Y88" s="280" t="n"/>
      <c r="Z88" s="790" t="n"/>
      <c r="AA88" s="280" t="n"/>
      <c r="AB88" s="790" t="n"/>
      <c r="AC88" s="280" t="n"/>
      <c r="AD88" s="790" t="n"/>
      <c r="AE88" s="18" t="n"/>
    </row>
    <row r="89" hidden="1" s="321">
      <c r="B89" s="128" t="n"/>
      <c r="C89" s="318" t="n"/>
      <c r="D89" s="318" t="n"/>
      <c r="E89" s="318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AE89" s="18" t="n"/>
    </row>
    <row r="90" hidden="1" ht="14.25" customHeight="1" s="321">
      <c r="A90" s="823" t="n">
        <v>10</v>
      </c>
      <c r="B90" s="293" t="n"/>
      <c r="C90" s="806" t="n"/>
      <c r="D90" s="806" t="n"/>
      <c r="E90" s="806" t="n"/>
      <c r="F90" s="807" t="n"/>
      <c r="G90" s="295" t="n"/>
      <c r="H90" s="815" t="n"/>
      <c r="I90" s="286" t="n"/>
      <c r="J90" s="815" t="n"/>
      <c r="K90" s="286" t="n"/>
      <c r="L90" s="815" t="n"/>
      <c r="M90" s="286" t="n"/>
      <c r="N90" s="815" t="n"/>
      <c r="O90" s="286" t="n"/>
      <c r="P90" s="815" t="n"/>
      <c r="Q90" s="286" t="n"/>
      <c r="R90" s="815" t="n"/>
      <c r="S90" s="286" t="n"/>
      <c r="T90" s="815" t="n"/>
      <c r="U90" s="286" t="n"/>
      <c r="V90" s="815" t="n"/>
      <c r="W90" s="286" t="n"/>
      <c r="X90" s="815" t="n"/>
      <c r="Y90" s="286" t="n"/>
      <c r="Z90" s="815" t="n"/>
      <c r="AA90" s="286" t="n"/>
      <c r="AB90" s="815" t="n"/>
      <c r="AC90" s="286" t="n"/>
      <c r="AD90" s="815" t="n"/>
      <c r="AE90" s="18" t="n"/>
    </row>
    <row r="91" hidden="1" ht="14.25" customHeight="1" s="321">
      <c r="A91" s="821" t="n"/>
      <c r="B91" s="207" t="inlineStr">
        <is>
          <t xml:space="preserve">Kurulu Kapasite </t>
        </is>
      </c>
      <c r="C91" s="773" t="n"/>
      <c r="D91" s="773" t="n"/>
      <c r="E91" s="773" t="n"/>
      <c r="F91" s="774" t="n"/>
      <c r="G91" s="267" t="n"/>
      <c r="H91" s="784" t="n"/>
      <c r="I91" s="130" t="n"/>
      <c r="J91" s="784" t="n"/>
      <c r="K91" s="130" t="n"/>
      <c r="L91" s="784" t="n"/>
      <c r="M91" s="130" t="n"/>
      <c r="N91" s="784" t="n"/>
      <c r="O91" s="130" t="n"/>
      <c r="P91" s="784" t="n"/>
      <c r="Q91" s="130" t="n"/>
      <c r="R91" s="784" t="n"/>
      <c r="S91" s="130" t="n"/>
      <c r="T91" s="784" t="n"/>
      <c r="U91" s="130" t="n"/>
      <c r="V91" s="784" t="n"/>
      <c r="W91" s="130" t="n"/>
      <c r="X91" s="784" t="n"/>
      <c r="Y91" s="130" t="n"/>
      <c r="Z91" s="784" t="n"/>
      <c r="AA91" s="130" t="n"/>
      <c r="AB91" s="784" t="n"/>
      <c r="AC91" s="130" t="n"/>
      <c r="AD91" s="784" t="n"/>
      <c r="AE91" s="18" t="n"/>
    </row>
    <row r="92" hidden="1" ht="14.25" customHeight="1" s="321">
      <c r="A92" s="821" t="n"/>
      <c r="B92" s="207" t="inlineStr">
        <is>
          <t>Üretim Miktarı</t>
        </is>
      </c>
      <c r="C92" s="773" t="n"/>
      <c r="D92" s="773" t="n"/>
      <c r="E92" s="773" t="n"/>
      <c r="F92" s="774" t="n"/>
      <c r="G92" s="267" t="n"/>
      <c r="H92" s="784" t="n"/>
      <c r="I92" s="130" t="n"/>
      <c r="J92" s="784" t="n"/>
      <c r="K92" s="130" t="n"/>
      <c r="L92" s="784" t="n"/>
      <c r="M92" s="130" t="n"/>
      <c r="N92" s="784" t="n"/>
      <c r="O92" s="130" t="n"/>
      <c r="P92" s="784" t="n"/>
      <c r="Q92" s="130" t="n"/>
      <c r="R92" s="784" t="n"/>
      <c r="S92" s="130" t="n"/>
      <c r="T92" s="784" t="n"/>
      <c r="U92" s="130" t="n"/>
      <c r="V92" s="784" t="n"/>
      <c r="W92" s="130" t="n"/>
      <c r="X92" s="784" t="n"/>
      <c r="Y92" s="130" t="n"/>
      <c r="Z92" s="784" t="n"/>
      <c r="AA92" s="130" t="n"/>
      <c r="AB92" s="784" t="n"/>
      <c r="AC92" s="130" t="n"/>
      <c r="AD92" s="784" t="n"/>
      <c r="AE92" s="18" t="n"/>
    </row>
    <row r="93" hidden="1" ht="14.25" customHeight="1" s="321">
      <c r="A93" s="821" t="n"/>
      <c r="B93" s="207" t="inlineStr">
        <is>
          <t>Satış Miktarı</t>
        </is>
      </c>
      <c r="C93" s="773" t="n"/>
      <c r="D93" s="773" t="n"/>
      <c r="E93" s="773" t="n"/>
      <c r="F93" s="774" t="n"/>
      <c r="G93" s="267" t="n"/>
      <c r="H93" s="784" t="n"/>
      <c r="I93" s="129" t="n"/>
      <c r="J93" s="784" t="n"/>
      <c r="K93" s="129" t="n"/>
      <c r="L93" s="784" t="n"/>
      <c r="M93" s="129" t="n"/>
      <c r="N93" s="784" t="n"/>
      <c r="O93" s="129" t="n"/>
      <c r="P93" s="784" t="n"/>
      <c r="Q93" s="129" t="n"/>
      <c r="R93" s="784" t="n"/>
      <c r="S93" s="129" t="n"/>
      <c r="T93" s="784" t="n"/>
      <c r="U93" s="129" t="n"/>
      <c r="V93" s="784" t="n"/>
      <c r="W93" s="129" t="n"/>
      <c r="X93" s="784" t="n"/>
      <c r="Y93" s="129" t="n"/>
      <c r="Z93" s="784" t="n"/>
      <c r="AA93" s="129" t="n"/>
      <c r="AB93" s="784" t="n"/>
      <c r="AC93" s="129" t="n"/>
      <c r="AD93" s="784" t="n"/>
      <c r="AE93" s="18" t="n"/>
    </row>
    <row r="94" hidden="1" ht="14.25" customHeight="1" s="321" thickBot="1">
      <c r="A94" s="822" t="n"/>
      <c r="B94" s="284" t="inlineStr">
        <is>
          <t>Birim Satış Fiyatı</t>
        </is>
      </c>
      <c r="C94" s="787" t="n"/>
      <c r="D94" s="787" t="n"/>
      <c r="E94" s="787" t="n"/>
      <c r="F94" s="788" t="n"/>
      <c r="G94" s="289" t="n"/>
      <c r="H94" s="790" t="n"/>
      <c r="I94" s="280" t="n"/>
      <c r="J94" s="790" t="n"/>
      <c r="K94" s="280" t="n"/>
      <c r="L94" s="790" t="n"/>
      <c r="M94" s="280" t="n"/>
      <c r="N94" s="790" t="n"/>
      <c r="O94" s="280" t="n"/>
      <c r="P94" s="790" t="n"/>
      <c r="Q94" s="280" t="n"/>
      <c r="R94" s="790" t="n"/>
      <c r="S94" s="280" t="n"/>
      <c r="T94" s="790" t="n"/>
      <c r="U94" s="280" t="n"/>
      <c r="V94" s="790" t="n"/>
      <c r="W94" s="280" t="n"/>
      <c r="X94" s="790" t="n"/>
      <c r="Y94" s="280" t="n"/>
      <c r="Z94" s="790" t="n"/>
      <c r="AA94" s="280" t="n"/>
      <c r="AB94" s="790" t="n"/>
      <c r="AC94" s="280" t="n"/>
      <c r="AD94" s="790" t="n"/>
      <c r="AE94" s="18" t="n"/>
    </row>
    <row r="95" hidden="1" s="321">
      <c r="B95" s="128" t="n"/>
      <c r="C95" s="318" t="n"/>
      <c r="D95" s="318" t="n"/>
      <c r="E95" s="318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AE95" s="18" t="n"/>
    </row>
    <row r="96" hidden="1" ht="14.25" customHeight="1" s="321">
      <c r="A96" s="820" t="n">
        <v>11</v>
      </c>
      <c r="B96" s="293" t="n"/>
      <c r="C96" s="806" t="n"/>
      <c r="D96" s="806" t="n"/>
      <c r="E96" s="806" t="n"/>
      <c r="F96" s="807" t="n"/>
      <c r="G96" s="295" t="n"/>
      <c r="H96" s="815" t="n"/>
      <c r="I96" s="286" t="n"/>
      <c r="J96" s="815" t="n"/>
      <c r="K96" s="286" t="n"/>
      <c r="L96" s="815" t="n"/>
      <c r="M96" s="286" t="n"/>
      <c r="N96" s="815" t="n"/>
      <c r="O96" s="286" t="n"/>
      <c r="P96" s="815" t="n"/>
      <c r="Q96" s="286" t="n"/>
      <c r="R96" s="815" t="n"/>
      <c r="S96" s="286" t="n"/>
      <c r="T96" s="815" t="n"/>
      <c r="U96" s="286" t="n"/>
      <c r="V96" s="815" t="n"/>
      <c r="W96" s="286" t="n"/>
      <c r="X96" s="815" t="n"/>
      <c r="Y96" s="286" t="n"/>
      <c r="Z96" s="815" t="n"/>
      <c r="AA96" s="286" t="n"/>
      <c r="AB96" s="815" t="n"/>
      <c r="AC96" s="286" t="n"/>
      <c r="AD96" s="815" t="n"/>
      <c r="AE96" s="18" t="n"/>
    </row>
    <row r="97" hidden="1" ht="14.25" customHeight="1" s="321">
      <c r="A97" s="821" t="n"/>
      <c r="B97" s="207" t="inlineStr">
        <is>
          <t xml:space="preserve">Kurulu Kapasite </t>
        </is>
      </c>
      <c r="C97" s="773" t="n"/>
      <c r="D97" s="773" t="n"/>
      <c r="E97" s="773" t="n"/>
      <c r="F97" s="774" t="n"/>
      <c r="G97" s="267" t="n"/>
      <c r="H97" s="784" t="n"/>
      <c r="I97" s="130" t="n"/>
      <c r="J97" s="784" t="n"/>
      <c r="K97" s="130" t="n"/>
      <c r="L97" s="784" t="n"/>
      <c r="M97" s="130" t="n"/>
      <c r="N97" s="784" t="n"/>
      <c r="O97" s="130" t="n"/>
      <c r="P97" s="784" t="n"/>
      <c r="Q97" s="130" t="n"/>
      <c r="R97" s="784" t="n"/>
      <c r="S97" s="130" t="n"/>
      <c r="T97" s="784" t="n"/>
      <c r="U97" s="130" t="n"/>
      <c r="V97" s="784" t="n"/>
      <c r="W97" s="130" t="n"/>
      <c r="X97" s="784" t="n"/>
      <c r="Y97" s="130" t="n"/>
      <c r="Z97" s="784" t="n"/>
      <c r="AA97" s="130" t="n"/>
      <c r="AB97" s="784" t="n"/>
      <c r="AC97" s="130" t="n"/>
      <c r="AD97" s="784" t="n"/>
      <c r="AE97" s="18" t="n"/>
    </row>
    <row r="98" hidden="1" ht="14.25" customHeight="1" s="321">
      <c r="A98" s="821" t="n"/>
      <c r="B98" s="207" t="inlineStr">
        <is>
          <t>Üretim Miktarı</t>
        </is>
      </c>
      <c r="C98" s="773" t="n"/>
      <c r="D98" s="773" t="n"/>
      <c r="E98" s="773" t="n"/>
      <c r="F98" s="774" t="n"/>
      <c r="G98" s="267" t="n"/>
      <c r="H98" s="784" t="n"/>
      <c r="I98" s="130" t="n"/>
      <c r="J98" s="784" t="n"/>
      <c r="K98" s="130" t="n"/>
      <c r="L98" s="784" t="n"/>
      <c r="M98" s="130" t="n"/>
      <c r="N98" s="784" t="n"/>
      <c r="O98" s="130" t="n"/>
      <c r="P98" s="784" t="n"/>
      <c r="Q98" s="130" t="n"/>
      <c r="R98" s="784" t="n"/>
      <c r="S98" s="130" t="n"/>
      <c r="T98" s="784" t="n"/>
      <c r="U98" s="130" t="n"/>
      <c r="V98" s="784" t="n"/>
      <c r="W98" s="130" t="n"/>
      <c r="X98" s="784" t="n"/>
      <c r="Y98" s="130" t="n"/>
      <c r="Z98" s="784" t="n"/>
      <c r="AA98" s="130" t="n"/>
      <c r="AB98" s="784" t="n"/>
      <c r="AC98" s="130" t="n"/>
      <c r="AD98" s="784" t="n"/>
      <c r="AE98" s="18" t="n"/>
    </row>
    <row r="99" hidden="1" ht="14.25" customHeight="1" s="321">
      <c r="A99" s="821" t="n"/>
      <c r="B99" s="207" t="inlineStr">
        <is>
          <t>Satış Miktarı</t>
        </is>
      </c>
      <c r="C99" s="773" t="n"/>
      <c r="D99" s="773" t="n"/>
      <c r="E99" s="773" t="n"/>
      <c r="F99" s="774" t="n"/>
      <c r="G99" s="267" t="n"/>
      <c r="H99" s="784" t="n"/>
      <c r="I99" s="129" t="n"/>
      <c r="J99" s="784" t="n"/>
      <c r="K99" s="129" t="n"/>
      <c r="L99" s="784" t="n"/>
      <c r="M99" s="129" t="n"/>
      <c r="N99" s="784" t="n"/>
      <c r="O99" s="129" t="n"/>
      <c r="P99" s="784" t="n"/>
      <c r="Q99" s="129" t="n"/>
      <c r="R99" s="784" t="n"/>
      <c r="S99" s="129" t="n"/>
      <c r="T99" s="784" t="n"/>
      <c r="U99" s="129" t="n"/>
      <c r="V99" s="784" t="n"/>
      <c r="W99" s="129" t="n"/>
      <c r="X99" s="784" t="n"/>
      <c r="Y99" s="129" t="n"/>
      <c r="Z99" s="784" t="n"/>
      <c r="AA99" s="129" t="n"/>
      <c r="AB99" s="784" t="n"/>
      <c r="AC99" s="129" t="n"/>
      <c r="AD99" s="784" t="n"/>
      <c r="AE99" s="18" t="n"/>
    </row>
    <row r="100" hidden="1" ht="14.25" customHeight="1" s="321" thickBot="1">
      <c r="A100" s="822" t="n"/>
      <c r="B100" s="284" t="inlineStr">
        <is>
          <t>Birim Satış Fiyatı</t>
        </is>
      </c>
      <c r="C100" s="787" t="n"/>
      <c r="D100" s="787" t="n"/>
      <c r="E100" s="787" t="n"/>
      <c r="F100" s="788" t="n"/>
      <c r="G100" s="289" t="n"/>
      <c r="H100" s="790" t="n"/>
      <c r="I100" s="280" t="n"/>
      <c r="J100" s="790" t="n"/>
      <c r="K100" s="280" t="n"/>
      <c r="L100" s="790" t="n"/>
      <c r="M100" s="280" t="n"/>
      <c r="N100" s="790" t="n"/>
      <c r="O100" s="280" t="n"/>
      <c r="P100" s="790" t="n"/>
      <c r="Q100" s="280" t="n"/>
      <c r="R100" s="790" t="n"/>
      <c r="S100" s="280" t="n"/>
      <c r="T100" s="790" t="n"/>
      <c r="U100" s="280" t="n"/>
      <c r="V100" s="790" t="n"/>
      <c r="W100" s="280" t="n"/>
      <c r="X100" s="790" t="n"/>
      <c r="Y100" s="280" t="n"/>
      <c r="Z100" s="790" t="n"/>
      <c r="AA100" s="280" t="n"/>
      <c r="AB100" s="790" t="n"/>
      <c r="AC100" s="280" t="n"/>
      <c r="AD100" s="790" t="n"/>
      <c r="AE100" s="18" t="n"/>
    </row>
    <row r="101" hidden="1" s="321">
      <c r="B101" s="128" t="n"/>
      <c r="C101" s="318" t="n"/>
      <c r="D101" s="318" t="n"/>
      <c r="E101" s="318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AE101" s="18" t="n"/>
    </row>
    <row r="102" hidden="1" ht="14.25" customHeight="1" s="321">
      <c r="A102" s="823" t="n">
        <v>12</v>
      </c>
      <c r="B102" s="293" t="n"/>
      <c r="C102" s="806" t="n"/>
      <c r="D102" s="806" t="n"/>
      <c r="E102" s="806" t="n"/>
      <c r="F102" s="807" t="n"/>
      <c r="G102" s="295" t="n"/>
      <c r="H102" s="815" t="n"/>
      <c r="I102" s="286" t="n"/>
      <c r="J102" s="815" t="n"/>
      <c r="K102" s="286" t="n"/>
      <c r="L102" s="815" t="n"/>
      <c r="M102" s="286" t="n"/>
      <c r="N102" s="815" t="n"/>
      <c r="O102" s="286" t="n"/>
      <c r="P102" s="815" t="n"/>
      <c r="Q102" s="286" t="n"/>
      <c r="R102" s="815" t="n"/>
      <c r="S102" s="286" t="n"/>
      <c r="T102" s="815" t="n"/>
      <c r="U102" s="286" t="n"/>
      <c r="V102" s="815" t="n"/>
      <c r="W102" s="286" t="n"/>
      <c r="X102" s="815" t="n"/>
      <c r="Y102" s="286" t="n"/>
      <c r="Z102" s="815" t="n"/>
      <c r="AA102" s="286" t="n"/>
      <c r="AB102" s="815" t="n"/>
      <c r="AC102" s="286" t="n"/>
      <c r="AD102" s="815" t="n"/>
      <c r="AE102" s="18" t="n"/>
    </row>
    <row r="103" hidden="1" ht="14.25" customHeight="1" s="321">
      <c r="A103" s="821" t="n"/>
      <c r="B103" s="207" t="inlineStr">
        <is>
          <t xml:space="preserve">Kurulu Kapasite </t>
        </is>
      </c>
      <c r="C103" s="773" t="n"/>
      <c r="D103" s="773" t="n"/>
      <c r="E103" s="773" t="n"/>
      <c r="F103" s="774" t="n"/>
      <c r="G103" s="267" t="n"/>
      <c r="H103" s="784" t="n"/>
      <c r="I103" s="130" t="n"/>
      <c r="J103" s="784" t="n"/>
      <c r="K103" s="130" t="n"/>
      <c r="L103" s="784" t="n"/>
      <c r="M103" s="130" t="n"/>
      <c r="N103" s="784" t="n"/>
      <c r="O103" s="130" t="n"/>
      <c r="P103" s="784" t="n"/>
      <c r="Q103" s="130" t="n"/>
      <c r="R103" s="784" t="n"/>
      <c r="S103" s="130" t="n"/>
      <c r="T103" s="784" t="n"/>
      <c r="U103" s="130" t="n"/>
      <c r="V103" s="784" t="n"/>
      <c r="W103" s="130" t="n"/>
      <c r="X103" s="784" t="n"/>
      <c r="Y103" s="130" t="n"/>
      <c r="Z103" s="784" t="n"/>
      <c r="AA103" s="130" t="n"/>
      <c r="AB103" s="784" t="n"/>
      <c r="AC103" s="130" t="n"/>
      <c r="AD103" s="784" t="n"/>
      <c r="AE103" s="18" t="n"/>
    </row>
    <row r="104" hidden="1" ht="14.25" customHeight="1" s="321">
      <c r="A104" s="821" t="n"/>
      <c r="B104" s="207" t="inlineStr">
        <is>
          <t>Üretim Miktarı</t>
        </is>
      </c>
      <c r="C104" s="773" t="n"/>
      <c r="D104" s="773" t="n"/>
      <c r="E104" s="773" t="n"/>
      <c r="F104" s="774" t="n"/>
      <c r="G104" s="267" t="n"/>
      <c r="H104" s="784" t="n"/>
      <c r="I104" s="130" t="n"/>
      <c r="J104" s="784" t="n"/>
      <c r="K104" s="130" t="n"/>
      <c r="L104" s="784" t="n"/>
      <c r="M104" s="130" t="n"/>
      <c r="N104" s="784" t="n"/>
      <c r="O104" s="130" t="n"/>
      <c r="P104" s="784" t="n"/>
      <c r="Q104" s="130" t="n"/>
      <c r="R104" s="784" t="n"/>
      <c r="S104" s="130" t="n"/>
      <c r="T104" s="784" t="n"/>
      <c r="U104" s="130" t="n"/>
      <c r="V104" s="784" t="n"/>
      <c r="W104" s="130" t="n"/>
      <c r="X104" s="784" t="n"/>
      <c r="Y104" s="130" t="n"/>
      <c r="Z104" s="784" t="n"/>
      <c r="AA104" s="130" t="n"/>
      <c r="AB104" s="784" t="n"/>
      <c r="AC104" s="130" t="n"/>
      <c r="AD104" s="784" t="n"/>
      <c r="AE104" s="18" t="n"/>
    </row>
    <row r="105" hidden="1" ht="14.25" customHeight="1" s="321">
      <c r="A105" s="821" t="n"/>
      <c r="B105" s="207" t="inlineStr">
        <is>
          <t>Satış Miktarı</t>
        </is>
      </c>
      <c r="C105" s="773" t="n"/>
      <c r="D105" s="773" t="n"/>
      <c r="E105" s="773" t="n"/>
      <c r="F105" s="774" t="n"/>
      <c r="G105" s="267" t="n"/>
      <c r="H105" s="784" t="n"/>
      <c r="I105" s="129" t="n"/>
      <c r="J105" s="784" t="n"/>
      <c r="K105" s="129" t="n"/>
      <c r="L105" s="784" t="n"/>
      <c r="M105" s="129" t="n"/>
      <c r="N105" s="784" t="n"/>
      <c r="O105" s="129" t="n"/>
      <c r="P105" s="784" t="n"/>
      <c r="Q105" s="129" t="n"/>
      <c r="R105" s="784" t="n"/>
      <c r="S105" s="129" t="n"/>
      <c r="T105" s="784" t="n"/>
      <c r="U105" s="129" t="n"/>
      <c r="V105" s="784" t="n"/>
      <c r="W105" s="129" t="n"/>
      <c r="X105" s="784" t="n"/>
      <c r="Y105" s="129" t="n"/>
      <c r="Z105" s="784" t="n"/>
      <c r="AA105" s="129" t="n"/>
      <c r="AB105" s="784" t="n"/>
      <c r="AC105" s="129" t="n"/>
      <c r="AD105" s="784" t="n"/>
      <c r="AE105" s="18" t="n"/>
    </row>
    <row r="106" hidden="1" ht="14.25" customHeight="1" s="321" thickBot="1">
      <c r="A106" s="822" t="n"/>
      <c r="B106" s="284" t="inlineStr">
        <is>
          <t>Birim Satış Fiyatı</t>
        </is>
      </c>
      <c r="C106" s="787" t="n"/>
      <c r="D106" s="787" t="n"/>
      <c r="E106" s="787" t="n"/>
      <c r="F106" s="788" t="n"/>
      <c r="G106" s="289" t="n"/>
      <c r="H106" s="790" t="n"/>
      <c r="I106" s="280" t="n"/>
      <c r="J106" s="790" t="n"/>
      <c r="K106" s="280" t="n"/>
      <c r="L106" s="790" t="n"/>
      <c r="M106" s="280" t="n"/>
      <c r="N106" s="790" t="n"/>
      <c r="O106" s="280" t="n"/>
      <c r="P106" s="790" t="n"/>
      <c r="Q106" s="280" t="n"/>
      <c r="R106" s="790" t="n"/>
      <c r="S106" s="280" t="n"/>
      <c r="T106" s="790" t="n"/>
      <c r="U106" s="280" t="n"/>
      <c r="V106" s="790" t="n"/>
      <c r="W106" s="280" t="n"/>
      <c r="X106" s="790" t="n"/>
      <c r="Y106" s="280" t="n"/>
      <c r="Z106" s="790" t="n"/>
      <c r="AA106" s="280" t="n"/>
      <c r="AB106" s="790" t="n"/>
      <c r="AC106" s="280" t="n"/>
      <c r="AD106" s="790" t="n"/>
      <c r="AE106" s="18" t="n"/>
    </row>
    <row r="107" hidden="1" ht="13.5" customHeight="1" s="321" thickBot="1">
      <c r="B107" s="128" t="n"/>
      <c r="C107" s="318" t="n"/>
      <c r="D107" s="318" t="n"/>
      <c r="E107" s="318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AE107" s="18" t="n"/>
    </row>
    <row r="108" hidden="1" ht="14.25" customHeight="1" s="321">
      <c r="A108" s="820" t="n">
        <v>13</v>
      </c>
      <c r="B108" s="293" t="n"/>
      <c r="C108" s="806" t="n"/>
      <c r="D108" s="806" t="n"/>
      <c r="E108" s="806" t="n"/>
      <c r="F108" s="807" t="n"/>
      <c r="G108" s="295" t="n"/>
      <c r="H108" s="815" t="n"/>
      <c r="I108" s="286" t="n"/>
      <c r="J108" s="815" t="n"/>
      <c r="K108" s="286" t="n"/>
      <c r="L108" s="815" t="n"/>
      <c r="M108" s="286" t="n"/>
      <c r="N108" s="815" t="n"/>
      <c r="O108" s="286" t="n"/>
      <c r="P108" s="815" t="n"/>
      <c r="Q108" s="286" t="n"/>
      <c r="R108" s="815" t="n"/>
      <c r="S108" s="286" t="n"/>
      <c r="T108" s="815" t="n"/>
      <c r="U108" s="286" t="n"/>
      <c r="V108" s="815" t="n"/>
      <c r="W108" s="286" t="n"/>
      <c r="X108" s="815" t="n"/>
      <c r="Y108" s="286" t="n"/>
      <c r="Z108" s="815" t="n"/>
      <c r="AA108" s="286" t="n"/>
      <c r="AB108" s="815" t="n"/>
      <c r="AC108" s="286" t="n"/>
      <c r="AD108" s="815" t="n"/>
      <c r="AE108" s="18" t="n"/>
    </row>
    <row r="109" hidden="1" ht="14.25" customHeight="1" s="321">
      <c r="A109" s="821" t="n"/>
      <c r="B109" s="207" t="inlineStr">
        <is>
          <t xml:space="preserve">Kurulu Kapasite </t>
        </is>
      </c>
      <c r="C109" s="773" t="n"/>
      <c r="D109" s="773" t="n"/>
      <c r="E109" s="773" t="n"/>
      <c r="F109" s="774" t="n"/>
      <c r="G109" s="267" t="n"/>
      <c r="H109" s="784" t="n"/>
      <c r="I109" s="130" t="n"/>
      <c r="J109" s="784" t="n"/>
      <c r="K109" s="130" t="n"/>
      <c r="L109" s="784" t="n"/>
      <c r="M109" s="130" t="n"/>
      <c r="N109" s="784" t="n"/>
      <c r="O109" s="130" t="n"/>
      <c r="P109" s="784" t="n"/>
      <c r="Q109" s="130" t="n"/>
      <c r="R109" s="784" t="n"/>
      <c r="S109" s="130" t="n"/>
      <c r="T109" s="784" t="n"/>
      <c r="U109" s="130" t="n"/>
      <c r="V109" s="784" t="n"/>
      <c r="W109" s="130" t="n"/>
      <c r="X109" s="784" t="n"/>
      <c r="Y109" s="130" t="n"/>
      <c r="Z109" s="784" t="n"/>
      <c r="AA109" s="130" t="n"/>
      <c r="AB109" s="784" t="n"/>
      <c r="AC109" s="130" t="n"/>
      <c r="AD109" s="784" t="n"/>
      <c r="AE109" s="18" t="n"/>
    </row>
    <row r="110" hidden="1" ht="14.25" customHeight="1" s="321">
      <c r="A110" s="821" t="n"/>
      <c r="B110" s="207" t="inlineStr">
        <is>
          <t>Üretim Miktarı</t>
        </is>
      </c>
      <c r="C110" s="773" t="n"/>
      <c r="D110" s="773" t="n"/>
      <c r="E110" s="773" t="n"/>
      <c r="F110" s="774" t="n"/>
      <c r="G110" s="267" t="n"/>
      <c r="H110" s="784" t="n"/>
      <c r="I110" s="130" t="n"/>
      <c r="J110" s="784" t="n"/>
      <c r="K110" s="130" t="n"/>
      <c r="L110" s="784" t="n"/>
      <c r="M110" s="130" t="n"/>
      <c r="N110" s="784" t="n"/>
      <c r="O110" s="130" t="n"/>
      <c r="P110" s="784" t="n"/>
      <c r="Q110" s="130" t="n"/>
      <c r="R110" s="784" t="n"/>
      <c r="S110" s="130" t="n"/>
      <c r="T110" s="784" t="n"/>
      <c r="U110" s="130" t="n"/>
      <c r="V110" s="784" t="n"/>
      <c r="W110" s="130" t="n"/>
      <c r="X110" s="784" t="n"/>
      <c r="Y110" s="130" t="n"/>
      <c r="Z110" s="784" t="n"/>
      <c r="AA110" s="130" t="n"/>
      <c r="AB110" s="784" t="n"/>
      <c r="AC110" s="130" t="n"/>
      <c r="AD110" s="784" t="n"/>
      <c r="AE110" s="18" t="n"/>
    </row>
    <row r="111" hidden="1" ht="14.25" customHeight="1" s="321">
      <c r="A111" s="821" t="n"/>
      <c r="B111" s="207" t="inlineStr">
        <is>
          <t>Satış Miktarı</t>
        </is>
      </c>
      <c r="C111" s="773" t="n"/>
      <c r="D111" s="773" t="n"/>
      <c r="E111" s="773" t="n"/>
      <c r="F111" s="774" t="n"/>
      <c r="G111" s="267" t="n"/>
      <c r="H111" s="784" t="n"/>
      <c r="I111" s="129" t="n"/>
      <c r="J111" s="784" t="n"/>
      <c r="K111" s="129" t="n"/>
      <c r="L111" s="784" t="n"/>
      <c r="M111" s="129" t="n"/>
      <c r="N111" s="784" t="n"/>
      <c r="O111" s="129" t="n"/>
      <c r="P111" s="784" t="n"/>
      <c r="Q111" s="129" t="n"/>
      <c r="R111" s="784" t="n"/>
      <c r="S111" s="129" t="n"/>
      <c r="T111" s="784" t="n"/>
      <c r="U111" s="129" t="n"/>
      <c r="V111" s="784" t="n"/>
      <c r="W111" s="129" t="n"/>
      <c r="X111" s="784" t="n"/>
      <c r="Y111" s="129" t="n"/>
      <c r="Z111" s="784" t="n"/>
      <c r="AA111" s="129" t="n"/>
      <c r="AB111" s="784" t="n"/>
      <c r="AC111" s="129" t="n"/>
      <c r="AD111" s="784" t="n"/>
      <c r="AE111" s="18" t="n"/>
    </row>
    <row r="112" hidden="1" ht="14.25" customHeight="1" s="321" thickBot="1">
      <c r="A112" s="822" t="n"/>
      <c r="B112" s="284" t="inlineStr">
        <is>
          <t>Birim Satış Fiyatı</t>
        </is>
      </c>
      <c r="C112" s="787" t="n"/>
      <c r="D112" s="787" t="n"/>
      <c r="E112" s="787" t="n"/>
      <c r="F112" s="788" t="n"/>
      <c r="G112" s="289" t="n"/>
      <c r="H112" s="790" t="n"/>
      <c r="I112" s="280" t="n"/>
      <c r="J112" s="790" t="n"/>
      <c r="K112" s="280" t="n"/>
      <c r="L112" s="790" t="n"/>
      <c r="M112" s="280" t="n"/>
      <c r="N112" s="790" t="n"/>
      <c r="O112" s="280" t="n"/>
      <c r="P112" s="790" t="n"/>
      <c r="Q112" s="280" t="n"/>
      <c r="R112" s="790" t="n"/>
      <c r="S112" s="280" t="n"/>
      <c r="T112" s="790" t="n"/>
      <c r="U112" s="280" t="n"/>
      <c r="V112" s="790" t="n"/>
      <c r="W112" s="280" t="n"/>
      <c r="X112" s="790" t="n"/>
      <c r="Y112" s="280" t="n"/>
      <c r="Z112" s="790" t="n"/>
      <c r="AA112" s="280" t="n"/>
      <c r="AB112" s="790" t="n"/>
      <c r="AC112" s="280" t="n"/>
      <c r="AD112" s="790" t="n"/>
      <c r="AE112" s="18" t="n"/>
    </row>
    <row r="113" hidden="1" ht="13.5" customHeight="1" s="321" thickBot="1">
      <c r="B113" s="128" t="n"/>
      <c r="C113" s="318" t="n"/>
      <c r="D113" s="318" t="n"/>
      <c r="E113" s="318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AE113" s="18" t="n"/>
    </row>
    <row r="114" hidden="1" ht="14.25" customHeight="1" s="321">
      <c r="A114" s="823" t="n">
        <v>14</v>
      </c>
      <c r="B114" s="293" t="n"/>
      <c r="C114" s="806" t="n"/>
      <c r="D114" s="806" t="n"/>
      <c r="E114" s="806" t="n"/>
      <c r="F114" s="807" t="n"/>
      <c r="G114" s="295" t="n"/>
      <c r="H114" s="815" t="n"/>
      <c r="I114" s="286" t="n"/>
      <c r="J114" s="815" t="n"/>
      <c r="K114" s="286" t="n"/>
      <c r="L114" s="815" t="n"/>
      <c r="M114" s="286" t="n"/>
      <c r="N114" s="815" t="n"/>
      <c r="O114" s="286" t="n"/>
      <c r="P114" s="815" t="n"/>
      <c r="Q114" s="286" t="n"/>
      <c r="R114" s="815" t="n"/>
      <c r="S114" s="286" t="n"/>
      <c r="T114" s="815" t="n"/>
      <c r="U114" s="286" t="n"/>
      <c r="V114" s="815" t="n"/>
      <c r="W114" s="286" t="n"/>
      <c r="X114" s="815" t="n"/>
      <c r="Y114" s="286" t="n"/>
      <c r="Z114" s="815" t="n"/>
      <c r="AA114" s="286" t="n"/>
      <c r="AB114" s="815" t="n"/>
      <c r="AC114" s="286" t="n"/>
      <c r="AD114" s="815" t="n"/>
      <c r="AE114" s="18" t="n"/>
    </row>
    <row r="115" hidden="1" ht="14.25" customHeight="1" s="321">
      <c r="A115" s="821" t="n"/>
      <c r="B115" s="207" t="inlineStr">
        <is>
          <t xml:space="preserve">Kurulu Kapasite </t>
        </is>
      </c>
      <c r="C115" s="773" t="n"/>
      <c r="D115" s="773" t="n"/>
      <c r="E115" s="773" t="n"/>
      <c r="F115" s="774" t="n"/>
      <c r="G115" s="267" t="n"/>
      <c r="H115" s="784" t="n"/>
      <c r="I115" s="130" t="n"/>
      <c r="J115" s="784" t="n"/>
      <c r="K115" s="130" t="n"/>
      <c r="L115" s="784" t="n"/>
      <c r="M115" s="130" t="n"/>
      <c r="N115" s="784" t="n"/>
      <c r="O115" s="130" t="n"/>
      <c r="P115" s="784" t="n"/>
      <c r="Q115" s="130" t="n"/>
      <c r="R115" s="784" t="n"/>
      <c r="S115" s="130" t="n"/>
      <c r="T115" s="784" t="n"/>
      <c r="U115" s="130" t="n"/>
      <c r="V115" s="784" t="n"/>
      <c r="W115" s="130" t="n"/>
      <c r="X115" s="784" t="n"/>
      <c r="Y115" s="130" t="n"/>
      <c r="Z115" s="784" t="n"/>
      <c r="AA115" s="130" t="n"/>
      <c r="AB115" s="784" t="n"/>
      <c r="AC115" s="130" t="n"/>
      <c r="AD115" s="784" t="n"/>
      <c r="AE115" s="18" t="n"/>
    </row>
    <row r="116" hidden="1" ht="14.25" customHeight="1" s="321">
      <c r="A116" s="821" t="n"/>
      <c r="B116" s="207" t="inlineStr">
        <is>
          <t>Üretim Miktarı</t>
        </is>
      </c>
      <c r="C116" s="773" t="n"/>
      <c r="D116" s="773" t="n"/>
      <c r="E116" s="773" t="n"/>
      <c r="F116" s="774" t="n"/>
      <c r="G116" s="267" t="n"/>
      <c r="H116" s="784" t="n"/>
      <c r="I116" s="130" t="n"/>
      <c r="J116" s="784" t="n"/>
      <c r="K116" s="130" t="n"/>
      <c r="L116" s="784" t="n"/>
      <c r="M116" s="130" t="n"/>
      <c r="N116" s="784" t="n"/>
      <c r="O116" s="130" t="n"/>
      <c r="P116" s="784" t="n"/>
      <c r="Q116" s="130" t="n"/>
      <c r="R116" s="784" t="n"/>
      <c r="S116" s="130" t="n"/>
      <c r="T116" s="784" t="n"/>
      <c r="U116" s="130" t="n"/>
      <c r="V116" s="784" t="n"/>
      <c r="W116" s="130" t="n"/>
      <c r="X116" s="784" t="n"/>
      <c r="Y116" s="130" t="n"/>
      <c r="Z116" s="784" t="n"/>
      <c r="AA116" s="130" t="n"/>
      <c r="AB116" s="784" t="n"/>
      <c r="AC116" s="130" t="n"/>
      <c r="AD116" s="784" t="n"/>
      <c r="AE116" s="18" t="n"/>
    </row>
    <row r="117" hidden="1" ht="14.25" customHeight="1" s="321">
      <c r="A117" s="821" t="n"/>
      <c r="B117" s="207" t="inlineStr">
        <is>
          <t>Satış Miktarı</t>
        </is>
      </c>
      <c r="C117" s="773" t="n"/>
      <c r="D117" s="773" t="n"/>
      <c r="E117" s="773" t="n"/>
      <c r="F117" s="774" t="n"/>
      <c r="G117" s="267" t="n"/>
      <c r="H117" s="784" t="n"/>
      <c r="I117" s="129" t="n"/>
      <c r="J117" s="784" t="n"/>
      <c r="K117" s="129" t="n"/>
      <c r="L117" s="784" t="n"/>
      <c r="M117" s="129" t="n"/>
      <c r="N117" s="784" t="n"/>
      <c r="O117" s="129" t="n"/>
      <c r="P117" s="784" t="n"/>
      <c r="Q117" s="129" t="n"/>
      <c r="R117" s="784" t="n"/>
      <c r="S117" s="129" t="n"/>
      <c r="T117" s="784" t="n"/>
      <c r="U117" s="129" t="n"/>
      <c r="V117" s="784" t="n"/>
      <c r="W117" s="129" t="n"/>
      <c r="X117" s="784" t="n"/>
      <c r="Y117" s="129" t="n"/>
      <c r="Z117" s="784" t="n"/>
      <c r="AA117" s="129" t="n"/>
      <c r="AB117" s="784" t="n"/>
      <c r="AC117" s="129" t="n"/>
      <c r="AD117" s="784" t="n"/>
      <c r="AE117" s="18" t="n"/>
    </row>
    <row r="118" hidden="1" ht="14.25" customHeight="1" s="321" thickBot="1">
      <c r="A118" s="822" t="n"/>
      <c r="B118" s="284" t="inlineStr">
        <is>
          <t>Birim Satış Fiyatı</t>
        </is>
      </c>
      <c r="C118" s="787" t="n"/>
      <c r="D118" s="787" t="n"/>
      <c r="E118" s="787" t="n"/>
      <c r="F118" s="788" t="n"/>
      <c r="G118" s="289" t="n"/>
      <c r="H118" s="790" t="n"/>
      <c r="I118" s="280" t="n"/>
      <c r="J118" s="790" t="n"/>
      <c r="K118" s="280" t="n"/>
      <c r="L118" s="790" t="n"/>
      <c r="M118" s="280" t="n"/>
      <c r="N118" s="790" t="n"/>
      <c r="O118" s="280" t="n"/>
      <c r="P118" s="790" t="n"/>
      <c r="Q118" s="280" t="n"/>
      <c r="R118" s="790" t="n"/>
      <c r="S118" s="280" t="n"/>
      <c r="T118" s="790" t="n"/>
      <c r="U118" s="280" t="n"/>
      <c r="V118" s="790" t="n"/>
      <c r="W118" s="280" t="n"/>
      <c r="X118" s="790" t="n"/>
      <c r="Y118" s="280" t="n"/>
      <c r="Z118" s="790" t="n"/>
      <c r="AA118" s="280" t="n"/>
      <c r="AB118" s="790" t="n"/>
      <c r="AC118" s="280" t="n"/>
      <c r="AD118" s="790" t="n"/>
      <c r="AE118" s="18" t="n"/>
    </row>
    <row r="119" hidden="1" ht="13.5" customHeight="1" s="321" thickBot="1">
      <c r="B119" s="128" t="n"/>
      <c r="C119" s="318" t="n"/>
      <c r="D119" s="318" t="n"/>
      <c r="E119" s="318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AE119" s="18" t="n"/>
    </row>
    <row r="120" hidden="1" ht="14.25" customHeight="1" s="321">
      <c r="A120" s="820" t="n">
        <v>15</v>
      </c>
      <c r="B120" s="293" t="n"/>
      <c r="C120" s="806" t="n"/>
      <c r="D120" s="806" t="n"/>
      <c r="E120" s="806" t="n"/>
      <c r="F120" s="807" t="n"/>
      <c r="G120" s="295" t="n"/>
      <c r="H120" s="815" t="n"/>
      <c r="I120" s="286" t="n"/>
      <c r="J120" s="815" t="n"/>
      <c r="K120" s="286" t="n"/>
      <c r="L120" s="815" t="n"/>
      <c r="M120" s="286" t="n"/>
      <c r="N120" s="815" t="n"/>
      <c r="O120" s="286" t="n"/>
      <c r="P120" s="815" t="n"/>
      <c r="Q120" s="286" t="n"/>
      <c r="R120" s="815" t="n"/>
      <c r="S120" s="286" t="n"/>
      <c r="T120" s="815" t="n"/>
      <c r="U120" s="286" t="n"/>
      <c r="V120" s="815" t="n"/>
      <c r="W120" s="286" t="n"/>
      <c r="X120" s="815" t="n"/>
      <c r="Y120" s="286" t="n"/>
      <c r="Z120" s="815" t="n"/>
      <c r="AA120" s="286" t="n"/>
      <c r="AB120" s="815" t="n"/>
      <c r="AC120" s="286" t="n"/>
      <c r="AD120" s="815" t="n"/>
      <c r="AE120" s="18" t="n"/>
    </row>
    <row r="121" hidden="1" ht="14.25" customHeight="1" s="321">
      <c r="A121" s="821" t="n"/>
      <c r="B121" s="207" t="inlineStr">
        <is>
          <t xml:space="preserve">Kurulu Kapasite </t>
        </is>
      </c>
      <c r="C121" s="773" t="n"/>
      <c r="D121" s="773" t="n"/>
      <c r="E121" s="773" t="n"/>
      <c r="F121" s="774" t="n"/>
      <c r="G121" s="267" t="n"/>
      <c r="H121" s="784" t="n"/>
      <c r="I121" s="130" t="n"/>
      <c r="J121" s="784" t="n"/>
      <c r="K121" s="130" t="n"/>
      <c r="L121" s="784" t="n"/>
      <c r="M121" s="130" t="n"/>
      <c r="N121" s="784" t="n"/>
      <c r="O121" s="130" t="n"/>
      <c r="P121" s="784" t="n"/>
      <c r="Q121" s="130" t="n"/>
      <c r="R121" s="784" t="n"/>
      <c r="S121" s="130" t="n"/>
      <c r="T121" s="784" t="n"/>
      <c r="U121" s="130" t="n"/>
      <c r="V121" s="784" t="n"/>
      <c r="W121" s="130" t="n"/>
      <c r="X121" s="784" t="n"/>
      <c r="Y121" s="130" t="n"/>
      <c r="Z121" s="784" t="n"/>
      <c r="AA121" s="130" t="n"/>
      <c r="AB121" s="784" t="n"/>
      <c r="AC121" s="130" t="n"/>
      <c r="AD121" s="784" t="n"/>
      <c r="AE121" s="18" t="n"/>
    </row>
    <row r="122" hidden="1" ht="14.25" customHeight="1" s="321">
      <c r="A122" s="821" t="n"/>
      <c r="B122" s="207" t="inlineStr">
        <is>
          <t>Üretim Miktarı</t>
        </is>
      </c>
      <c r="C122" s="773" t="n"/>
      <c r="D122" s="773" t="n"/>
      <c r="E122" s="773" t="n"/>
      <c r="F122" s="774" t="n"/>
      <c r="G122" s="267" t="n"/>
      <c r="H122" s="784" t="n"/>
      <c r="I122" s="130" t="n"/>
      <c r="J122" s="784" t="n"/>
      <c r="K122" s="130" t="n"/>
      <c r="L122" s="784" t="n"/>
      <c r="M122" s="130" t="n"/>
      <c r="N122" s="784" t="n"/>
      <c r="O122" s="130" t="n"/>
      <c r="P122" s="784" t="n"/>
      <c r="Q122" s="130" t="n"/>
      <c r="R122" s="784" t="n"/>
      <c r="S122" s="130" t="n"/>
      <c r="T122" s="784" t="n"/>
      <c r="U122" s="130" t="n"/>
      <c r="V122" s="784" t="n"/>
      <c r="W122" s="130" t="n"/>
      <c r="X122" s="784" t="n"/>
      <c r="Y122" s="130" t="n"/>
      <c r="Z122" s="784" t="n"/>
      <c r="AA122" s="130" t="n"/>
      <c r="AB122" s="784" t="n"/>
      <c r="AC122" s="130" t="n"/>
      <c r="AD122" s="784" t="n"/>
      <c r="AE122" s="18" t="n"/>
    </row>
    <row r="123" hidden="1" ht="14.25" customHeight="1" s="321">
      <c r="A123" s="821" t="n"/>
      <c r="B123" s="207" t="inlineStr">
        <is>
          <t>Satış Miktarı</t>
        </is>
      </c>
      <c r="C123" s="773" t="n"/>
      <c r="D123" s="773" t="n"/>
      <c r="E123" s="773" t="n"/>
      <c r="F123" s="774" t="n"/>
      <c r="G123" s="267" t="n"/>
      <c r="H123" s="784" t="n"/>
      <c r="I123" s="129" t="n"/>
      <c r="J123" s="784" t="n"/>
      <c r="K123" s="129" t="n"/>
      <c r="L123" s="784" t="n"/>
      <c r="M123" s="129" t="n"/>
      <c r="N123" s="784" t="n"/>
      <c r="O123" s="129" t="n"/>
      <c r="P123" s="784" t="n"/>
      <c r="Q123" s="129" t="n"/>
      <c r="R123" s="784" t="n"/>
      <c r="S123" s="129" t="n"/>
      <c r="T123" s="784" t="n"/>
      <c r="U123" s="129" t="n"/>
      <c r="V123" s="784" t="n"/>
      <c r="W123" s="129" t="n"/>
      <c r="X123" s="784" t="n"/>
      <c r="Y123" s="129" t="n"/>
      <c r="Z123" s="784" t="n"/>
      <c r="AA123" s="129" t="n"/>
      <c r="AB123" s="784" t="n"/>
      <c r="AC123" s="129" t="n"/>
      <c r="AD123" s="784" t="n"/>
      <c r="AE123" s="18" t="n"/>
    </row>
    <row r="124" hidden="1" ht="14.25" customHeight="1" s="321" thickBot="1">
      <c r="A124" s="822" t="n"/>
      <c r="B124" s="284" t="inlineStr">
        <is>
          <t>Birim Satış Fiyatı</t>
        </is>
      </c>
      <c r="C124" s="787" t="n"/>
      <c r="D124" s="787" t="n"/>
      <c r="E124" s="787" t="n"/>
      <c r="F124" s="788" t="n"/>
      <c r="G124" s="289" t="n"/>
      <c r="H124" s="790" t="n"/>
      <c r="I124" s="280" t="n"/>
      <c r="J124" s="790" t="n"/>
      <c r="K124" s="280" t="n"/>
      <c r="L124" s="790" t="n"/>
      <c r="M124" s="280" t="n"/>
      <c r="N124" s="790" t="n"/>
      <c r="O124" s="280" t="n"/>
      <c r="P124" s="790" t="n"/>
      <c r="Q124" s="280" t="n"/>
      <c r="R124" s="790" t="n"/>
      <c r="S124" s="280" t="n"/>
      <c r="T124" s="790" t="n"/>
      <c r="U124" s="280" t="n"/>
      <c r="V124" s="790" t="n"/>
      <c r="W124" s="280" t="n"/>
      <c r="X124" s="790" t="n"/>
      <c r="Y124" s="280" t="n"/>
      <c r="Z124" s="790" t="n"/>
      <c r="AA124" s="280" t="n"/>
      <c r="AB124" s="790" t="n"/>
      <c r="AC124" s="280" t="n"/>
      <c r="AD124" s="790" t="n"/>
      <c r="AE124" s="18" t="n"/>
    </row>
    <row r="125" hidden="1" ht="13.5" customHeight="1" s="321" thickBot="1">
      <c r="B125" s="128" t="n"/>
      <c r="C125" s="318" t="n"/>
      <c r="D125" s="318" t="n"/>
      <c r="E125" s="318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AE125" s="18" t="n"/>
    </row>
    <row r="126" hidden="1" ht="14.25" customHeight="1" s="321">
      <c r="A126" s="823" t="n">
        <v>16</v>
      </c>
      <c r="B126" s="293" t="n"/>
      <c r="C126" s="806" t="n"/>
      <c r="D126" s="806" t="n"/>
      <c r="E126" s="806" t="n"/>
      <c r="F126" s="807" t="n"/>
      <c r="G126" s="295" t="n"/>
      <c r="H126" s="815" t="n"/>
      <c r="I126" s="286" t="n"/>
      <c r="J126" s="815" t="n"/>
      <c r="K126" s="286" t="n"/>
      <c r="L126" s="815" t="n"/>
      <c r="M126" s="286" t="n"/>
      <c r="N126" s="815" t="n"/>
      <c r="O126" s="286" t="n"/>
      <c r="P126" s="815" t="n"/>
      <c r="Q126" s="286" t="n"/>
      <c r="R126" s="815" t="n"/>
      <c r="S126" s="286" t="n"/>
      <c r="T126" s="815" t="n"/>
      <c r="U126" s="286" t="n"/>
      <c r="V126" s="815" t="n"/>
      <c r="W126" s="286" t="n"/>
      <c r="X126" s="815" t="n"/>
      <c r="Y126" s="286" t="n"/>
      <c r="Z126" s="815" t="n"/>
      <c r="AA126" s="286" t="n"/>
      <c r="AB126" s="815" t="n"/>
      <c r="AC126" s="286" t="n"/>
      <c r="AD126" s="815" t="n"/>
      <c r="AE126" s="18" t="n"/>
    </row>
    <row r="127" hidden="1" ht="14.25" customHeight="1" s="321">
      <c r="A127" s="821" t="n"/>
      <c r="B127" s="207" t="inlineStr">
        <is>
          <t xml:space="preserve">Kurulu Kapasite </t>
        </is>
      </c>
      <c r="C127" s="773" t="n"/>
      <c r="D127" s="773" t="n"/>
      <c r="E127" s="773" t="n"/>
      <c r="F127" s="774" t="n"/>
      <c r="G127" s="267" t="n"/>
      <c r="H127" s="784" t="n"/>
      <c r="I127" s="130" t="n"/>
      <c r="J127" s="784" t="n"/>
      <c r="K127" s="130" t="n"/>
      <c r="L127" s="784" t="n"/>
      <c r="M127" s="130" t="n"/>
      <c r="N127" s="784" t="n"/>
      <c r="O127" s="130" t="n"/>
      <c r="P127" s="784" t="n"/>
      <c r="Q127" s="130" t="n"/>
      <c r="R127" s="784" t="n"/>
      <c r="S127" s="130" t="n"/>
      <c r="T127" s="784" t="n"/>
      <c r="U127" s="130" t="n"/>
      <c r="V127" s="784" t="n"/>
      <c r="W127" s="130" t="n"/>
      <c r="X127" s="784" t="n"/>
      <c r="Y127" s="130" t="n"/>
      <c r="Z127" s="784" t="n"/>
      <c r="AA127" s="130" t="n"/>
      <c r="AB127" s="784" t="n"/>
      <c r="AC127" s="130" t="n"/>
      <c r="AD127" s="784" t="n"/>
      <c r="AE127" s="18" t="n"/>
    </row>
    <row r="128" hidden="1" ht="14.25" customHeight="1" s="321">
      <c r="A128" s="821" t="n"/>
      <c r="B128" s="207" t="inlineStr">
        <is>
          <t>Üretim Miktarı</t>
        </is>
      </c>
      <c r="C128" s="773" t="n"/>
      <c r="D128" s="773" t="n"/>
      <c r="E128" s="773" t="n"/>
      <c r="F128" s="774" t="n"/>
      <c r="G128" s="267" t="n"/>
      <c r="H128" s="784" t="n"/>
      <c r="I128" s="130" t="n"/>
      <c r="J128" s="784" t="n"/>
      <c r="K128" s="130" t="n"/>
      <c r="L128" s="784" t="n"/>
      <c r="M128" s="130" t="n"/>
      <c r="N128" s="784" t="n"/>
      <c r="O128" s="130" t="n"/>
      <c r="P128" s="784" t="n"/>
      <c r="Q128" s="130" t="n"/>
      <c r="R128" s="784" t="n"/>
      <c r="S128" s="130" t="n"/>
      <c r="T128" s="784" t="n"/>
      <c r="U128" s="130" t="n"/>
      <c r="V128" s="784" t="n"/>
      <c r="W128" s="130" t="n"/>
      <c r="X128" s="784" t="n"/>
      <c r="Y128" s="130" t="n"/>
      <c r="Z128" s="784" t="n"/>
      <c r="AA128" s="130" t="n"/>
      <c r="AB128" s="784" t="n"/>
      <c r="AC128" s="130" t="n"/>
      <c r="AD128" s="784" t="n"/>
      <c r="AE128" s="18" t="n"/>
    </row>
    <row r="129" hidden="1" ht="14.25" customHeight="1" s="321">
      <c r="A129" s="821" t="n"/>
      <c r="B129" s="207" t="inlineStr">
        <is>
          <t>Satış Miktarı</t>
        </is>
      </c>
      <c r="C129" s="773" t="n"/>
      <c r="D129" s="773" t="n"/>
      <c r="E129" s="773" t="n"/>
      <c r="F129" s="774" t="n"/>
      <c r="G129" s="267" t="n"/>
      <c r="H129" s="784" t="n"/>
      <c r="I129" s="129" t="n"/>
      <c r="J129" s="784" t="n"/>
      <c r="K129" s="129" t="n"/>
      <c r="L129" s="784" t="n"/>
      <c r="M129" s="129" t="n"/>
      <c r="N129" s="784" t="n"/>
      <c r="O129" s="129" t="n"/>
      <c r="P129" s="784" t="n"/>
      <c r="Q129" s="129" t="n"/>
      <c r="R129" s="784" t="n"/>
      <c r="S129" s="129" t="n"/>
      <c r="T129" s="784" t="n"/>
      <c r="U129" s="129" t="n"/>
      <c r="V129" s="784" t="n"/>
      <c r="W129" s="129" t="n"/>
      <c r="X129" s="784" t="n"/>
      <c r="Y129" s="129" t="n"/>
      <c r="Z129" s="784" t="n"/>
      <c r="AA129" s="129" t="n"/>
      <c r="AB129" s="784" t="n"/>
      <c r="AC129" s="129" t="n"/>
      <c r="AD129" s="784" t="n"/>
      <c r="AE129" s="18" t="n"/>
    </row>
    <row r="130" hidden="1" ht="14.25" customHeight="1" s="321" thickBot="1">
      <c r="A130" s="822" t="n"/>
      <c r="B130" s="284" t="inlineStr">
        <is>
          <t>Birim Satış Fiyatı</t>
        </is>
      </c>
      <c r="C130" s="787" t="n"/>
      <c r="D130" s="787" t="n"/>
      <c r="E130" s="787" t="n"/>
      <c r="F130" s="788" t="n"/>
      <c r="G130" s="289" t="n"/>
      <c r="H130" s="790" t="n"/>
      <c r="I130" s="280" t="n"/>
      <c r="J130" s="790" t="n"/>
      <c r="K130" s="280" t="n"/>
      <c r="L130" s="790" t="n"/>
      <c r="M130" s="280" t="n"/>
      <c r="N130" s="790" t="n"/>
      <c r="O130" s="280" t="n"/>
      <c r="P130" s="790" t="n"/>
      <c r="Q130" s="280" t="n"/>
      <c r="R130" s="790" t="n"/>
      <c r="S130" s="280" t="n"/>
      <c r="T130" s="790" t="n"/>
      <c r="U130" s="280" t="n"/>
      <c r="V130" s="790" t="n"/>
      <c r="W130" s="280" t="n"/>
      <c r="X130" s="790" t="n"/>
      <c r="Y130" s="280" t="n"/>
      <c r="Z130" s="790" t="n"/>
      <c r="AA130" s="280" t="n"/>
      <c r="AB130" s="790" t="n"/>
      <c r="AC130" s="280" t="n"/>
      <c r="AD130" s="790" t="n"/>
      <c r="AE130" s="18" t="n"/>
    </row>
    <row r="131" hidden="1" ht="13.5" customHeight="1" s="321" thickBot="1">
      <c r="B131" s="128" t="n"/>
      <c r="C131" s="318" t="n"/>
      <c r="D131" s="318" t="n"/>
      <c r="E131" s="318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AE131" s="18" t="n"/>
    </row>
    <row r="132" hidden="1" ht="14.25" customHeight="1" s="321">
      <c r="A132" s="820" t="n">
        <v>17</v>
      </c>
      <c r="B132" s="293" t="n"/>
      <c r="C132" s="806" t="n"/>
      <c r="D132" s="806" t="n"/>
      <c r="E132" s="806" t="n"/>
      <c r="F132" s="807" t="n"/>
      <c r="G132" s="295" t="n"/>
      <c r="H132" s="815" t="n"/>
      <c r="I132" s="286" t="n"/>
      <c r="J132" s="815" t="n"/>
      <c r="K132" s="286" t="n"/>
      <c r="L132" s="815" t="n"/>
      <c r="M132" s="286" t="n"/>
      <c r="N132" s="815" t="n"/>
      <c r="O132" s="286" t="n"/>
      <c r="P132" s="815" t="n"/>
      <c r="Q132" s="286" t="n"/>
      <c r="R132" s="815" t="n"/>
      <c r="S132" s="286" t="n"/>
      <c r="T132" s="815" t="n"/>
      <c r="U132" s="286" t="n"/>
      <c r="V132" s="815" t="n"/>
      <c r="W132" s="286" t="n"/>
      <c r="X132" s="815" t="n"/>
      <c r="Y132" s="286" t="n"/>
      <c r="Z132" s="815" t="n"/>
      <c r="AA132" s="286" t="n"/>
      <c r="AB132" s="815" t="n"/>
      <c r="AC132" s="286" t="n"/>
      <c r="AD132" s="815" t="n"/>
      <c r="AE132" s="18" t="n"/>
    </row>
    <row r="133" hidden="1" ht="14.25" customHeight="1" s="321">
      <c r="A133" s="821" t="n"/>
      <c r="B133" s="207" t="inlineStr">
        <is>
          <t xml:space="preserve">Kurulu Kapasite </t>
        </is>
      </c>
      <c r="C133" s="773" t="n"/>
      <c r="D133" s="773" t="n"/>
      <c r="E133" s="773" t="n"/>
      <c r="F133" s="774" t="n"/>
      <c r="G133" s="267" t="n"/>
      <c r="H133" s="784" t="n"/>
      <c r="I133" s="130" t="n"/>
      <c r="J133" s="784" t="n"/>
      <c r="K133" s="130" t="n"/>
      <c r="L133" s="784" t="n"/>
      <c r="M133" s="130" t="n"/>
      <c r="N133" s="784" t="n"/>
      <c r="O133" s="130" t="n"/>
      <c r="P133" s="784" t="n"/>
      <c r="Q133" s="130" t="n"/>
      <c r="R133" s="784" t="n"/>
      <c r="S133" s="130" t="n"/>
      <c r="T133" s="784" t="n"/>
      <c r="U133" s="130" t="n"/>
      <c r="V133" s="784" t="n"/>
      <c r="W133" s="130" t="n"/>
      <c r="X133" s="784" t="n"/>
      <c r="Y133" s="130" t="n"/>
      <c r="Z133" s="784" t="n"/>
      <c r="AA133" s="130" t="n"/>
      <c r="AB133" s="784" t="n"/>
      <c r="AC133" s="130" t="n"/>
      <c r="AD133" s="784" t="n"/>
      <c r="AE133" s="18" t="n"/>
    </row>
    <row r="134" hidden="1" ht="14.25" customHeight="1" s="321">
      <c r="A134" s="821" t="n"/>
      <c r="B134" s="207" t="inlineStr">
        <is>
          <t>Üretim Miktarı</t>
        </is>
      </c>
      <c r="C134" s="773" t="n"/>
      <c r="D134" s="773" t="n"/>
      <c r="E134" s="773" t="n"/>
      <c r="F134" s="774" t="n"/>
      <c r="G134" s="267" t="n"/>
      <c r="H134" s="784" t="n"/>
      <c r="I134" s="130" t="n"/>
      <c r="J134" s="784" t="n"/>
      <c r="K134" s="130" t="n"/>
      <c r="L134" s="784" t="n"/>
      <c r="M134" s="130" t="n"/>
      <c r="N134" s="784" t="n"/>
      <c r="O134" s="130" t="n"/>
      <c r="P134" s="784" t="n"/>
      <c r="Q134" s="130" t="n"/>
      <c r="R134" s="784" t="n"/>
      <c r="S134" s="130" t="n"/>
      <c r="T134" s="784" t="n"/>
      <c r="U134" s="130" t="n"/>
      <c r="V134" s="784" t="n"/>
      <c r="W134" s="130" t="n"/>
      <c r="X134" s="784" t="n"/>
      <c r="Y134" s="130" t="n"/>
      <c r="Z134" s="784" t="n"/>
      <c r="AA134" s="130" t="n"/>
      <c r="AB134" s="784" t="n"/>
      <c r="AC134" s="130" t="n"/>
      <c r="AD134" s="784" t="n"/>
      <c r="AE134" s="18" t="n"/>
    </row>
    <row r="135" hidden="1" ht="14.25" customHeight="1" s="321">
      <c r="A135" s="821" t="n"/>
      <c r="B135" s="207" t="inlineStr">
        <is>
          <t>Satış Miktarı</t>
        </is>
      </c>
      <c r="C135" s="773" t="n"/>
      <c r="D135" s="773" t="n"/>
      <c r="E135" s="773" t="n"/>
      <c r="F135" s="774" t="n"/>
      <c r="G135" s="267" t="n"/>
      <c r="H135" s="784" t="n"/>
      <c r="I135" s="129" t="n"/>
      <c r="J135" s="784" t="n"/>
      <c r="K135" s="129" t="n"/>
      <c r="L135" s="784" t="n"/>
      <c r="M135" s="129" t="n"/>
      <c r="N135" s="784" t="n"/>
      <c r="O135" s="129" t="n"/>
      <c r="P135" s="784" t="n"/>
      <c r="Q135" s="129" t="n"/>
      <c r="R135" s="784" t="n"/>
      <c r="S135" s="129" t="n"/>
      <c r="T135" s="784" t="n"/>
      <c r="U135" s="129" t="n"/>
      <c r="V135" s="784" t="n"/>
      <c r="W135" s="129" t="n"/>
      <c r="X135" s="784" t="n"/>
      <c r="Y135" s="129" t="n"/>
      <c r="Z135" s="784" t="n"/>
      <c r="AA135" s="129" t="n"/>
      <c r="AB135" s="784" t="n"/>
      <c r="AC135" s="129" t="n"/>
      <c r="AD135" s="784" t="n"/>
      <c r="AE135" s="18" t="n"/>
    </row>
    <row r="136" hidden="1" ht="14.25" customHeight="1" s="321" thickBot="1">
      <c r="A136" s="822" t="n"/>
      <c r="B136" s="284" t="inlineStr">
        <is>
          <t>Birim Satış Fiyatı</t>
        </is>
      </c>
      <c r="C136" s="787" t="n"/>
      <c r="D136" s="787" t="n"/>
      <c r="E136" s="787" t="n"/>
      <c r="F136" s="788" t="n"/>
      <c r="G136" s="289" t="n"/>
      <c r="H136" s="790" t="n"/>
      <c r="I136" s="280" t="n"/>
      <c r="J136" s="790" t="n"/>
      <c r="K136" s="280" t="n"/>
      <c r="L136" s="790" t="n"/>
      <c r="M136" s="280" t="n"/>
      <c r="N136" s="790" t="n"/>
      <c r="O136" s="280" t="n"/>
      <c r="P136" s="790" t="n"/>
      <c r="Q136" s="280" t="n"/>
      <c r="R136" s="790" t="n"/>
      <c r="S136" s="280" t="n"/>
      <c r="T136" s="790" t="n"/>
      <c r="U136" s="280" t="n"/>
      <c r="V136" s="790" t="n"/>
      <c r="W136" s="280" t="n"/>
      <c r="X136" s="790" t="n"/>
      <c r="Y136" s="280" t="n"/>
      <c r="Z136" s="790" t="n"/>
      <c r="AA136" s="280" t="n"/>
      <c r="AB136" s="790" t="n"/>
      <c r="AC136" s="280" t="n"/>
      <c r="AD136" s="790" t="n"/>
      <c r="AE136" s="18" t="n"/>
    </row>
    <row r="137" hidden="1" ht="13.5" customHeight="1" s="321" thickBot="1">
      <c r="B137" s="128" t="n"/>
      <c r="C137" s="318" t="n"/>
      <c r="D137" s="318" t="n"/>
      <c r="E137" s="318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AE137" s="18" t="n"/>
    </row>
    <row r="138" hidden="1" ht="14.25" customHeight="1" s="321">
      <c r="A138" s="823" t="n">
        <v>18</v>
      </c>
      <c r="B138" s="293" t="n"/>
      <c r="C138" s="806" t="n"/>
      <c r="D138" s="806" t="n"/>
      <c r="E138" s="806" t="n"/>
      <c r="F138" s="807" t="n"/>
      <c r="G138" s="295" t="n"/>
      <c r="H138" s="815" t="n"/>
      <c r="I138" s="286" t="n"/>
      <c r="J138" s="815" t="n"/>
      <c r="K138" s="286" t="n"/>
      <c r="L138" s="815" t="n"/>
      <c r="M138" s="286" t="n"/>
      <c r="N138" s="815" t="n"/>
      <c r="O138" s="286" t="n"/>
      <c r="P138" s="815" t="n"/>
      <c r="Q138" s="286" t="n"/>
      <c r="R138" s="815" t="n"/>
      <c r="S138" s="286" t="n"/>
      <c r="T138" s="815" t="n"/>
      <c r="U138" s="286" t="n"/>
      <c r="V138" s="815" t="n"/>
      <c r="W138" s="286" t="n"/>
      <c r="X138" s="815" t="n"/>
      <c r="Y138" s="286" t="n"/>
      <c r="Z138" s="815" t="n"/>
      <c r="AA138" s="286" t="n"/>
      <c r="AB138" s="815" t="n"/>
      <c r="AC138" s="286" t="n"/>
      <c r="AD138" s="815" t="n"/>
      <c r="AE138" s="18" t="n"/>
    </row>
    <row r="139" hidden="1" ht="14.25" customHeight="1" s="321">
      <c r="A139" s="821" t="n"/>
      <c r="B139" s="207" t="inlineStr">
        <is>
          <t xml:space="preserve">Kurulu Kapasite </t>
        </is>
      </c>
      <c r="C139" s="773" t="n"/>
      <c r="D139" s="773" t="n"/>
      <c r="E139" s="773" t="n"/>
      <c r="F139" s="774" t="n"/>
      <c r="G139" s="267" t="n"/>
      <c r="H139" s="784" t="n"/>
      <c r="I139" s="130" t="n"/>
      <c r="J139" s="784" t="n"/>
      <c r="K139" s="130" t="n"/>
      <c r="L139" s="784" t="n"/>
      <c r="M139" s="130" t="n"/>
      <c r="N139" s="784" t="n"/>
      <c r="O139" s="130" t="n"/>
      <c r="P139" s="784" t="n"/>
      <c r="Q139" s="130" t="n"/>
      <c r="R139" s="784" t="n"/>
      <c r="S139" s="130" t="n"/>
      <c r="T139" s="784" t="n"/>
      <c r="U139" s="130" t="n"/>
      <c r="V139" s="784" t="n"/>
      <c r="W139" s="130" t="n"/>
      <c r="X139" s="784" t="n"/>
      <c r="Y139" s="130" t="n"/>
      <c r="Z139" s="784" t="n"/>
      <c r="AA139" s="130" t="n"/>
      <c r="AB139" s="784" t="n"/>
      <c r="AC139" s="130" t="n"/>
      <c r="AD139" s="784" t="n"/>
      <c r="AE139" s="18" t="n"/>
    </row>
    <row r="140" hidden="1" ht="14.25" customHeight="1" s="321">
      <c r="A140" s="821" t="n"/>
      <c r="B140" s="207" t="inlineStr">
        <is>
          <t>Üretim Miktarı</t>
        </is>
      </c>
      <c r="C140" s="773" t="n"/>
      <c r="D140" s="773" t="n"/>
      <c r="E140" s="773" t="n"/>
      <c r="F140" s="774" t="n"/>
      <c r="G140" s="267" t="n"/>
      <c r="H140" s="784" t="n"/>
      <c r="I140" s="130" t="n"/>
      <c r="J140" s="784" t="n"/>
      <c r="K140" s="130" t="n"/>
      <c r="L140" s="784" t="n"/>
      <c r="M140" s="130" t="n"/>
      <c r="N140" s="784" t="n"/>
      <c r="O140" s="130" t="n"/>
      <c r="P140" s="784" t="n"/>
      <c r="Q140" s="130" t="n"/>
      <c r="R140" s="784" t="n"/>
      <c r="S140" s="130" t="n"/>
      <c r="T140" s="784" t="n"/>
      <c r="U140" s="130" t="n"/>
      <c r="V140" s="784" t="n"/>
      <c r="W140" s="130" t="n"/>
      <c r="X140" s="784" t="n"/>
      <c r="Y140" s="130" t="n"/>
      <c r="Z140" s="784" t="n"/>
      <c r="AA140" s="130" t="n"/>
      <c r="AB140" s="784" t="n"/>
      <c r="AC140" s="130" t="n"/>
      <c r="AD140" s="784" t="n"/>
      <c r="AE140" s="18" t="n"/>
    </row>
    <row r="141" hidden="1" ht="14.25" customHeight="1" s="321">
      <c r="A141" s="821" t="n"/>
      <c r="B141" s="207" t="inlineStr">
        <is>
          <t>Satış Miktarı</t>
        </is>
      </c>
      <c r="C141" s="773" t="n"/>
      <c r="D141" s="773" t="n"/>
      <c r="E141" s="773" t="n"/>
      <c r="F141" s="774" t="n"/>
      <c r="G141" s="267" t="n"/>
      <c r="H141" s="784" t="n"/>
      <c r="I141" s="129" t="n"/>
      <c r="J141" s="784" t="n"/>
      <c r="K141" s="129" t="n"/>
      <c r="L141" s="784" t="n"/>
      <c r="M141" s="129" t="n"/>
      <c r="N141" s="784" t="n"/>
      <c r="O141" s="129" t="n"/>
      <c r="P141" s="784" t="n"/>
      <c r="Q141" s="129" t="n"/>
      <c r="R141" s="784" t="n"/>
      <c r="S141" s="129" t="n"/>
      <c r="T141" s="784" t="n"/>
      <c r="U141" s="129" t="n"/>
      <c r="V141" s="784" t="n"/>
      <c r="W141" s="129" t="n"/>
      <c r="X141" s="784" t="n"/>
      <c r="Y141" s="129" t="n"/>
      <c r="Z141" s="784" t="n"/>
      <c r="AA141" s="129" t="n"/>
      <c r="AB141" s="784" t="n"/>
      <c r="AC141" s="129" t="n"/>
      <c r="AD141" s="784" t="n"/>
      <c r="AE141" s="18" t="n"/>
    </row>
    <row r="142" hidden="1" ht="14.25" customHeight="1" s="321" thickBot="1">
      <c r="A142" s="822" t="n"/>
      <c r="B142" s="284" t="inlineStr">
        <is>
          <t>Birim Satış Fiyatı</t>
        </is>
      </c>
      <c r="C142" s="787" t="n"/>
      <c r="D142" s="787" t="n"/>
      <c r="E142" s="787" t="n"/>
      <c r="F142" s="788" t="n"/>
      <c r="G142" s="289" t="n"/>
      <c r="H142" s="790" t="n"/>
      <c r="I142" s="280" t="n"/>
      <c r="J142" s="790" t="n"/>
      <c r="K142" s="280" t="n"/>
      <c r="L142" s="790" t="n"/>
      <c r="M142" s="280" t="n"/>
      <c r="N142" s="790" t="n"/>
      <c r="O142" s="280" t="n"/>
      <c r="P142" s="790" t="n"/>
      <c r="Q142" s="280" t="n"/>
      <c r="R142" s="790" t="n"/>
      <c r="S142" s="280" t="n"/>
      <c r="T142" s="790" t="n"/>
      <c r="U142" s="280" t="n"/>
      <c r="V142" s="790" t="n"/>
      <c r="W142" s="280" t="n"/>
      <c r="X142" s="790" t="n"/>
      <c r="Y142" s="280" t="n"/>
      <c r="Z142" s="790" t="n"/>
      <c r="AA142" s="280" t="n"/>
      <c r="AB142" s="790" t="n"/>
      <c r="AC142" s="280" t="n"/>
      <c r="AD142" s="790" t="n"/>
      <c r="AE142" s="18" t="n"/>
    </row>
    <row r="143" hidden="1" ht="13.5" customHeight="1" s="321" thickBot="1">
      <c r="B143" s="128" t="n"/>
      <c r="C143" s="318" t="n"/>
      <c r="D143" s="318" t="n"/>
      <c r="E143" s="318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AE143" s="18" t="n"/>
    </row>
    <row r="144" hidden="1" ht="14.25" customHeight="1" s="321">
      <c r="A144" s="820" t="n">
        <v>19</v>
      </c>
      <c r="B144" s="293" t="n"/>
      <c r="C144" s="806" t="n"/>
      <c r="D144" s="806" t="n"/>
      <c r="E144" s="806" t="n"/>
      <c r="F144" s="807" t="n"/>
      <c r="G144" s="295" t="n"/>
      <c r="H144" s="815" t="n"/>
      <c r="I144" s="286" t="n"/>
      <c r="J144" s="815" t="n"/>
      <c r="K144" s="286" t="n"/>
      <c r="L144" s="815" t="n"/>
      <c r="M144" s="286" t="n"/>
      <c r="N144" s="815" t="n"/>
      <c r="O144" s="286" t="n"/>
      <c r="P144" s="815" t="n"/>
      <c r="Q144" s="286" t="n"/>
      <c r="R144" s="815" t="n"/>
      <c r="S144" s="286" t="n"/>
      <c r="T144" s="815" t="n"/>
      <c r="U144" s="286" t="n"/>
      <c r="V144" s="815" t="n"/>
      <c r="W144" s="286" t="n"/>
      <c r="X144" s="815" t="n"/>
      <c r="Y144" s="286" t="n"/>
      <c r="Z144" s="815" t="n"/>
      <c r="AA144" s="286" t="n"/>
      <c r="AB144" s="815" t="n"/>
      <c r="AC144" s="286" t="n"/>
      <c r="AD144" s="815" t="n"/>
      <c r="AE144" s="18" t="n"/>
    </row>
    <row r="145" hidden="1" ht="14.25" customHeight="1" s="321">
      <c r="A145" s="821" t="n"/>
      <c r="B145" s="207" t="inlineStr">
        <is>
          <t xml:space="preserve">Kurulu Kapasite </t>
        </is>
      </c>
      <c r="C145" s="773" t="n"/>
      <c r="D145" s="773" t="n"/>
      <c r="E145" s="773" t="n"/>
      <c r="F145" s="774" t="n"/>
      <c r="G145" s="267" t="n"/>
      <c r="H145" s="784" t="n"/>
      <c r="I145" s="130" t="n"/>
      <c r="J145" s="784" t="n"/>
      <c r="K145" s="130" t="n"/>
      <c r="L145" s="784" t="n"/>
      <c r="M145" s="130" t="n"/>
      <c r="N145" s="784" t="n"/>
      <c r="O145" s="130" t="n"/>
      <c r="P145" s="784" t="n"/>
      <c r="Q145" s="130" t="n"/>
      <c r="R145" s="784" t="n"/>
      <c r="S145" s="130" t="n"/>
      <c r="T145" s="784" t="n"/>
      <c r="U145" s="130" t="n"/>
      <c r="V145" s="784" t="n"/>
      <c r="W145" s="130" t="n"/>
      <c r="X145" s="784" t="n"/>
      <c r="Y145" s="130" t="n"/>
      <c r="Z145" s="784" t="n"/>
      <c r="AA145" s="130" t="n"/>
      <c r="AB145" s="784" t="n"/>
      <c r="AC145" s="130" t="n"/>
      <c r="AD145" s="784" t="n"/>
      <c r="AE145" s="18" t="n"/>
    </row>
    <row r="146" hidden="1" ht="14.25" customHeight="1" s="321">
      <c r="A146" s="821" t="n"/>
      <c r="B146" s="207" t="inlineStr">
        <is>
          <t>Üretim Miktarı</t>
        </is>
      </c>
      <c r="C146" s="773" t="n"/>
      <c r="D146" s="773" t="n"/>
      <c r="E146" s="773" t="n"/>
      <c r="F146" s="774" t="n"/>
      <c r="G146" s="267" t="n"/>
      <c r="H146" s="784" t="n"/>
      <c r="I146" s="130" t="n"/>
      <c r="J146" s="784" t="n"/>
      <c r="K146" s="130" t="n"/>
      <c r="L146" s="784" t="n"/>
      <c r="M146" s="130" t="n"/>
      <c r="N146" s="784" t="n"/>
      <c r="O146" s="130" t="n"/>
      <c r="P146" s="784" t="n"/>
      <c r="Q146" s="130" t="n"/>
      <c r="R146" s="784" t="n"/>
      <c r="S146" s="130" t="n"/>
      <c r="T146" s="784" t="n"/>
      <c r="U146" s="130" t="n"/>
      <c r="V146" s="784" t="n"/>
      <c r="W146" s="130" t="n"/>
      <c r="X146" s="784" t="n"/>
      <c r="Y146" s="130" t="n"/>
      <c r="Z146" s="784" t="n"/>
      <c r="AA146" s="130" t="n"/>
      <c r="AB146" s="784" t="n"/>
      <c r="AC146" s="130" t="n"/>
      <c r="AD146" s="784" t="n"/>
      <c r="AE146" s="18" t="n"/>
    </row>
    <row r="147" hidden="1" ht="14.25" customHeight="1" s="321">
      <c r="A147" s="821" t="n"/>
      <c r="B147" s="207" t="inlineStr">
        <is>
          <t>Satış Miktarı</t>
        </is>
      </c>
      <c r="C147" s="773" t="n"/>
      <c r="D147" s="773" t="n"/>
      <c r="E147" s="773" t="n"/>
      <c r="F147" s="774" t="n"/>
      <c r="G147" s="267" t="n"/>
      <c r="H147" s="784" t="n"/>
      <c r="I147" s="129" t="n"/>
      <c r="J147" s="784" t="n"/>
      <c r="K147" s="129" t="n"/>
      <c r="L147" s="784" t="n"/>
      <c r="M147" s="129" t="n"/>
      <c r="N147" s="784" t="n"/>
      <c r="O147" s="129" t="n"/>
      <c r="P147" s="784" t="n"/>
      <c r="Q147" s="129" t="n"/>
      <c r="R147" s="784" t="n"/>
      <c r="S147" s="129" t="n"/>
      <c r="T147" s="784" t="n"/>
      <c r="U147" s="129" t="n"/>
      <c r="V147" s="784" t="n"/>
      <c r="W147" s="129" t="n"/>
      <c r="X147" s="784" t="n"/>
      <c r="Y147" s="129" t="n"/>
      <c r="Z147" s="784" t="n"/>
      <c r="AA147" s="129" t="n"/>
      <c r="AB147" s="784" t="n"/>
      <c r="AC147" s="129" t="n"/>
      <c r="AD147" s="784" t="n"/>
      <c r="AE147" s="18" t="n"/>
    </row>
    <row r="148" hidden="1" ht="14.25" customHeight="1" s="321" thickBot="1">
      <c r="A148" s="822" t="n"/>
      <c r="B148" s="284" t="inlineStr">
        <is>
          <t>Birim Satış Fiyatı</t>
        </is>
      </c>
      <c r="C148" s="787" t="n"/>
      <c r="D148" s="787" t="n"/>
      <c r="E148" s="787" t="n"/>
      <c r="F148" s="788" t="n"/>
      <c r="G148" s="289" t="n"/>
      <c r="H148" s="790" t="n"/>
      <c r="I148" s="280" t="n"/>
      <c r="J148" s="790" t="n"/>
      <c r="K148" s="280" t="n"/>
      <c r="L148" s="790" t="n"/>
      <c r="M148" s="280" t="n"/>
      <c r="N148" s="790" t="n"/>
      <c r="O148" s="280" t="n"/>
      <c r="P148" s="790" t="n"/>
      <c r="Q148" s="280" t="n"/>
      <c r="R148" s="790" t="n"/>
      <c r="S148" s="280" t="n"/>
      <c r="T148" s="790" t="n"/>
      <c r="U148" s="280" t="n"/>
      <c r="V148" s="790" t="n"/>
      <c r="W148" s="280" t="n"/>
      <c r="X148" s="790" t="n"/>
      <c r="Y148" s="280" t="n"/>
      <c r="Z148" s="790" t="n"/>
      <c r="AA148" s="280" t="n"/>
      <c r="AB148" s="790" t="n"/>
      <c r="AC148" s="280" t="n"/>
      <c r="AD148" s="790" t="n"/>
      <c r="AE148" s="18" t="n"/>
    </row>
    <row r="149" hidden="1" ht="13.5" customHeight="1" s="321" thickBot="1">
      <c r="B149" s="128" t="n"/>
      <c r="C149" s="318" t="n"/>
      <c r="D149" s="318" t="n"/>
      <c r="E149" s="318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AE149" s="18" t="n"/>
    </row>
    <row r="150" hidden="1" ht="14.25" customHeight="1" s="321">
      <c r="A150" s="823" t="n">
        <v>20</v>
      </c>
      <c r="B150" s="293" t="n"/>
      <c r="C150" s="806" t="n"/>
      <c r="D150" s="806" t="n"/>
      <c r="E150" s="806" t="n"/>
      <c r="F150" s="807" t="n"/>
      <c r="G150" s="295" t="n"/>
      <c r="H150" s="815" t="n"/>
      <c r="I150" s="286" t="n"/>
      <c r="J150" s="815" t="n"/>
      <c r="K150" s="286" t="n"/>
      <c r="L150" s="815" t="n"/>
      <c r="M150" s="286" t="n"/>
      <c r="N150" s="815" t="n"/>
      <c r="O150" s="286" t="n"/>
      <c r="P150" s="815" t="n"/>
      <c r="Q150" s="286" t="n"/>
      <c r="R150" s="815" t="n"/>
      <c r="S150" s="286" t="n"/>
      <c r="T150" s="815" t="n"/>
      <c r="U150" s="286" t="n"/>
      <c r="V150" s="815" t="n"/>
      <c r="W150" s="286" t="n"/>
      <c r="X150" s="815" t="n"/>
      <c r="Y150" s="286" t="n"/>
      <c r="Z150" s="815" t="n"/>
      <c r="AA150" s="286" t="n"/>
      <c r="AB150" s="815" t="n"/>
      <c r="AC150" s="286" t="n"/>
      <c r="AD150" s="815" t="n"/>
      <c r="AE150" s="18" t="n"/>
    </row>
    <row r="151" hidden="1" ht="14.25" customHeight="1" s="321">
      <c r="A151" s="821" t="n"/>
      <c r="B151" s="207" t="inlineStr">
        <is>
          <t xml:space="preserve">Kurulu Kapasite </t>
        </is>
      </c>
      <c r="C151" s="773" t="n"/>
      <c r="D151" s="773" t="n"/>
      <c r="E151" s="773" t="n"/>
      <c r="F151" s="774" t="n"/>
      <c r="G151" s="267" t="n"/>
      <c r="H151" s="784" t="n"/>
      <c r="I151" s="130" t="n"/>
      <c r="J151" s="784" t="n"/>
      <c r="K151" s="130" t="n"/>
      <c r="L151" s="784" t="n"/>
      <c r="M151" s="130" t="n"/>
      <c r="N151" s="784" t="n"/>
      <c r="O151" s="130" t="n"/>
      <c r="P151" s="784" t="n"/>
      <c r="Q151" s="130" t="n"/>
      <c r="R151" s="784" t="n"/>
      <c r="S151" s="130" t="n"/>
      <c r="T151" s="784" t="n"/>
      <c r="U151" s="130" t="n"/>
      <c r="V151" s="784" t="n"/>
      <c r="W151" s="130" t="n"/>
      <c r="X151" s="784" t="n"/>
      <c r="Y151" s="130" t="n"/>
      <c r="Z151" s="784" t="n"/>
      <c r="AA151" s="130" t="n"/>
      <c r="AB151" s="784" t="n"/>
      <c r="AC151" s="130" t="n"/>
      <c r="AD151" s="784" t="n"/>
      <c r="AE151" s="18" t="n"/>
    </row>
    <row r="152" hidden="1" ht="14.25" customHeight="1" s="321">
      <c r="A152" s="821" t="n"/>
      <c r="B152" s="207" t="inlineStr">
        <is>
          <t>Üretim Miktarı</t>
        </is>
      </c>
      <c r="C152" s="773" t="n"/>
      <c r="D152" s="773" t="n"/>
      <c r="E152" s="773" t="n"/>
      <c r="F152" s="774" t="n"/>
      <c r="G152" s="267" t="n"/>
      <c r="H152" s="784" t="n"/>
      <c r="I152" s="130" t="n"/>
      <c r="J152" s="784" t="n"/>
      <c r="K152" s="130" t="n"/>
      <c r="L152" s="784" t="n"/>
      <c r="M152" s="130" t="n"/>
      <c r="N152" s="784" t="n"/>
      <c r="O152" s="130" t="n"/>
      <c r="P152" s="784" t="n"/>
      <c r="Q152" s="130" t="n"/>
      <c r="R152" s="784" t="n"/>
      <c r="S152" s="130" t="n"/>
      <c r="T152" s="784" t="n"/>
      <c r="U152" s="130" t="n"/>
      <c r="V152" s="784" t="n"/>
      <c r="W152" s="130" t="n"/>
      <c r="X152" s="784" t="n"/>
      <c r="Y152" s="130" t="n"/>
      <c r="Z152" s="784" t="n"/>
      <c r="AA152" s="130" t="n"/>
      <c r="AB152" s="784" t="n"/>
      <c r="AC152" s="130" t="n"/>
      <c r="AD152" s="784" t="n"/>
      <c r="AE152" s="18" t="n"/>
    </row>
    <row r="153" hidden="1" ht="14.25" customHeight="1" s="321">
      <c r="A153" s="821" t="n"/>
      <c r="B153" s="207" t="inlineStr">
        <is>
          <t>Satış Miktarı</t>
        </is>
      </c>
      <c r="C153" s="773" t="n"/>
      <c r="D153" s="773" t="n"/>
      <c r="E153" s="773" t="n"/>
      <c r="F153" s="774" t="n"/>
      <c r="G153" s="267" t="n"/>
      <c r="H153" s="784" t="n"/>
      <c r="I153" s="129" t="n"/>
      <c r="J153" s="784" t="n"/>
      <c r="K153" s="129" t="n"/>
      <c r="L153" s="784" t="n"/>
      <c r="M153" s="129" t="n"/>
      <c r="N153" s="784" t="n"/>
      <c r="O153" s="129" t="n"/>
      <c r="P153" s="784" t="n"/>
      <c r="Q153" s="129" t="n"/>
      <c r="R153" s="784" t="n"/>
      <c r="S153" s="129" t="n"/>
      <c r="T153" s="784" t="n"/>
      <c r="U153" s="129" t="n"/>
      <c r="V153" s="784" t="n"/>
      <c r="W153" s="129" t="n"/>
      <c r="X153" s="784" t="n"/>
      <c r="Y153" s="129" t="n"/>
      <c r="Z153" s="784" t="n"/>
      <c r="AA153" s="129" t="n"/>
      <c r="AB153" s="784" t="n"/>
      <c r="AC153" s="129" t="n"/>
      <c r="AD153" s="784" t="n"/>
      <c r="AE153" s="18" t="n"/>
    </row>
    <row r="154" hidden="1" ht="14.25" customHeight="1" s="321" thickBot="1">
      <c r="A154" s="822" t="n"/>
      <c r="B154" s="284" t="inlineStr">
        <is>
          <t>Birim Satış Fiyatı</t>
        </is>
      </c>
      <c r="C154" s="787" t="n"/>
      <c r="D154" s="787" t="n"/>
      <c r="E154" s="787" t="n"/>
      <c r="F154" s="788" t="n"/>
      <c r="G154" s="289" t="n"/>
      <c r="H154" s="790" t="n"/>
      <c r="I154" s="280" t="n"/>
      <c r="J154" s="790" t="n"/>
      <c r="K154" s="280" t="n"/>
      <c r="L154" s="790" t="n"/>
      <c r="M154" s="280" t="n"/>
      <c r="N154" s="790" t="n"/>
      <c r="O154" s="280" t="n"/>
      <c r="P154" s="790" t="n"/>
      <c r="Q154" s="280" t="n"/>
      <c r="R154" s="790" t="n"/>
      <c r="S154" s="280" t="n"/>
      <c r="T154" s="790" t="n"/>
      <c r="U154" s="280" t="n"/>
      <c r="V154" s="790" t="n"/>
      <c r="W154" s="280" t="n"/>
      <c r="X154" s="790" t="n"/>
      <c r="Y154" s="280" t="n"/>
      <c r="Z154" s="790" t="n"/>
      <c r="AA154" s="280" t="n"/>
      <c r="AB154" s="790" t="n"/>
      <c r="AC154" s="280" t="n"/>
      <c r="AD154" s="790" t="n"/>
      <c r="AE154" s="18" t="n"/>
    </row>
    <row r="155" hidden="1" s="321">
      <c r="B155" s="128" t="n"/>
      <c r="C155" s="318" t="n"/>
      <c r="D155" s="318" t="n"/>
      <c r="E155" s="318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AE155" s="18" t="n"/>
    </row>
    <row r="156" ht="13.5" customHeight="1" s="321" thickBot="1"/>
    <row r="157" ht="16.15" customHeight="1" s="321" thickBot="1">
      <c r="B157" s="824" t="inlineStr">
        <is>
          <t>DİĞER GELİRLER</t>
        </is>
      </c>
      <c r="C157" s="318" t="n"/>
      <c r="D157" s="318" t="n"/>
      <c r="E157" s="318" t="n"/>
      <c r="F157" s="318" t="n"/>
      <c r="G157" s="318" t="n"/>
      <c r="H157" s="318" t="n"/>
      <c r="I157" s="318" t="n"/>
      <c r="J157" s="318" t="n"/>
      <c r="K157" s="318" t="n"/>
      <c r="L157" s="318" t="n"/>
      <c r="M157" s="318" t="n"/>
      <c r="N157" s="318" t="n"/>
      <c r="O157" s="318" t="n"/>
      <c r="P157" s="318" t="n"/>
      <c r="Q157" s="318" t="n"/>
      <c r="R157" s="318" t="n"/>
      <c r="S157" s="318" t="n"/>
      <c r="T157" s="318" t="n"/>
      <c r="U157" s="318" t="n"/>
      <c r="V157" s="318" t="n"/>
      <c r="W157" s="318" t="n"/>
      <c r="X157" s="318" t="n"/>
      <c r="Y157" s="318" t="n"/>
      <c r="Z157" s="318" t="n"/>
      <c r="AA157" s="318" t="n"/>
      <c r="AB157" s="318" t="n"/>
      <c r="AC157" s="318" t="n"/>
      <c r="AD157" s="318" t="n"/>
      <c r="AE157" s="318" t="n"/>
      <c r="AF157" s="793" t="n"/>
    </row>
    <row r="158" ht="32.45" customHeight="1" s="321">
      <c r="B158" s="268" t="inlineStr">
        <is>
          <t>Gelir Kalemi</t>
        </is>
      </c>
      <c r="C158" s="780" t="n"/>
      <c r="D158" s="780" t="n"/>
      <c r="E158" s="780" t="n"/>
      <c r="F158" s="780" t="n"/>
      <c r="G158" s="780" t="n"/>
      <c r="H158" s="780" t="n"/>
      <c r="I158" s="780" t="n"/>
      <c r="J158" s="781" t="n"/>
      <c r="K158" s="149">
        <f>I35</f>
        <v/>
      </c>
      <c r="L158" s="781" t="n"/>
      <c r="M158" s="149">
        <f>K35</f>
        <v/>
      </c>
      <c r="N158" s="781" t="n"/>
      <c r="O158" s="149">
        <f>M35</f>
        <v/>
      </c>
      <c r="P158" s="781" t="n"/>
      <c r="Q158" s="149">
        <f>O35</f>
        <v/>
      </c>
      <c r="R158" s="781" t="n"/>
      <c r="S158" s="149">
        <f>Q35</f>
        <v/>
      </c>
      <c r="T158" s="781" t="n"/>
      <c r="U158" s="149">
        <f>S35</f>
        <v/>
      </c>
      <c r="V158" s="781" t="n"/>
      <c r="W158" s="149">
        <f>U35</f>
        <v/>
      </c>
      <c r="X158" s="781" t="n"/>
      <c r="Y158" s="149">
        <f>W35</f>
        <v/>
      </c>
      <c r="Z158" s="781" t="n"/>
      <c r="AA158" s="149">
        <f>Y35</f>
        <v/>
      </c>
      <c r="AB158" s="781" t="n"/>
      <c r="AC158" s="149">
        <f>AA35</f>
        <v/>
      </c>
      <c r="AD158" s="781" t="n"/>
      <c r="AE158" s="149">
        <f>AC35</f>
        <v/>
      </c>
      <c r="AF158" s="781" t="n"/>
    </row>
    <row r="159" ht="15" customHeight="1" s="321">
      <c r="B159" s="825" t="n"/>
      <c r="C159" s="783" t="n"/>
      <c r="D159" s="783" t="n"/>
      <c r="E159" s="783" t="n"/>
      <c r="F159" s="783" t="n"/>
      <c r="G159" s="783" t="n"/>
      <c r="H159" s="783" t="n"/>
      <c r="I159" s="783" t="n"/>
      <c r="J159" s="784" t="n"/>
      <c r="K159" s="130" t="n"/>
      <c r="L159" s="784" t="n"/>
      <c r="M159" s="130" t="n"/>
      <c r="N159" s="784" t="n"/>
      <c r="O159" s="130" t="n"/>
      <c r="P159" s="784" t="n"/>
      <c r="Q159" s="130" t="n"/>
      <c r="R159" s="784" t="n"/>
      <c r="S159" s="130" t="n"/>
      <c r="T159" s="784" t="n"/>
      <c r="U159" s="130" t="n"/>
      <c r="V159" s="784" t="n"/>
      <c r="W159" s="130" t="n"/>
      <c r="X159" s="784" t="n"/>
      <c r="Y159" s="130" t="n"/>
      <c r="Z159" s="784" t="n"/>
      <c r="AA159" s="130" t="n"/>
      <c r="AB159" s="784" t="n"/>
      <c r="AC159" s="130" t="n"/>
      <c r="AD159" s="784" t="n"/>
      <c r="AE159" s="130" t="n"/>
      <c r="AF159" s="784" t="n"/>
    </row>
    <row r="160" hidden="1" ht="15" customHeight="1" s="321">
      <c r="B160" s="825" t="n"/>
      <c r="C160" s="783" t="n"/>
      <c r="D160" s="783" t="n"/>
      <c r="E160" s="783" t="n"/>
      <c r="F160" s="783" t="n"/>
      <c r="G160" s="783" t="n"/>
      <c r="H160" s="783" t="n"/>
      <c r="I160" s="783" t="n"/>
      <c r="J160" s="784" t="n"/>
      <c r="K160" s="130" t="n"/>
      <c r="L160" s="784" t="n"/>
      <c r="M160" s="130" t="n"/>
      <c r="N160" s="784" t="n"/>
      <c r="O160" s="130" t="n"/>
      <c r="P160" s="784" t="n"/>
      <c r="Q160" s="130" t="n"/>
      <c r="R160" s="784" t="n"/>
      <c r="S160" s="130" t="n"/>
      <c r="T160" s="784" t="n"/>
      <c r="U160" s="130" t="n"/>
      <c r="V160" s="784" t="n"/>
      <c r="W160" s="130" t="n"/>
      <c r="X160" s="784" t="n"/>
      <c r="Y160" s="130" t="n"/>
      <c r="Z160" s="784" t="n"/>
      <c r="AA160" s="130" t="n"/>
      <c r="AB160" s="784" t="n"/>
      <c r="AC160" s="130" t="n"/>
      <c r="AD160" s="784" t="n"/>
      <c r="AE160" s="130" t="n"/>
      <c r="AF160" s="784" t="n"/>
    </row>
    <row r="161" hidden="1" ht="15" customHeight="1" s="321">
      <c r="B161" s="825" t="n"/>
      <c r="C161" s="783" t="n"/>
      <c r="D161" s="783" t="n"/>
      <c r="E161" s="783" t="n"/>
      <c r="F161" s="783" t="n"/>
      <c r="G161" s="783" t="n"/>
      <c r="H161" s="783" t="n"/>
      <c r="I161" s="783" t="n"/>
      <c r="J161" s="784" t="n"/>
      <c r="K161" s="130" t="n"/>
      <c r="L161" s="784" t="n"/>
      <c r="M161" s="130" t="n"/>
      <c r="N161" s="784" t="n"/>
      <c r="O161" s="130" t="n"/>
      <c r="P161" s="784" t="n"/>
      <c r="Q161" s="130" t="n"/>
      <c r="R161" s="784" t="n"/>
      <c r="S161" s="130" t="n"/>
      <c r="T161" s="784" t="n"/>
      <c r="U161" s="130" t="n"/>
      <c r="V161" s="784" t="n"/>
      <c r="W161" s="130" t="n"/>
      <c r="X161" s="784" t="n"/>
      <c r="Y161" s="130" t="n"/>
      <c r="Z161" s="784" t="n"/>
      <c r="AA161" s="130" t="n"/>
      <c r="AB161" s="784" t="n"/>
      <c r="AC161" s="130" t="n"/>
      <c r="AD161" s="784" t="n"/>
      <c r="AE161" s="130" t="n"/>
      <c r="AF161" s="784" t="n"/>
    </row>
    <row r="162" hidden="1" ht="15" customHeight="1" s="321">
      <c r="B162" s="825" t="n"/>
      <c r="C162" s="783" t="n"/>
      <c r="D162" s="783" t="n"/>
      <c r="E162" s="783" t="n"/>
      <c r="F162" s="783" t="n"/>
      <c r="G162" s="783" t="n"/>
      <c r="H162" s="783" t="n"/>
      <c r="I162" s="783" t="n"/>
      <c r="J162" s="784" t="n"/>
      <c r="K162" s="129" t="n"/>
      <c r="L162" s="784" t="n"/>
      <c r="M162" s="129" t="n"/>
      <c r="N162" s="784" t="n"/>
      <c r="O162" s="129" t="n"/>
      <c r="P162" s="784" t="n"/>
      <c r="Q162" s="129" t="n"/>
      <c r="R162" s="784" t="n"/>
      <c r="S162" s="129" t="n"/>
      <c r="T162" s="784" t="n"/>
      <c r="U162" s="129" t="n"/>
      <c r="V162" s="784" t="n"/>
      <c r="W162" s="129" t="n"/>
      <c r="X162" s="784" t="n"/>
      <c r="Y162" s="129" t="n"/>
      <c r="Z162" s="784" t="n"/>
      <c r="AA162" s="129" t="n"/>
      <c r="AB162" s="784" t="n"/>
      <c r="AC162" s="129" t="n"/>
      <c r="AD162" s="784" t="n"/>
      <c r="AE162" s="129" t="n"/>
      <c r="AF162" s="784" t="n"/>
    </row>
    <row r="163" hidden="1" ht="15" customHeight="1" s="321">
      <c r="B163" s="825" t="n"/>
      <c r="C163" s="783" t="n"/>
      <c r="D163" s="783" t="n"/>
      <c r="E163" s="783" t="n"/>
      <c r="F163" s="783" t="n"/>
      <c r="G163" s="783" t="n"/>
      <c r="H163" s="783" t="n"/>
      <c r="I163" s="783" t="n"/>
      <c r="J163" s="784" t="n"/>
      <c r="K163" s="130" t="n"/>
      <c r="L163" s="784" t="n"/>
      <c r="M163" s="130" t="n"/>
      <c r="N163" s="784" t="n"/>
      <c r="O163" s="130" t="n"/>
      <c r="P163" s="784" t="n"/>
      <c r="Q163" s="130" t="n"/>
      <c r="R163" s="784" t="n"/>
      <c r="S163" s="130" t="n"/>
      <c r="T163" s="784" t="n"/>
      <c r="U163" s="130" t="n"/>
      <c r="V163" s="784" t="n"/>
      <c r="W163" s="130" t="n"/>
      <c r="X163" s="784" t="n"/>
      <c r="Y163" s="130" t="n"/>
      <c r="Z163" s="784" t="n"/>
      <c r="AA163" s="130" t="n"/>
      <c r="AB163" s="784" t="n"/>
      <c r="AC163" s="130" t="n"/>
      <c r="AD163" s="784" t="n"/>
      <c r="AE163" s="130" t="n"/>
      <c r="AF163" s="784" t="n"/>
    </row>
    <row r="164" hidden="1" ht="15" customHeight="1" s="321">
      <c r="B164" s="825" t="n"/>
      <c r="C164" s="783" t="n"/>
      <c r="D164" s="783" t="n"/>
      <c r="E164" s="783" t="n"/>
      <c r="F164" s="783" t="n"/>
      <c r="G164" s="783" t="n"/>
      <c r="H164" s="783" t="n"/>
      <c r="I164" s="783" t="n"/>
      <c r="J164" s="784" t="n"/>
      <c r="K164" s="130" t="n"/>
      <c r="L164" s="784" t="n"/>
      <c r="M164" s="130" t="n"/>
      <c r="N164" s="784" t="n"/>
      <c r="O164" s="130" t="n"/>
      <c r="P164" s="784" t="n"/>
      <c r="Q164" s="130" t="n"/>
      <c r="R164" s="784" t="n"/>
      <c r="S164" s="130" t="n"/>
      <c r="T164" s="784" t="n"/>
      <c r="U164" s="130" t="n"/>
      <c r="V164" s="784" t="n"/>
      <c r="W164" s="130" t="n"/>
      <c r="X164" s="784" t="n"/>
      <c r="Y164" s="130" t="n"/>
      <c r="Z164" s="784" t="n"/>
      <c r="AA164" s="130" t="n"/>
      <c r="AB164" s="784" t="n"/>
      <c r="AC164" s="130" t="n"/>
      <c r="AD164" s="784" t="n"/>
      <c r="AE164" s="130" t="n"/>
      <c r="AF164" s="784" t="n"/>
    </row>
    <row r="165" hidden="1" ht="15" customHeight="1" s="321">
      <c r="B165" s="825" t="n"/>
      <c r="C165" s="783" t="n"/>
      <c r="D165" s="783" t="n"/>
      <c r="E165" s="783" t="n"/>
      <c r="F165" s="783" t="n"/>
      <c r="G165" s="783" t="n"/>
      <c r="H165" s="783" t="n"/>
      <c r="I165" s="783" t="n"/>
      <c r="J165" s="784" t="n"/>
      <c r="K165" s="129" t="n"/>
      <c r="L165" s="784" t="n"/>
      <c r="M165" s="129" t="n"/>
      <c r="N165" s="784" t="n"/>
      <c r="O165" s="129" t="n"/>
      <c r="P165" s="784" t="n"/>
      <c r="Q165" s="129" t="n"/>
      <c r="R165" s="784" t="n"/>
      <c r="S165" s="129" t="n"/>
      <c r="T165" s="784" t="n"/>
      <c r="U165" s="129" t="n"/>
      <c r="V165" s="784" t="n"/>
      <c r="W165" s="129" t="n"/>
      <c r="X165" s="784" t="n"/>
      <c r="Y165" s="129" t="n"/>
      <c r="Z165" s="784" t="n"/>
      <c r="AA165" s="129" t="n"/>
      <c r="AB165" s="784" t="n"/>
      <c r="AC165" s="129" t="n"/>
      <c r="AD165" s="784" t="n"/>
      <c r="AE165" s="129" t="n"/>
      <c r="AF165" s="784" t="n"/>
    </row>
    <row r="166" hidden="1" ht="15" customHeight="1" s="321">
      <c r="B166" s="825" t="n"/>
      <c r="C166" s="783" t="n"/>
      <c r="D166" s="783" t="n"/>
      <c r="E166" s="783" t="n"/>
      <c r="F166" s="783" t="n"/>
      <c r="G166" s="783" t="n"/>
      <c r="H166" s="783" t="n"/>
      <c r="I166" s="783" t="n"/>
      <c r="J166" s="784" t="n"/>
      <c r="K166" s="130" t="n"/>
      <c r="L166" s="784" t="n"/>
      <c r="M166" s="130" t="n"/>
      <c r="N166" s="784" t="n"/>
      <c r="O166" s="130" t="n"/>
      <c r="P166" s="784" t="n"/>
      <c r="Q166" s="130" t="n"/>
      <c r="R166" s="784" t="n"/>
      <c r="S166" s="130" t="n"/>
      <c r="T166" s="784" t="n"/>
      <c r="U166" s="130" t="n"/>
      <c r="V166" s="784" t="n"/>
      <c r="W166" s="130" t="n"/>
      <c r="X166" s="784" t="n"/>
      <c r="Y166" s="130" t="n"/>
      <c r="Z166" s="784" t="n"/>
      <c r="AA166" s="130" t="n"/>
      <c r="AB166" s="784" t="n"/>
      <c r="AC166" s="130" t="n"/>
      <c r="AD166" s="784" t="n"/>
      <c r="AE166" s="130" t="n"/>
      <c r="AF166" s="784" t="n"/>
    </row>
    <row r="167" hidden="1" ht="15" customHeight="1" s="321">
      <c r="B167" s="825" t="n"/>
      <c r="C167" s="783" t="n"/>
      <c r="D167" s="783" t="n"/>
      <c r="E167" s="783" t="n"/>
      <c r="F167" s="783" t="n"/>
      <c r="G167" s="783" t="n"/>
      <c r="H167" s="783" t="n"/>
      <c r="I167" s="783" t="n"/>
      <c r="J167" s="784" t="n"/>
      <c r="K167" s="130" t="n"/>
      <c r="L167" s="784" t="n"/>
      <c r="M167" s="130" t="n"/>
      <c r="N167" s="784" t="n"/>
      <c r="O167" s="130" t="n"/>
      <c r="P167" s="784" t="n"/>
      <c r="Q167" s="130" t="n"/>
      <c r="R167" s="784" t="n"/>
      <c r="S167" s="130" t="n"/>
      <c r="T167" s="784" t="n"/>
      <c r="U167" s="130" t="n"/>
      <c r="V167" s="784" t="n"/>
      <c r="W167" s="130" t="n"/>
      <c r="X167" s="784" t="n"/>
      <c r="Y167" s="130" t="n"/>
      <c r="Z167" s="784" t="n"/>
      <c r="AA167" s="130" t="n"/>
      <c r="AB167" s="784" t="n"/>
      <c r="AC167" s="130" t="n"/>
      <c r="AD167" s="784" t="n"/>
      <c r="AE167" s="130" t="n"/>
      <c r="AF167" s="784" t="n"/>
    </row>
    <row r="168" hidden="1" ht="15" customHeight="1" s="321">
      <c r="B168" s="825" t="n"/>
      <c r="C168" s="783" t="n"/>
      <c r="D168" s="783" t="n"/>
      <c r="E168" s="783" t="n"/>
      <c r="F168" s="783" t="n"/>
      <c r="G168" s="783" t="n"/>
      <c r="H168" s="783" t="n"/>
      <c r="I168" s="783" t="n"/>
      <c r="J168" s="784" t="n"/>
      <c r="K168" s="129" t="n"/>
      <c r="L168" s="784" t="n"/>
      <c r="M168" s="129" t="n"/>
      <c r="N168" s="784" t="n"/>
      <c r="O168" s="129" t="n"/>
      <c r="P168" s="784" t="n"/>
      <c r="Q168" s="129" t="n"/>
      <c r="R168" s="784" t="n"/>
      <c r="S168" s="129" t="n"/>
      <c r="T168" s="784" t="n"/>
      <c r="U168" s="129" t="n"/>
      <c r="V168" s="784" t="n"/>
      <c r="W168" s="129" t="n"/>
      <c r="X168" s="784" t="n"/>
      <c r="Y168" s="129" t="n"/>
      <c r="Z168" s="784" t="n"/>
      <c r="AA168" s="129" t="n"/>
      <c r="AB168" s="784" t="n"/>
      <c r="AC168" s="129" t="n"/>
      <c r="AD168" s="784" t="n"/>
      <c r="AE168" s="129" t="n"/>
      <c r="AF168" s="784" t="n"/>
    </row>
    <row r="169" hidden="1" ht="15" customHeight="1" s="321">
      <c r="B169" s="825" t="n"/>
      <c r="C169" s="783" t="n"/>
      <c r="D169" s="783" t="n"/>
      <c r="E169" s="783" t="n"/>
      <c r="F169" s="783" t="n"/>
      <c r="G169" s="783" t="n"/>
      <c r="H169" s="783" t="n"/>
      <c r="I169" s="783" t="n"/>
      <c r="J169" s="784" t="n"/>
      <c r="K169" s="130" t="n"/>
      <c r="L169" s="784" t="n"/>
      <c r="M169" s="130" t="n"/>
      <c r="N169" s="784" t="n"/>
      <c r="O169" s="130" t="n"/>
      <c r="P169" s="784" t="n"/>
      <c r="Q169" s="130" t="n"/>
      <c r="R169" s="784" t="n"/>
      <c r="S169" s="130" t="n"/>
      <c r="T169" s="784" t="n"/>
      <c r="U169" s="130" t="n"/>
      <c r="V169" s="784" t="n"/>
      <c r="W169" s="130" t="n"/>
      <c r="X169" s="784" t="n"/>
      <c r="Y169" s="130" t="n"/>
      <c r="Z169" s="784" t="n"/>
      <c r="AA169" s="130" t="n"/>
      <c r="AB169" s="784" t="n"/>
      <c r="AC169" s="130" t="n"/>
      <c r="AD169" s="784" t="n"/>
      <c r="AE169" s="130" t="n"/>
      <c r="AF169" s="784" t="n"/>
    </row>
    <row r="170" hidden="1" ht="15" customHeight="1" s="321">
      <c r="B170" s="825" t="n"/>
      <c r="C170" s="783" t="n"/>
      <c r="D170" s="783" t="n"/>
      <c r="E170" s="783" t="n"/>
      <c r="F170" s="783" t="n"/>
      <c r="G170" s="783" t="n"/>
      <c r="H170" s="783" t="n"/>
      <c r="I170" s="783" t="n"/>
      <c r="J170" s="784" t="n"/>
      <c r="K170" s="130" t="n"/>
      <c r="L170" s="784" t="n"/>
      <c r="M170" s="130" t="n"/>
      <c r="N170" s="784" t="n"/>
      <c r="O170" s="130" t="n"/>
      <c r="P170" s="784" t="n"/>
      <c r="Q170" s="130" t="n"/>
      <c r="R170" s="784" t="n"/>
      <c r="S170" s="130" t="n"/>
      <c r="T170" s="784" t="n"/>
      <c r="U170" s="130" t="n"/>
      <c r="V170" s="784" t="n"/>
      <c r="W170" s="130" t="n"/>
      <c r="X170" s="784" t="n"/>
      <c r="Y170" s="130" t="n"/>
      <c r="Z170" s="784" t="n"/>
      <c r="AA170" s="130" t="n"/>
      <c r="AB170" s="784" t="n"/>
      <c r="AC170" s="130" t="n"/>
      <c r="AD170" s="784" t="n"/>
      <c r="AE170" s="130" t="n"/>
      <c r="AF170" s="784" t="n"/>
    </row>
    <row r="171" hidden="1" ht="15" customHeight="1" s="321">
      <c r="B171" s="825" t="n"/>
      <c r="C171" s="783" t="n"/>
      <c r="D171" s="783" t="n"/>
      <c r="E171" s="783" t="n"/>
      <c r="F171" s="783" t="n"/>
      <c r="G171" s="783" t="n"/>
      <c r="H171" s="783" t="n"/>
      <c r="I171" s="783" t="n"/>
      <c r="J171" s="784" t="n"/>
      <c r="K171" s="130" t="n"/>
      <c r="L171" s="784" t="n"/>
      <c r="M171" s="130" t="n"/>
      <c r="N171" s="784" t="n"/>
      <c r="O171" s="130" t="n"/>
      <c r="P171" s="784" t="n"/>
      <c r="Q171" s="130" t="n"/>
      <c r="R171" s="784" t="n"/>
      <c r="S171" s="130" t="n"/>
      <c r="T171" s="784" t="n"/>
      <c r="U171" s="130" t="n"/>
      <c r="V171" s="784" t="n"/>
      <c r="W171" s="130" t="n"/>
      <c r="X171" s="784" t="n"/>
      <c r="Y171" s="130" t="n"/>
      <c r="Z171" s="784" t="n"/>
      <c r="AA171" s="130" t="n"/>
      <c r="AB171" s="784" t="n"/>
      <c r="AC171" s="130" t="n"/>
      <c r="AD171" s="784" t="n"/>
      <c r="AE171" s="130" t="n"/>
      <c r="AF171" s="784" t="n"/>
    </row>
    <row r="172" hidden="1" ht="15" customHeight="1" s="321">
      <c r="B172" s="825" t="n"/>
      <c r="C172" s="783" t="n"/>
      <c r="D172" s="783" t="n"/>
      <c r="E172" s="783" t="n"/>
      <c r="F172" s="783" t="n"/>
      <c r="G172" s="783" t="n"/>
      <c r="H172" s="783" t="n"/>
      <c r="I172" s="783" t="n"/>
      <c r="J172" s="784" t="n"/>
      <c r="K172" s="129" t="n"/>
      <c r="L172" s="784" t="n"/>
      <c r="M172" s="129" t="n"/>
      <c r="N172" s="784" t="n"/>
      <c r="O172" s="129" t="n"/>
      <c r="P172" s="784" t="n"/>
      <c r="Q172" s="129" t="n"/>
      <c r="R172" s="784" t="n"/>
      <c r="S172" s="129" t="n"/>
      <c r="T172" s="784" t="n"/>
      <c r="U172" s="129" t="n"/>
      <c r="V172" s="784" t="n"/>
      <c r="W172" s="129" t="n"/>
      <c r="X172" s="784" t="n"/>
      <c r="Y172" s="129" t="n"/>
      <c r="Z172" s="784" t="n"/>
      <c r="AA172" s="129" t="n"/>
      <c r="AB172" s="784" t="n"/>
      <c r="AC172" s="129" t="n"/>
      <c r="AD172" s="784" t="n"/>
      <c r="AE172" s="129" t="n"/>
      <c r="AF172" s="784" t="n"/>
    </row>
    <row r="173" hidden="1" ht="15" customHeight="1" s="321">
      <c r="B173" s="825" t="n"/>
      <c r="C173" s="783" t="n"/>
      <c r="D173" s="783" t="n"/>
      <c r="E173" s="783" t="n"/>
      <c r="F173" s="783" t="n"/>
      <c r="G173" s="783" t="n"/>
      <c r="H173" s="783" t="n"/>
      <c r="I173" s="783" t="n"/>
      <c r="J173" s="784" t="n"/>
      <c r="K173" s="130" t="n"/>
      <c r="L173" s="784" t="n"/>
      <c r="M173" s="130" t="n"/>
      <c r="N173" s="784" t="n"/>
      <c r="O173" s="130" t="n"/>
      <c r="P173" s="784" t="n"/>
      <c r="Q173" s="130" t="n"/>
      <c r="R173" s="784" t="n"/>
      <c r="S173" s="130" t="n"/>
      <c r="T173" s="784" t="n"/>
      <c r="U173" s="130" t="n"/>
      <c r="V173" s="784" t="n"/>
      <c r="W173" s="130" t="n"/>
      <c r="X173" s="784" t="n"/>
      <c r="Y173" s="130" t="n"/>
      <c r="Z173" s="784" t="n"/>
      <c r="AA173" s="130" t="n"/>
      <c r="AB173" s="784" t="n"/>
      <c r="AC173" s="130" t="n"/>
      <c r="AD173" s="784" t="n"/>
      <c r="AE173" s="130" t="n"/>
      <c r="AF173" s="784" t="n"/>
    </row>
    <row r="174" hidden="1" ht="15" customHeight="1" s="321">
      <c r="B174" s="825" t="n"/>
      <c r="C174" s="783" t="n"/>
      <c r="D174" s="783" t="n"/>
      <c r="E174" s="783" t="n"/>
      <c r="F174" s="783" t="n"/>
      <c r="G174" s="783" t="n"/>
      <c r="H174" s="783" t="n"/>
      <c r="I174" s="783" t="n"/>
      <c r="J174" s="784" t="n"/>
      <c r="K174" s="130" t="n"/>
      <c r="L174" s="784" t="n"/>
      <c r="M174" s="130" t="n"/>
      <c r="N174" s="784" t="n"/>
      <c r="O174" s="130" t="n"/>
      <c r="P174" s="784" t="n"/>
      <c r="Q174" s="130" t="n"/>
      <c r="R174" s="784" t="n"/>
      <c r="S174" s="130" t="n"/>
      <c r="T174" s="784" t="n"/>
      <c r="U174" s="130" t="n"/>
      <c r="V174" s="784" t="n"/>
      <c r="W174" s="130" t="n"/>
      <c r="X174" s="784" t="n"/>
      <c r="Y174" s="130" t="n"/>
      <c r="Z174" s="784" t="n"/>
      <c r="AA174" s="130" t="n"/>
      <c r="AB174" s="784" t="n"/>
      <c r="AC174" s="130" t="n"/>
      <c r="AD174" s="784" t="n"/>
      <c r="AE174" s="130" t="n"/>
      <c r="AF174" s="784" t="n"/>
    </row>
    <row r="175" hidden="1" ht="15" customHeight="1" s="321">
      <c r="B175" s="825" t="n"/>
      <c r="C175" s="783" t="n"/>
      <c r="D175" s="783" t="n"/>
      <c r="E175" s="783" t="n"/>
      <c r="F175" s="783" t="n"/>
      <c r="G175" s="783" t="n"/>
      <c r="H175" s="783" t="n"/>
      <c r="I175" s="783" t="n"/>
      <c r="J175" s="784" t="n"/>
      <c r="K175" s="129" t="n"/>
      <c r="L175" s="784" t="n"/>
      <c r="M175" s="129" t="n"/>
      <c r="N175" s="784" t="n"/>
      <c r="O175" s="129" t="n"/>
      <c r="P175" s="784" t="n"/>
      <c r="Q175" s="129" t="n"/>
      <c r="R175" s="784" t="n"/>
      <c r="S175" s="129" t="n"/>
      <c r="T175" s="784" t="n"/>
      <c r="U175" s="129" t="n"/>
      <c r="V175" s="784" t="n"/>
      <c r="W175" s="129" t="n"/>
      <c r="X175" s="784" t="n"/>
      <c r="Y175" s="129" t="n"/>
      <c r="Z175" s="784" t="n"/>
      <c r="AA175" s="129" t="n"/>
      <c r="AB175" s="784" t="n"/>
      <c r="AC175" s="129" t="n"/>
      <c r="AD175" s="784" t="n"/>
      <c r="AE175" s="129" t="n"/>
      <c r="AF175" s="784" t="n"/>
    </row>
    <row r="176" hidden="1" ht="15" customHeight="1" s="321">
      <c r="B176" s="825" t="n"/>
      <c r="C176" s="783" t="n"/>
      <c r="D176" s="783" t="n"/>
      <c r="E176" s="783" t="n"/>
      <c r="F176" s="783" t="n"/>
      <c r="G176" s="783" t="n"/>
      <c r="H176" s="783" t="n"/>
      <c r="I176" s="783" t="n"/>
      <c r="J176" s="784" t="n"/>
      <c r="K176" s="130" t="n"/>
      <c r="L176" s="784" t="n"/>
      <c r="M176" s="130" t="n"/>
      <c r="N176" s="784" t="n"/>
      <c r="O176" s="130" t="n"/>
      <c r="P176" s="784" t="n"/>
      <c r="Q176" s="130" t="n"/>
      <c r="R176" s="784" t="n"/>
      <c r="S176" s="130" t="n"/>
      <c r="T176" s="784" t="n"/>
      <c r="U176" s="130" t="n"/>
      <c r="V176" s="784" t="n"/>
      <c r="W176" s="130" t="n"/>
      <c r="X176" s="784" t="n"/>
      <c r="Y176" s="130" t="n"/>
      <c r="Z176" s="784" t="n"/>
      <c r="AA176" s="130" t="n"/>
      <c r="AB176" s="784" t="n"/>
      <c r="AC176" s="130" t="n"/>
      <c r="AD176" s="784" t="n"/>
      <c r="AE176" s="130" t="n"/>
      <c r="AF176" s="784" t="n"/>
    </row>
    <row r="177" hidden="1" ht="15" customHeight="1" s="321">
      <c r="B177" s="825" t="n"/>
      <c r="C177" s="783" t="n"/>
      <c r="D177" s="783" t="n"/>
      <c r="E177" s="783" t="n"/>
      <c r="F177" s="783" t="n"/>
      <c r="G177" s="783" t="n"/>
      <c r="H177" s="783" t="n"/>
      <c r="I177" s="783" t="n"/>
      <c r="J177" s="784" t="n"/>
      <c r="K177" s="130" t="n"/>
      <c r="L177" s="784" t="n"/>
      <c r="M177" s="130" t="n"/>
      <c r="N177" s="784" t="n"/>
      <c r="O177" s="130" t="n"/>
      <c r="P177" s="784" t="n"/>
      <c r="Q177" s="130" t="n"/>
      <c r="R177" s="784" t="n"/>
      <c r="S177" s="130" t="n"/>
      <c r="T177" s="784" t="n"/>
      <c r="U177" s="130" t="n"/>
      <c r="V177" s="784" t="n"/>
      <c r="W177" s="130" t="n"/>
      <c r="X177" s="784" t="n"/>
      <c r="Y177" s="130" t="n"/>
      <c r="Z177" s="784" t="n"/>
      <c r="AA177" s="130" t="n"/>
      <c r="AB177" s="784" t="n"/>
      <c r="AC177" s="130" t="n"/>
      <c r="AD177" s="784" t="n"/>
      <c r="AE177" s="130" t="n"/>
      <c r="AF177" s="784" t="n"/>
    </row>
    <row r="178" hidden="1" ht="15" customHeight="1" s="321">
      <c r="B178" s="826" t="n"/>
      <c r="C178" s="827" t="n"/>
      <c r="D178" s="827" t="n"/>
      <c r="E178" s="827" t="n"/>
      <c r="F178" s="827" t="n"/>
      <c r="G178" s="827" t="n"/>
      <c r="H178" s="827" t="n"/>
      <c r="I178" s="827" t="n"/>
      <c r="J178" s="828" t="n"/>
      <c r="K178" s="277" t="n"/>
      <c r="L178" s="828" t="n"/>
      <c r="M178" s="277" t="n"/>
      <c r="N178" s="828" t="n"/>
      <c r="O178" s="277" t="n"/>
      <c r="P178" s="828" t="n"/>
      <c r="Q178" s="277" t="n"/>
      <c r="R178" s="828" t="n"/>
      <c r="S178" s="277" t="n"/>
      <c r="T178" s="828" t="n"/>
      <c r="U178" s="277" t="n"/>
      <c r="V178" s="828" t="n"/>
      <c r="W178" s="277" t="n"/>
      <c r="X178" s="828" t="n"/>
      <c r="Y178" s="277" t="n"/>
      <c r="Z178" s="828" t="n"/>
      <c r="AA178" s="277" t="n"/>
      <c r="AB178" s="828" t="n"/>
      <c r="AC178" s="277" t="n"/>
      <c r="AD178" s="828" t="n"/>
      <c r="AE178" s="277" t="n"/>
      <c r="AF178" s="828" t="n"/>
    </row>
    <row r="179" ht="20.45" customHeight="1" s="321" thickBot="1">
      <c r="B179" s="153" t="inlineStr">
        <is>
          <t>Diğer Gelirler Toplamı :</t>
        </is>
      </c>
      <c r="C179" s="787" t="n"/>
      <c r="D179" s="787" t="n"/>
      <c r="E179" s="787" t="n"/>
      <c r="F179" s="787" t="n"/>
      <c r="G179" s="787" t="n"/>
      <c r="H179" s="787" t="n"/>
      <c r="I179" s="787" t="n"/>
      <c r="J179" s="788" t="n"/>
      <c r="K179" s="151">
        <f>SUM(K159:L178)</f>
        <v/>
      </c>
      <c r="L179" s="788" t="n"/>
      <c r="M179" s="151">
        <f>SUM(M159:N178)</f>
        <v/>
      </c>
      <c r="N179" s="788" t="n"/>
      <c r="O179" s="151">
        <f>SUM(O159:P178)</f>
        <v/>
      </c>
      <c r="P179" s="788" t="n"/>
      <c r="Q179" s="151">
        <f>SUM(Q159:R178)</f>
        <v/>
      </c>
      <c r="R179" s="788" t="n"/>
      <c r="S179" s="151">
        <f>SUM(S159:T178)</f>
        <v/>
      </c>
      <c r="T179" s="788" t="n"/>
      <c r="U179" s="151">
        <f>SUM(U159:V178)</f>
        <v/>
      </c>
      <c r="V179" s="788" t="n"/>
      <c r="W179" s="151">
        <f>SUM(W159:X178)</f>
        <v/>
      </c>
      <c r="X179" s="788" t="n"/>
      <c r="Y179" s="151">
        <f>SUM(Y159:Z178)</f>
        <v/>
      </c>
      <c r="Z179" s="788" t="n"/>
      <c r="AA179" s="151">
        <f>SUM(AA159:AB178)</f>
        <v/>
      </c>
      <c r="AB179" s="788" t="n"/>
      <c r="AC179" s="151">
        <f>SUM(AC159:AD178)</f>
        <v/>
      </c>
      <c r="AD179" s="788" t="n"/>
      <c r="AE179" s="151">
        <f>SUM(AE159:AF178)</f>
        <v/>
      </c>
      <c r="AF179" s="788" t="n"/>
    </row>
    <row r="181" ht="13.5" customHeight="1" s="321" thickBot="1"/>
    <row r="182" ht="19.9" customHeight="1" s="321" thickBot="1">
      <c r="B182" s="824" t="inlineStr">
        <is>
          <t>TAM KAPASİTEDE YILLIK İŞLETME GİDERLERİ</t>
        </is>
      </c>
      <c r="C182" s="318" t="n"/>
      <c r="D182" s="318" t="n"/>
      <c r="E182" s="318" t="n"/>
      <c r="F182" s="318" t="n"/>
      <c r="G182" s="318" t="n"/>
      <c r="H182" s="318" t="n"/>
      <c r="I182" s="318" t="n"/>
      <c r="J182" s="318" t="n"/>
      <c r="K182" s="318" t="n"/>
      <c r="L182" s="318" t="n"/>
      <c r="M182" s="318" t="n"/>
      <c r="N182" s="318" t="n"/>
      <c r="O182" s="318" t="n"/>
      <c r="P182" s="318" t="n"/>
      <c r="Q182" s="318" t="n"/>
      <c r="R182" s="318" t="n"/>
      <c r="S182" s="318" t="n"/>
      <c r="T182" s="318" t="n"/>
      <c r="U182" s="318" t="n"/>
      <c r="V182" s="318" t="n"/>
      <c r="W182" s="318" t="n"/>
      <c r="X182" s="318" t="n"/>
      <c r="Y182" s="318" t="n"/>
      <c r="Z182" s="318" t="n"/>
      <c r="AA182" s="318" t="n"/>
      <c r="AB182" s="318" t="n"/>
      <c r="AC182" s="318" t="n"/>
      <c r="AD182" s="318" t="n"/>
      <c r="AE182" s="318" t="n"/>
      <c r="AF182" s="793" t="n"/>
    </row>
    <row r="183" ht="46.9" customHeight="1" s="321">
      <c r="B183" s="377" t="inlineStr">
        <is>
          <t>Gider Unsurları</t>
        </is>
      </c>
      <c r="C183" s="780" t="n"/>
      <c r="D183" s="780" t="n"/>
      <c r="E183" s="780" t="n"/>
      <c r="F183" s="780" t="n"/>
      <c r="G183" s="780" t="n"/>
      <c r="H183" s="780" t="n"/>
      <c r="I183" s="780" t="n"/>
      <c r="J183" s="780" t="n"/>
      <c r="K183" s="781" t="n"/>
      <c r="L183" s="149" t="inlineStr">
        <is>
          <t>Miktar</t>
        </is>
      </c>
      <c r="M183" s="781" t="n"/>
      <c r="N183" s="149" t="inlineStr">
        <is>
          <t>Birim</t>
        </is>
      </c>
      <c r="O183" s="781" t="n"/>
      <c r="P183" s="149" t="inlineStr">
        <is>
          <t>Birim Fiyat (TL)</t>
        </is>
      </c>
      <c r="Q183" s="781" t="n"/>
      <c r="R183" s="149" t="inlineStr">
        <is>
          <t>Toplam Tutar (TL)</t>
        </is>
      </c>
      <c r="S183" s="780" t="n"/>
      <c r="T183" s="781" t="n"/>
      <c r="U183" s="149" t="inlineStr">
        <is>
          <t>Sabit (%)</t>
        </is>
      </c>
      <c r="V183" s="781" t="n"/>
      <c r="W183" s="149" t="inlineStr">
        <is>
          <t>Değişken (%)</t>
        </is>
      </c>
      <c r="X183" s="781" t="n"/>
      <c r="Y183" s="149" t="inlineStr">
        <is>
          <t>Giderdeki Payı (%)</t>
        </is>
      </c>
      <c r="Z183" s="781" t="n"/>
      <c r="AA183" s="149" t="inlineStr">
        <is>
          <t>Sabit Tutar</t>
        </is>
      </c>
      <c r="AB183" s="781" t="n"/>
      <c r="AC183" s="149" t="inlineStr">
        <is>
          <t>Değişken Tutar</t>
        </is>
      </c>
      <c r="AD183" s="781" t="n"/>
      <c r="AE183" s="373" t="inlineStr">
        <is>
          <t>Giderdeki Payı (Duyarlılık İçin Gruplandırılmış)</t>
        </is>
      </c>
      <c r="AF183" s="781" t="n"/>
    </row>
    <row r="184" ht="18" customHeight="1" s="321">
      <c r="B184" s="379" t="inlineStr">
        <is>
          <t>1-Direkt İlk Madde ve Malzeme</t>
        </is>
      </c>
      <c r="C184" s="773" t="n"/>
      <c r="D184" s="773" t="n"/>
      <c r="E184" s="773" t="n"/>
      <c r="F184" s="773" t="n"/>
      <c r="G184" s="773" t="n"/>
      <c r="H184" s="773" t="n"/>
      <c r="I184" s="773" t="n"/>
      <c r="J184" s="773" t="n"/>
      <c r="K184" s="774" t="n"/>
      <c r="L184" s="829" t="n"/>
      <c r="M184" s="774" t="n"/>
      <c r="N184" s="830" t="n"/>
      <c r="O184" s="774" t="n"/>
      <c r="P184" s="829" t="n"/>
      <c r="Q184" s="774" t="n"/>
      <c r="R184" s="831">
        <f>R185+R226+R252</f>
        <v/>
      </c>
      <c r="S184" s="773" t="n"/>
      <c r="T184" s="774" t="n"/>
      <c r="U184" s="832" t="n"/>
      <c r="V184" s="774" t="n"/>
      <c r="W184" s="832" t="n"/>
      <c r="X184" s="774" t="n"/>
      <c r="Y184" s="833">
        <f>IFERROR(R184/$R$320,"")</f>
        <v/>
      </c>
      <c r="Z184" s="774" t="n"/>
      <c r="AA184" s="831">
        <f>AA185+AA226+AA252</f>
        <v/>
      </c>
      <c r="AB184" s="774" t="n"/>
      <c r="AC184" s="831">
        <f>AC185+AC226+AC252</f>
        <v/>
      </c>
      <c r="AD184" s="774" t="n"/>
      <c r="AE184" s="834" t="n"/>
      <c r="AF184" s="835" t="n"/>
    </row>
    <row r="185" ht="15" customHeight="1" s="321">
      <c r="B185" s="381" t="inlineStr">
        <is>
          <t>a) İlk Madde Kullanımı</t>
        </is>
      </c>
      <c r="C185" s="773" t="n"/>
      <c r="D185" s="773" t="n"/>
      <c r="E185" s="773" t="n"/>
      <c r="F185" s="773" t="n"/>
      <c r="G185" s="773" t="n"/>
      <c r="H185" s="773" t="n"/>
      <c r="I185" s="773" t="n"/>
      <c r="J185" s="773" t="n"/>
      <c r="K185" s="774" t="n"/>
      <c r="L185" s="836" t="n">
        <v>1</v>
      </c>
      <c r="M185" s="774" t="n"/>
      <c r="N185" s="837" t="n"/>
      <c r="O185" s="774" t="n"/>
      <c r="P185" s="836">
        <f>SUM(R186:T225)</f>
        <v/>
      </c>
      <c r="Q185" s="774" t="n"/>
      <c r="R185" s="838">
        <f>L185*P185</f>
        <v/>
      </c>
      <c r="S185" s="773" t="n"/>
      <c r="T185" s="774" t="n"/>
      <c r="U185" s="839">
        <f>IFERROR(SUM(AA186:AB225)/SUM(AA186:AD225),0)</f>
        <v/>
      </c>
      <c r="V185" s="774" t="n"/>
      <c r="W185" s="839">
        <f>1-U185</f>
        <v/>
      </c>
      <c r="X185" s="774" t="n"/>
      <c r="Y185" s="840">
        <f>IFERROR(R185/$R$320,"")</f>
        <v/>
      </c>
      <c r="Z185" s="774" t="n"/>
      <c r="AA185" s="838">
        <f>R185*U185</f>
        <v/>
      </c>
      <c r="AB185" s="774" t="n"/>
      <c r="AC185" s="838">
        <f>R185*W185</f>
        <v/>
      </c>
      <c r="AD185" s="774" t="n"/>
      <c r="AE185" s="841">
        <f>IFERROR(R185/$R$320,"")</f>
        <v/>
      </c>
      <c r="AF185" s="835" t="n"/>
    </row>
    <row r="186" ht="15" customHeight="1" s="321">
      <c r="B186" s="383" t="inlineStr">
        <is>
          <t>Altlık (talaş)</t>
        </is>
      </c>
      <c r="C186" s="783" t="n"/>
      <c r="D186" s="783" t="n"/>
      <c r="E186" s="783" t="n"/>
      <c r="F186" s="783" t="n"/>
      <c r="G186" s="783" t="n"/>
      <c r="H186" s="783" t="n"/>
      <c r="I186" s="783" t="n"/>
      <c r="J186" s="783" t="n"/>
      <c r="K186" s="784" t="n"/>
      <c r="L186" s="842" t="n">
        <v>57</v>
      </c>
      <c r="M186" s="784" t="n"/>
      <c r="N186" s="843" t="inlineStr">
        <is>
          <t>ton</t>
        </is>
      </c>
      <c r="O186" s="784" t="n"/>
      <c r="P186" s="842" t="n">
        <v>4500</v>
      </c>
      <c r="Q186" s="784" t="n"/>
      <c r="R186" s="457">
        <f>L186*P186</f>
        <v/>
      </c>
      <c r="S186" s="773" t="n"/>
      <c r="T186" s="774" t="n"/>
      <c r="U186" s="844" t="n">
        <v>0</v>
      </c>
      <c r="V186" s="784" t="n"/>
      <c r="W186" s="845">
        <f>1-U186</f>
        <v/>
      </c>
      <c r="X186" s="774" t="n"/>
      <c r="Y186" s="846">
        <f>IFERROR(R186/$R$320,"")</f>
        <v/>
      </c>
      <c r="Z186" s="774" t="n"/>
      <c r="AA186" s="457">
        <f>R186*U186</f>
        <v/>
      </c>
      <c r="AB186" s="774" t="n"/>
      <c r="AC186" s="457">
        <f>R186*W186</f>
        <v/>
      </c>
      <c r="AD186" s="774" t="n"/>
      <c r="AE186" s="847" t="n"/>
      <c r="AF186" s="848" t="n"/>
    </row>
    <row r="187" hidden="1" ht="15" customHeight="1" s="321">
      <c r="B187" s="383" t="n"/>
      <c r="C187" s="783" t="n"/>
      <c r="D187" s="783" t="n"/>
      <c r="E187" s="783" t="n"/>
      <c r="F187" s="783" t="n"/>
      <c r="G187" s="783" t="n"/>
      <c r="H187" s="783" t="n"/>
      <c r="I187" s="783" t="n"/>
      <c r="J187" s="783" t="n"/>
      <c r="K187" s="784" t="n"/>
      <c r="L187" s="842" t="n"/>
      <c r="M187" s="784" t="n"/>
      <c r="N187" s="843" t="n"/>
      <c r="O187" s="784" t="n"/>
      <c r="P187" s="842" t="n"/>
      <c r="Q187" s="784" t="n"/>
      <c r="R187" s="457">
        <f>L187*P187</f>
        <v/>
      </c>
      <c r="S187" s="773" t="n"/>
      <c r="T187" s="774" t="n"/>
      <c r="U187" s="844" t="n"/>
      <c r="V187" s="784" t="n"/>
      <c r="W187" s="845">
        <f>1-U187</f>
        <v/>
      </c>
      <c r="X187" s="774" t="n"/>
      <c r="Y187" s="846">
        <f>IFERROR(R187/$R$320,"")</f>
        <v/>
      </c>
      <c r="Z187" s="774" t="n"/>
      <c r="AA187" s="457">
        <f>R187*U187</f>
        <v/>
      </c>
      <c r="AB187" s="774" t="n"/>
      <c r="AC187" s="457">
        <f>R187*W187</f>
        <v/>
      </c>
      <c r="AD187" s="774" t="n"/>
      <c r="AE187" s="794" t="n"/>
      <c r="AF187" s="795" t="n"/>
    </row>
    <row r="188" hidden="1" ht="15" customHeight="1" s="321">
      <c r="B188" s="383" t="n"/>
      <c r="C188" s="783" t="n"/>
      <c r="D188" s="783" t="n"/>
      <c r="E188" s="783" t="n"/>
      <c r="F188" s="783" t="n"/>
      <c r="G188" s="783" t="n"/>
      <c r="H188" s="783" t="n"/>
      <c r="I188" s="783" t="n"/>
      <c r="J188" s="783" t="n"/>
      <c r="K188" s="784" t="n"/>
      <c r="L188" s="842" t="n"/>
      <c r="M188" s="784" t="n"/>
      <c r="N188" s="843" t="n"/>
      <c r="O188" s="784" t="n"/>
      <c r="P188" s="842" t="n"/>
      <c r="Q188" s="784" t="n"/>
      <c r="R188" s="457">
        <f>L188*P188</f>
        <v/>
      </c>
      <c r="S188" s="773" t="n"/>
      <c r="T188" s="774" t="n"/>
      <c r="U188" s="844" t="n"/>
      <c r="V188" s="784" t="n"/>
      <c r="W188" s="845">
        <f>1-U188</f>
        <v/>
      </c>
      <c r="X188" s="774" t="n"/>
      <c r="Y188" s="846">
        <f>IFERROR(R188/$R$320,"")</f>
        <v/>
      </c>
      <c r="Z188" s="774" t="n"/>
      <c r="AA188" s="457">
        <f>R188*U188</f>
        <v/>
      </c>
      <c r="AB188" s="774" t="n"/>
      <c r="AC188" s="457">
        <f>R188*W188</f>
        <v/>
      </c>
      <c r="AD188" s="774" t="n"/>
      <c r="AE188" s="794" t="n"/>
      <c r="AF188" s="795" t="n"/>
    </row>
    <row r="189" hidden="1" ht="15" customHeight="1" s="321">
      <c r="B189" s="383" t="n"/>
      <c r="C189" s="783" t="n"/>
      <c r="D189" s="783" t="n"/>
      <c r="E189" s="783" t="n"/>
      <c r="F189" s="783" t="n"/>
      <c r="G189" s="783" t="n"/>
      <c r="H189" s="783" t="n"/>
      <c r="I189" s="783" t="n"/>
      <c r="J189" s="783" t="n"/>
      <c r="K189" s="784" t="n"/>
      <c r="L189" s="842" t="n"/>
      <c r="M189" s="784" t="n"/>
      <c r="N189" s="843" t="n"/>
      <c r="O189" s="784" t="n"/>
      <c r="P189" s="842" t="n"/>
      <c r="Q189" s="784" t="n"/>
      <c r="R189" s="457">
        <f>L189*P189</f>
        <v/>
      </c>
      <c r="S189" s="773" t="n"/>
      <c r="T189" s="774" t="n"/>
      <c r="U189" s="844" t="n"/>
      <c r="V189" s="784" t="n"/>
      <c r="W189" s="845">
        <f>1-U189</f>
        <v/>
      </c>
      <c r="X189" s="774" t="n"/>
      <c r="Y189" s="846">
        <f>IFERROR(R189/$R$320,"")</f>
        <v/>
      </c>
      <c r="Z189" s="774" t="n"/>
      <c r="AA189" s="457">
        <f>R189*U189</f>
        <v/>
      </c>
      <c r="AB189" s="774" t="n"/>
      <c r="AC189" s="457">
        <f>R189*W189</f>
        <v/>
      </c>
      <c r="AD189" s="774" t="n"/>
      <c r="AE189" s="794" t="n"/>
      <c r="AF189" s="795" t="n"/>
    </row>
    <row r="190" hidden="1" ht="15" customHeight="1" s="321">
      <c r="B190" s="383" t="n"/>
      <c r="C190" s="783" t="n"/>
      <c r="D190" s="783" t="n"/>
      <c r="E190" s="783" t="n"/>
      <c r="F190" s="783" t="n"/>
      <c r="G190" s="783" t="n"/>
      <c r="H190" s="783" t="n"/>
      <c r="I190" s="783" t="n"/>
      <c r="J190" s="783" t="n"/>
      <c r="K190" s="784" t="n"/>
      <c r="L190" s="842" t="n"/>
      <c r="M190" s="784" t="n"/>
      <c r="N190" s="843" t="n"/>
      <c r="O190" s="784" t="n"/>
      <c r="P190" s="842" t="n"/>
      <c r="Q190" s="784" t="n"/>
      <c r="R190" s="457">
        <f>L190*P190</f>
        <v/>
      </c>
      <c r="S190" s="773" t="n"/>
      <c r="T190" s="774" t="n"/>
      <c r="U190" s="844" t="n"/>
      <c r="V190" s="784" t="n"/>
      <c r="W190" s="845">
        <f>1-U190</f>
        <v/>
      </c>
      <c r="X190" s="774" t="n"/>
      <c r="Y190" s="846">
        <f>IFERROR(R190/$R$320,"")</f>
        <v/>
      </c>
      <c r="Z190" s="774" t="n"/>
      <c r="AA190" s="457">
        <f>R190*U190</f>
        <v/>
      </c>
      <c r="AB190" s="774" t="n"/>
      <c r="AC190" s="457">
        <f>R190*W190</f>
        <v/>
      </c>
      <c r="AD190" s="774" t="n"/>
      <c r="AE190" s="794" t="n"/>
      <c r="AF190" s="795" t="n"/>
    </row>
    <row r="191" hidden="1" ht="15" customHeight="1" s="321">
      <c r="B191" s="383" t="n"/>
      <c r="C191" s="783" t="n"/>
      <c r="D191" s="783" t="n"/>
      <c r="E191" s="783" t="n"/>
      <c r="F191" s="783" t="n"/>
      <c r="G191" s="783" t="n"/>
      <c r="H191" s="783" t="n"/>
      <c r="I191" s="783" t="n"/>
      <c r="J191" s="783" t="n"/>
      <c r="K191" s="784" t="n"/>
      <c r="L191" s="842" t="n"/>
      <c r="M191" s="784" t="n"/>
      <c r="N191" s="843" t="n"/>
      <c r="O191" s="784" t="n"/>
      <c r="P191" s="842" t="n"/>
      <c r="Q191" s="784" t="n"/>
      <c r="R191" s="457">
        <f>L191*P191</f>
        <v/>
      </c>
      <c r="S191" s="773" t="n"/>
      <c r="T191" s="774" t="n"/>
      <c r="U191" s="844" t="n"/>
      <c r="V191" s="784" t="n"/>
      <c r="W191" s="845">
        <f>1-U191</f>
        <v/>
      </c>
      <c r="X191" s="774" t="n"/>
      <c r="Y191" s="846">
        <f>IFERROR(R191/$R$320,"")</f>
        <v/>
      </c>
      <c r="Z191" s="774" t="n"/>
      <c r="AA191" s="457">
        <f>R191*U191</f>
        <v/>
      </c>
      <c r="AB191" s="774" t="n"/>
      <c r="AC191" s="457">
        <f>R191*W191</f>
        <v/>
      </c>
      <c r="AD191" s="774" t="n"/>
      <c r="AE191" s="794" t="n"/>
      <c r="AF191" s="795" t="n"/>
    </row>
    <row r="192" hidden="1" ht="15" customHeight="1" s="321">
      <c r="B192" s="383" t="n"/>
      <c r="C192" s="783" t="n"/>
      <c r="D192" s="783" t="n"/>
      <c r="E192" s="783" t="n"/>
      <c r="F192" s="783" t="n"/>
      <c r="G192" s="783" t="n"/>
      <c r="H192" s="783" t="n"/>
      <c r="I192" s="783" t="n"/>
      <c r="J192" s="783" t="n"/>
      <c r="K192" s="784" t="n"/>
      <c r="L192" s="842" t="n"/>
      <c r="M192" s="784" t="n"/>
      <c r="N192" s="843" t="n"/>
      <c r="O192" s="784" t="n"/>
      <c r="P192" s="842" t="n"/>
      <c r="Q192" s="784" t="n"/>
      <c r="R192" s="457">
        <f>L192*P192</f>
        <v/>
      </c>
      <c r="S192" s="773" t="n"/>
      <c r="T192" s="774" t="n"/>
      <c r="U192" s="844" t="n"/>
      <c r="V192" s="784" t="n"/>
      <c r="W192" s="845">
        <f>1-U192</f>
        <v/>
      </c>
      <c r="X192" s="774" t="n"/>
      <c r="Y192" s="846">
        <f>IFERROR(R192/$R$320,"")</f>
        <v/>
      </c>
      <c r="Z192" s="774" t="n"/>
      <c r="AA192" s="457">
        <f>R192*U192</f>
        <v/>
      </c>
      <c r="AB192" s="774" t="n"/>
      <c r="AC192" s="457">
        <f>R192*W192</f>
        <v/>
      </c>
      <c r="AD192" s="774" t="n"/>
      <c r="AE192" s="794" t="n"/>
      <c r="AF192" s="795" t="n"/>
    </row>
    <row r="193" hidden="1" ht="15" customHeight="1" s="321">
      <c r="B193" s="383" t="n"/>
      <c r="C193" s="783" t="n"/>
      <c r="D193" s="783" t="n"/>
      <c r="E193" s="783" t="n"/>
      <c r="F193" s="783" t="n"/>
      <c r="G193" s="783" t="n"/>
      <c r="H193" s="783" t="n"/>
      <c r="I193" s="783" t="n"/>
      <c r="J193" s="783" t="n"/>
      <c r="K193" s="784" t="n"/>
      <c r="L193" s="842" t="n"/>
      <c r="M193" s="784" t="n"/>
      <c r="N193" s="843" t="n"/>
      <c r="O193" s="784" t="n"/>
      <c r="P193" s="842" t="n"/>
      <c r="Q193" s="784" t="n"/>
      <c r="R193" s="457">
        <f>L193*P193</f>
        <v/>
      </c>
      <c r="S193" s="773" t="n"/>
      <c r="T193" s="774" t="n"/>
      <c r="U193" s="844" t="n"/>
      <c r="V193" s="784" t="n"/>
      <c r="W193" s="845">
        <f>1-U193</f>
        <v/>
      </c>
      <c r="X193" s="774" t="n"/>
      <c r="Y193" s="846">
        <f>IFERROR(R193/$R$320,"")</f>
        <v/>
      </c>
      <c r="Z193" s="774" t="n"/>
      <c r="AA193" s="457">
        <f>R193*U193</f>
        <v/>
      </c>
      <c r="AB193" s="774" t="n"/>
      <c r="AC193" s="457">
        <f>R193*W193</f>
        <v/>
      </c>
      <c r="AD193" s="774" t="n"/>
      <c r="AE193" s="794" t="n"/>
      <c r="AF193" s="795" t="n"/>
    </row>
    <row r="194" hidden="1" ht="15" customHeight="1" s="321">
      <c r="B194" s="383" t="n"/>
      <c r="C194" s="783" t="n"/>
      <c r="D194" s="783" t="n"/>
      <c r="E194" s="783" t="n"/>
      <c r="F194" s="783" t="n"/>
      <c r="G194" s="783" t="n"/>
      <c r="H194" s="783" t="n"/>
      <c r="I194" s="783" t="n"/>
      <c r="J194" s="783" t="n"/>
      <c r="K194" s="784" t="n"/>
      <c r="L194" s="842" t="n"/>
      <c r="M194" s="784" t="n"/>
      <c r="N194" s="843" t="n"/>
      <c r="O194" s="784" t="n"/>
      <c r="P194" s="842" t="n"/>
      <c r="Q194" s="784" t="n"/>
      <c r="R194" s="457">
        <f>L194*P194</f>
        <v/>
      </c>
      <c r="S194" s="773" t="n"/>
      <c r="T194" s="774" t="n"/>
      <c r="U194" s="844" t="n"/>
      <c r="V194" s="784" t="n"/>
      <c r="W194" s="845">
        <f>1-U194</f>
        <v/>
      </c>
      <c r="X194" s="774" t="n"/>
      <c r="Y194" s="846">
        <f>IFERROR(R194/$R$320,"")</f>
        <v/>
      </c>
      <c r="Z194" s="774" t="n"/>
      <c r="AA194" s="457">
        <f>R194*U194</f>
        <v/>
      </c>
      <c r="AB194" s="774" t="n"/>
      <c r="AC194" s="457">
        <f>R194*W194</f>
        <v/>
      </c>
      <c r="AD194" s="774" t="n"/>
      <c r="AE194" s="794" t="n"/>
      <c r="AF194" s="795" t="n"/>
    </row>
    <row r="195" hidden="1" ht="15" customHeight="1" s="321">
      <c r="B195" s="383" t="n"/>
      <c r="C195" s="783" t="n"/>
      <c r="D195" s="783" t="n"/>
      <c r="E195" s="783" t="n"/>
      <c r="F195" s="783" t="n"/>
      <c r="G195" s="783" t="n"/>
      <c r="H195" s="783" t="n"/>
      <c r="I195" s="783" t="n"/>
      <c r="J195" s="783" t="n"/>
      <c r="K195" s="784" t="n"/>
      <c r="L195" s="842" t="n"/>
      <c r="M195" s="784" t="n"/>
      <c r="N195" s="843" t="n"/>
      <c r="O195" s="784" t="n"/>
      <c r="P195" s="842" t="n"/>
      <c r="Q195" s="784" t="n"/>
      <c r="R195" s="457">
        <f>L195*P195</f>
        <v/>
      </c>
      <c r="S195" s="773" t="n"/>
      <c r="T195" s="774" t="n"/>
      <c r="U195" s="844" t="n"/>
      <c r="V195" s="784" t="n"/>
      <c r="W195" s="845">
        <f>1-U195</f>
        <v/>
      </c>
      <c r="X195" s="774" t="n"/>
      <c r="Y195" s="846">
        <f>IFERROR(R195/$R$320,"")</f>
        <v/>
      </c>
      <c r="Z195" s="774" t="n"/>
      <c r="AA195" s="457">
        <f>R195*U195</f>
        <v/>
      </c>
      <c r="AB195" s="774" t="n"/>
      <c r="AC195" s="457">
        <f>R195*W195</f>
        <v/>
      </c>
      <c r="AD195" s="774" t="n"/>
      <c r="AE195" s="794" t="n"/>
      <c r="AF195" s="795" t="n"/>
    </row>
    <row r="196" hidden="1" ht="15" customHeight="1" s="321">
      <c r="B196" s="383" t="n"/>
      <c r="C196" s="783" t="n"/>
      <c r="D196" s="783" t="n"/>
      <c r="E196" s="783" t="n"/>
      <c r="F196" s="783" t="n"/>
      <c r="G196" s="783" t="n"/>
      <c r="H196" s="783" t="n"/>
      <c r="I196" s="783" t="n"/>
      <c r="J196" s="783" t="n"/>
      <c r="K196" s="784" t="n"/>
      <c r="L196" s="842" t="n"/>
      <c r="M196" s="784" t="n"/>
      <c r="N196" s="843" t="n"/>
      <c r="O196" s="784" t="n"/>
      <c r="P196" s="842" t="n"/>
      <c r="Q196" s="784" t="n"/>
      <c r="R196" s="457">
        <f>L196*P196</f>
        <v/>
      </c>
      <c r="S196" s="773" t="n"/>
      <c r="T196" s="774" t="n"/>
      <c r="U196" s="844" t="n"/>
      <c r="V196" s="784" t="n"/>
      <c r="W196" s="845">
        <f>1-U196</f>
        <v/>
      </c>
      <c r="X196" s="774" t="n"/>
      <c r="Y196" s="846">
        <f>IFERROR(R196/$R$320,"")</f>
        <v/>
      </c>
      <c r="Z196" s="774" t="n"/>
      <c r="AA196" s="457">
        <f>R196*U196</f>
        <v/>
      </c>
      <c r="AB196" s="774" t="n"/>
      <c r="AC196" s="457">
        <f>R196*W196</f>
        <v/>
      </c>
      <c r="AD196" s="774" t="n"/>
      <c r="AE196" s="794" t="n"/>
      <c r="AF196" s="795" t="n"/>
    </row>
    <row r="197" hidden="1" ht="15" customHeight="1" s="321">
      <c r="B197" s="383" t="n"/>
      <c r="C197" s="783" t="n"/>
      <c r="D197" s="783" t="n"/>
      <c r="E197" s="783" t="n"/>
      <c r="F197" s="783" t="n"/>
      <c r="G197" s="783" t="n"/>
      <c r="H197" s="783" t="n"/>
      <c r="I197" s="783" t="n"/>
      <c r="J197" s="783" t="n"/>
      <c r="K197" s="784" t="n"/>
      <c r="L197" s="842" t="n"/>
      <c r="M197" s="784" t="n"/>
      <c r="N197" s="843" t="n"/>
      <c r="O197" s="784" t="n"/>
      <c r="P197" s="842" t="n"/>
      <c r="Q197" s="784" t="n"/>
      <c r="R197" s="457">
        <f>L197*P197</f>
        <v/>
      </c>
      <c r="S197" s="773" t="n"/>
      <c r="T197" s="774" t="n"/>
      <c r="U197" s="844" t="n"/>
      <c r="V197" s="784" t="n"/>
      <c r="W197" s="845">
        <f>1-U197</f>
        <v/>
      </c>
      <c r="X197" s="774" t="n"/>
      <c r="Y197" s="846">
        <f>IFERROR(R197/$R$320,"")</f>
        <v/>
      </c>
      <c r="Z197" s="774" t="n"/>
      <c r="AA197" s="457">
        <f>R197*U197</f>
        <v/>
      </c>
      <c r="AB197" s="774" t="n"/>
      <c r="AC197" s="457">
        <f>R197*W197</f>
        <v/>
      </c>
      <c r="AD197" s="774" t="n"/>
      <c r="AE197" s="794" t="n"/>
      <c r="AF197" s="795" t="n"/>
    </row>
    <row r="198" hidden="1" ht="15" customHeight="1" s="321">
      <c r="B198" s="383" t="n"/>
      <c r="C198" s="783" t="n"/>
      <c r="D198" s="783" t="n"/>
      <c r="E198" s="783" t="n"/>
      <c r="F198" s="783" t="n"/>
      <c r="G198" s="783" t="n"/>
      <c r="H198" s="783" t="n"/>
      <c r="I198" s="783" t="n"/>
      <c r="J198" s="783" t="n"/>
      <c r="K198" s="784" t="n"/>
      <c r="L198" s="842" t="n"/>
      <c r="M198" s="784" t="n"/>
      <c r="N198" s="843" t="n"/>
      <c r="O198" s="784" t="n"/>
      <c r="P198" s="842" t="n"/>
      <c r="Q198" s="784" t="n"/>
      <c r="R198" s="457">
        <f>L198*P198</f>
        <v/>
      </c>
      <c r="S198" s="773" t="n"/>
      <c r="T198" s="774" t="n"/>
      <c r="U198" s="844" t="n"/>
      <c r="V198" s="784" t="n"/>
      <c r="W198" s="845">
        <f>1-U198</f>
        <v/>
      </c>
      <c r="X198" s="774" t="n"/>
      <c r="Y198" s="846">
        <f>IFERROR(R198/$R$320,"")</f>
        <v/>
      </c>
      <c r="Z198" s="774" t="n"/>
      <c r="AA198" s="457">
        <f>R198*U198</f>
        <v/>
      </c>
      <c r="AB198" s="774" t="n"/>
      <c r="AC198" s="457">
        <f>R198*W198</f>
        <v/>
      </c>
      <c r="AD198" s="774" t="n"/>
      <c r="AE198" s="794" t="n"/>
      <c r="AF198" s="795" t="n"/>
    </row>
    <row r="199" hidden="1" ht="15" customHeight="1" s="321">
      <c r="B199" s="383" t="n"/>
      <c r="C199" s="783" t="n"/>
      <c r="D199" s="783" t="n"/>
      <c r="E199" s="783" t="n"/>
      <c r="F199" s="783" t="n"/>
      <c r="G199" s="783" t="n"/>
      <c r="H199" s="783" t="n"/>
      <c r="I199" s="783" t="n"/>
      <c r="J199" s="783" t="n"/>
      <c r="K199" s="784" t="n"/>
      <c r="L199" s="842" t="n"/>
      <c r="M199" s="784" t="n"/>
      <c r="N199" s="843" t="n"/>
      <c r="O199" s="784" t="n"/>
      <c r="P199" s="842" t="n"/>
      <c r="Q199" s="784" t="n"/>
      <c r="R199" s="457">
        <f>L199*P199</f>
        <v/>
      </c>
      <c r="S199" s="773" t="n"/>
      <c r="T199" s="774" t="n"/>
      <c r="U199" s="844" t="n"/>
      <c r="V199" s="784" t="n"/>
      <c r="W199" s="845">
        <f>1-U199</f>
        <v/>
      </c>
      <c r="X199" s="774" t="n"/>
      <c r="Y199" s="846">
        <f>IFERROR(R199/$R$320,"")</f>
        <v/>
      </c>
      <c r="Z199" s="774" t="n"/>
      <c r="AA199" s="457">
        <f>R199*U199</f>
        <v/>
      </c>
      <c r="AB199" s="774" t="n"/>
      <c r="AC199" s="457">
        <f>R199*W199</f>
        <v/>
      </c>
      <c r="AD199" s="774" t="n"/>
      <c r="AE199" s="794" t="n"/>
      <c r="AF199" s="795" t="n"/>
    </row>
    <row r="200" hidden="1" ht="15" customHeight="1" s="321">
      <c r="B200" s="383" t="n"/>
      <c r="C200" s="783" t="n"/>
      <c r="D200" s="783" t="n"/>
      <c r="E200" s="783" t="n"/>
      <c r="F200" s="783" t="n"/>
      <c r="G200" s="783" t="n"/>
      <c r="H200" s="783" t="n"/>
      <c r="I200" s="783" t="n"/>
      <c r="J200" s="783" t="n"/>
      <c r="K200" s="784" t="n"/>
      <c r="L200" s="842" t="n"/>
      <c r="M200" s="784" t="n"/>
      <c r="N200" s="843" t="n"/>
      <c r="O200" s="784" t="n"/>
      <c r="P200" s="842" t="n"/>
      <c r="Q200" s="784" t="n"/>
      <c r="R200" s="457">
        <f>L200*P200</f>
        <v/>
      </c>
      <c r="S200" s="773" t="n"/>
      <c r="T200" s="774" t="n"/>
      <c r="U200" s="844" t="n"/>
      <c r="V200" s="784" t="n"/>
      <c r="W200" s="845">
        <f>1-U200</f>
        <v/>
      </c>
      <c r="X200" s="774" t="n"/>
      <c r="Y200" s="846">
        <f>IFERROR(R200/$R$320,"")</f>
        <v/>
      </c>
      <c r="Z200" s="774" t="n"/>
      <c r="AA200" s="457">
        <f>R200*U200</f>
        <v/>
      </c>
      <c r="AB200" s="774" t="n"/>
      <c r="AC200" s="457">
        <f>R200*W200</f>
        <v/>
      </c>
      <c r="AD200" s="774" t="n"/>
      <c r="AE200" s="794" t="n"/>
      <c r="AF200" s="795" t="n"/>
    </row>
    <row r="201" hidden="1" ht="15" customHeight="1" s="321">
      <c r="B201" s="383" t="n"/>
      <c r="C201" s="783" t="n"/>
      <c r="D201" s="783" t="n"/>
      <c r="E201" s="783" t="n"/>
      <c r="F201" s="783" t="n"/>
      <c r="G201" s="783" t="n"/>
      <c r="H201" s="783" t="n"/>
      <c r="I201" s="783" t="n"/>
      <c r="J201" s="783" t="n"/>
      <c r="K201" s="784" t="n"/>
      <c r="L201" s="842" t="n"/>
      <c r="M201" s="784" t="n"/>
      <c r="N201" s="843" t="n"/>
      <c r="O201" s="784" t="n"/>
      <c r="P201" s="842" t="n"/>
      <c r="Q201" s="784" t="n"/>
      <c r="R201" s="457">
        <f>L201*P201</f>
        <v/>
      </c>
      <c r="S201" s="773" t="n"/>
      <c r="T201" s="774" t="n"/>
      <c r="U201" s="844" t="n"/>
      <c r="V201" s="784" t="n"/>
      <c r="W201" s="845">
        <f>1-U201</f>
        <v/>
      </c>
      <c r="X201" s="774" t="n"/>
      <c r="Y201" s="846">
        <f>IFERROR(R201/$R$320,"")</f>
        <v/>
      </c>
      <c r="Z201" s="774" t="n"/>
      <c r="AA201" s="457">
        <f>R201*U201</f>
        <v/>
      </c>
      <c r="AB201" s="774" t="n"/>
      <c r="AC201" s="457">
        <f>R201*W201</f>
        <v/>
      </c>
      <c r="AD201" s="774" t="n"/>
      <c r="AE201" s="794" t="n"/>
      <c r="AF201" s="795" t="n"/>
    </row>
    <row r="202" hidden="1" ht="15" customHeight="1" s="321">
      <c r="B202" s="383" t="n"/>
      <c r="C202" s="783" t="n"/>
      <c r="D202" s="783" t="n"/>
      <c r="E202" s="783" t="n"/>
      <c r="F202" s="783" t="n"/>
      <c r="G202" s="783" t="n"/>
      <c r="H202" s="783" t="n"/>
      <c r="I202" s="783" t="n"/>
      <c r="J202" s="783" t="n"/>
      <c r="K202" s="784" t="n"/>
      <c r="L202" s="842" t="n"/>
      <c r="M202" s="784" t="n"/>
      <c r="N202" s="843" t="n"/>
      <c r="O202" s="784" t="n"/>
      <c r="P202" s="842" t="n"/>
      <c r="Q202" s="784" t="n"/>
      <c r="R202" s="457">
        <f>L202*P202</f>
        <v/>
      </c>
      <c r="S202" s="773" t="n"/>
      <c r="T202" s="774" t="n"/>
      <c r="U202" s="844" t="n"/>
      <c r="V202" s="784" t="n"/>
      <c r="W202" s="845">
        <f>1-U202</f>
        <v/>
      </c>
      <c r="X202" s="774" t="n"/>
      <c r="Y202" s="846">
        <f>IFERROR(R202/$R$320,"")</f>
        <v/>
      </c>
      <c r="Z202" s="774" t="n"/>
      <c r="AA202" s="457">
        <f>R202*U202</f>
        <v/>
      </c>
      <c r="AB202" s="774" t="n"/>
      <c r="AC202" s="457">
        <f>R202*W202</f>
        <v/>
      </c>
      <c r="AD202" s="774" t="n"/>
      <c r="AE202" s="794" t="n"/>
      <c r="AF202" s="795" t="n"/>
    </row>
    <row r="203" hidden="1" ht="15" customHeight="1" s="321">
      <c r="B203" s="383" t="n"/>
      <c r="C203" s="783" t="n"/>
      <c r="D203" s="783" t="n"/>
      <c r="E203" s="783" t="n"/>
      <c r="F203" s="783" t="n"/>
      <c r="G203" s="783" t="n"/>
      <c r="H203" s="783" t="n"/>
      <c r="I203" s="783" t="n"/>
      <c r="J203" s="783" t="n"/>
      <c r="K203" s="784" t="n"/>
      <c r="L203" s="842" t="n"/>
      <c r="M203" s="784" t="n"/>
      <c r="N203" s="843" t="n"/>
      <c r="O203" s="784" t="n"/>
      <c r="P203" s="842" t="n"/>
      <c r="Q203" s="784" t="n"/>
      <c r="R203" s="457">
        <f>L203*P203</f>
        <v/>
      </c>
      <c r="S203" s="773" t="n"/>
      <c r="T203" s="774" t="n"/>
      <c r="U203" s="844" t="n"/>
      <c r="V203" s="784" t="n"/>
      <c r="W203" s="845">
        <f>1-U203</f>
        <v/>
      </c>
      <c r="X203" s="774" t="n"/>
      <c r="Y203" s="846">
        <f>IFERROR(R203/$R$320,"")</f>
        <v/>
      </c>
      <c r="Z203" s="774" t="n"/>
      <c r="AA203" s="457">
        <f>R203*U203</f>
        <v/>
      </c>
      <c r="AB203" s="774" t="n"/>
      <c r="AC203" s="457">
        <f>R203*W203</f>
        <v/>
      </c>
      <c r="AD203" s="774" t="n"/>
      <c r="AE203" s="794" t="n"/>
      <c r="AF203" s="795" t="n"/>
    </row>
    <row r="204" hidden="1" ht="15" customHeight="1" s="321">
      <c r="B204" s="383" t="n"/>
      <c r="C204" s="783" t="n"/>
      <c r="D204" s="783" t="n"/>
      <c r="E204" s="783" t="n"/>
      <c r="F204" s="783" t="n"/>
      <c r="G204" s="783" t="n"/>
      <c r="H204" s="783" t="n"/>
      <c r="I204" s="783" t="n"/>
      <c r="J204" s="783" t="n"/>
      <c r="K204" s="784" t="n"/>
      <c r="L204" s="842" t="n"/>
      <c r="M204" s="784" t="n"/>
      <c r="N204" s="843" t="n"/>
      <c r="O204" s="784" t="n"/>
      <c r="P204" s="842" t="n"/>
      <c r="Q204" s="784" t="n"/>
      <c r="R204" s="457">
        <f>L204*P204</f>
        <v/>
      </c>
      <c r="S204" s="773" t="n"/>
      <c r="T204" s="774" t="n"/>
      <c r="U204" s="844" t="n"/>
      <c r="V204" s="784" t="n"/>
      <c r="W204" s="845">
        <f>1-U204</f>
        <v/>
      </c>
      <c r="X204" s="774" t="n"/>
      <c r="Y204" s="846">
        <f>IFERROR(R204/$R$320,"")</f>
        <v/>
      </c>
      <c r="Z204" s="774" t="n"/>
      <c r="AA204" s="457">
        <f>R204*U204</f>
        <v/>
      </c>
      <c r="AB204" s="774" t="n"/>
      <c r="AC204" s="457">
        <f>R204*W204</f>
        <v/>
      </c>
      <c r="AD204" s="774" t="n"/>
      <c r="AE204" s="794" t="n"/>
      <c r="AF204" s="795" t="n"/>
    </row>
    <row r="205" hidden="1" ht="15" customHeight="1" s="321">
      <c r="B205" s="383" t="n"/>
      <c r="C205" s="783" t="n"/>
      <c r="D205" s="783" t="n"/>
      <c r="E205" s="783" t="n"/>
      <c r="F205" s="783" t="n"/>
      <c r="G205" s="783" t="n"/>
      <c r="H205" s="783" t="n"/>
      <c r="I205" s="783" t="n"/>
      <c r="J205" s="783" t="n"/>
      <c r="K205" s="784" t="n"/>
      <c r="L205" s="842" t="n"/>
      <c r="M205" s="784" t="n"/>
      <c r="N205" s="843" t="n"/>
      <c r="O205" s="784" t="n"/>
      <c r="P205" s="842" t="n"/>
      <c r="Q205" s="784" t="n"/>
      <c r="R205" s="457">
        <f>L205*P205</f>
        <v/>
      </c>
      <c r="S205" s="773" t="n"/>
      <c r="T205" s="774" t="n"/>
      <c r="U205" s="844" t="n"/>
      <c r="V205" s="784" t="n"/>
      <c r="W205" s="845">
        <f>1-U205</f>
        <v/>
      </c>
      <c r="X205" s="774" t="n"/>
      <c r="Y205" s="846">
        <f>IFERROR(R205/$R$320,"")</f>
        <v/>
      </c>
      <c r="Z205" s="774" t="n"/>
      <c r="AA205" s="457">
        <f>R205*U205</f>
        <v/>
      </c>
      <c r="AB205" s="774" t="n"/>
      <c r="AC205" s="457">
        <f>R205*W205</f>
        <v/>
      </c>
      <c r="AD205" s="774" t="n"/>
      <c r="AE205" s="794" t="n"/>
      <c r="AF205" s="795" t="n"/>
    </row>
    <row r="206" hidden="1" ht="15" customHeight="1" s="321">
      <c r="B206" s="383" t="n"/>
      <c r="C206" s="783" t="n"/>
      <c r="D206" s="783" t="n"/>
      <c r="E206" s="783" t="n"/>
      <c r="F206" s="783" t="n"/>
      <c r="G206" s="783" t="n"/>
      <c r="H206" s="783" t="n"/>
      <c r="I206" s="783" t="n"/>
      <c r="J206" s="783" t="n"/>
      <c r="K206" s="784" t="n"/>
      <c r="L206" s="842" t="n"/>
      <c r="M206" s="784" t="n"/>
      <c r="N206" s="843" t="n"/>
      <c r="O206" s="784" t="n"/>
      <c r="P206" s="842" t="n"/>
      <c r="Q206" s="784" t="n"/>
      <c r="R206" s="457">
        <f>L206*P206</f>
        <v/>
      </c>
      <c r="S206" s="773" t="n"/>
      <c r="T206" s="774" t="n"/>
      <c r="U206" s="844" t="n"/>
      <c r="V206" s="784" t="n"/>
      <c r="W206" s="845">
        <f>1-U206</f>
        <v/>
      </c>
      <c r="X206" s="774" t="n"/>
      <c r="Y206" s="846">
        <f>IFERROR(R206/$R$320,"")</f>
        <v/>
      </c>
      <c r="Z206" s="774" t="n"/>
      <c r="AA206" s="457">
        <f>R206*U206</f>
        <v/>
      </c>
      <c r="AB206" s="774" t="n"/>
      <c r="AC206" s="457">
        <f>R206*W206</f>
        <v/>
      </c>
      <c r="AD206" s="774" t="n"/>
      <c r="AE206" s="794" t="n"/>
      <c r="AF206" s="795" t="n"/>
    </row>
    <row r="207" hidden="1" ht="15" customHeight="1" s="321">
      <c r="B207" s="383" t="n"/>
      <c r="C207" s="783" t="n"/>
      <c r="D207" s="783" t="n"/>
      <c r="E207" s="783" t="n"/>
      <c r="F207" s="783" t="n"/>
      <c r="G207" s="783" t="n"/>
      <c r="H207" s="783" t="n"/>
      <c r="I207" s="783" t="n"/>
      <c r="J207" s="783" t="n"/>
      <c r="K207" s="784" t="n"/>
      <c r="L207" s="842" t="n"/>
      <c r="M207" s="784" t="n"/>
      <c r="N207" s="843" t="n"/>
      <c r="O207" s="784" t="n"/>
      <c r="P207" s="842" t="n"/>
      <c r="Q207" s="784" t="n"/>
      <c r="R207" s="457">
        <f>L207*P207</f>
        <v/>
      </c>
      <c r="S207" s="773" t="n"/>
      <c r="T207" s="774" t="n"/>
      <c r="U207" s="844" t="n"/>
      <c r="V207" s="784" t="n"/>
      <c r="W207" s="845">
        <f>1-U207</f>
        <v/>
      </c>
      <c r="X207" s="774" t="n"/>
      <c r="Y207" s="846">
        <f>IFERROR(R207/$R$320,"")</f>
        <v/>
      </c>
      <c r="Z207" s="774" t="n"/>
      <c r="AA207" s="457">
        <f>R207*U207</f>
        <v/>
      </c>
      <c r="AB207" s="774" t="n"/>
      <c r="AC207" s="457">
        <f>R207*W207</f>
        <v/>
      </c>
      <c r="AD207" s="774" t="n"/>
      <c r="AE207" s="794" t="n"/>
      <c r="AF207" s="795" t="n"/>
    </row>
    <row r="208" hidden="1" ht="15" customHeight="1" s="321">
      <c r="B208" s="383" t="n"/>
      <c r="C208" s="783" t="n"/>
      <c r="D208" s="783" t="n"/>
      <c r="E208" s="783" t="n"/>
      <c r="F208" s="783" t="n"/>
      <c r="G208" s="783" t="n"/>
      <c r="H208" s="783" t="n"/>
      <c r="I208" s="783" t="n"/>
      <c r="J208" s="783" t="n"/>
      <c r="K208" s="784" t="n"/>
      <c r="L208" s="842" t="n"/>
      <c r="M208" s="784" t="n"/>
      <c r="N208" s="843" t="n"/>
      <c r="O208" s="784" t="n"/>
      <c r="P208" s="842" t="n"/>
      <c r="Q208" s="784" t="n"/>
      <c r="R208" s="457">
        <f>L208*P208</f>
        <v/>
      </c>
      <c r="S208" s="773" t="n"/>
      <c r="T208" s="774" t="n"/>
      <c r="U208" s="844" t="n"/>
      <c r="V208" s="784" t="n"/>
      <c r="W208" s="845">
        <f>1-U208</f>
        <v/>
      </c>
      <c r="X208" s="774" t="n"/>
      <c r="Y208" s="846">
        <f>IFERROR(R208/$R$320,"")</f>
        <v/>
      </c>
      <c r="Z208" s="774" t="n"/>
      <c r="AA208" s="457">
        <f>R208*U208</f>
        <v/>
      </c>
      <c r="AB208" s="774" t="n"/>
      <c r="AC208" s="457">
        <f>R208*W208</f>
        <v/>
      </c>
      <c r="AD208" s="774" t="n"/>
      <c r="AE208" s="794" t="n"/>
      <c r="AF208" s="795" t="n"/>
    </row>
    <row r="209" hidden="1" ht="15" customHeight="1" s="321">
      <c r="B209" s="383" t="n"/>
      <c r="C209" s="783" t="n"/>
      <c r="D209" s="783" t="n"/>
      <c r="E209" s="783" t="n"/>
      <c r="F209" s="783" t="n"/>
      <c r="G209" s="783" t="n"/>
      <c r="H209" s="783" t="n"/>
      <c r="I209" s="783" t="n"/>
      <c r="J209" s="783" t="n"/>
      <c r="K209" s="784" t="n"/>
      <c r="L209" s="842" t="n"/>
      <c r="M209" s="784" t="n"/>
      <c r="N209" s="843" t="n"/>
      <c r="O209" s="784" t="n"/>
      <c r="P209" s="842" t="n"/>
      <c r="Q209" s="784" t="n"/>
      <c r="R209" s="457">
        <f>L209*P209</f>
        <v/>
      </c>
      <c r="S209" s="773" t="n"/>
      <c r="T209" s="774" t="n"/>
      <c r="U209" s="844" t="n"/>
      <c r="V209" s="784" t="n"/>
      <c r="W209" s="845">
        <f>1-U209</f>
        <v/>
      </c>
      <c r="X209" s="774" t="n"/>
      <c r="Y209" s="846">
        <f>IFERROR(R209/$R$320,"")</f>
        <v/>
      </c>
      <c r="Z209" s="774" t="n"/>
      <c r="AA209" s="457">
        <f>R209*U209</f>
        <v/>
      </c>
      <c r="AB209" s="774" t="n"/>
      <c r="AC209" s="457">
        <f>R209*W209</f>
        <v/>
      </c>
      <c r="AD209" s="774" t="n"/>
      <c r="AE209" s="794" t="n"/>
      <c r="AF209" s="795" t="n"/>
    </row>
    <row r="210" hidden="1" ht="15" customHeight="1" s="321">
      <c r="B210" s="383" t="n"/>
      <c r="C210" s="783" t="n"/>
      <c r="D210" s="783" t="n"/>
      <c r="E210" s="783" t="n"/>
      <c r="F210" s="783" t="n"/>
      <c r="G210" s="783" t="n"/>
      <c r="H210" s="783" t="n"/>
      <c r="I210" s="783" t="n"/>
      <c r="J210" s="783" t="n"/>
      <c r="K210" s="784" t="n"/>
      <c r="L210" s="842" t="n"/>
      <c r="M210" s="784" t="n"/>
      <c r="N210" s="843" t="n"/>
      <c r="O210" s="784" t="n"/>
      <c r="P210" s="842" t="n"/>
      <c r="Q210" s="784" t="n"/>
      <c r="R210" s="457">
        <f>L210*P210</f>
        <v/>
      </c>
      <c r="S210" s="773" t="n"/>
      <c r="T210" s="774" t="n"/>
      <c r="U210" s="844" t="n"/>
      <c r="V210" s="784" t="n"/>
      <c r="W210" s="845">
        <f>1-U210</f>
        <v/>
      </c>
      <c r="X210" s="774" t="n"/>
      <c r="Y210" s="846">
        <f>IFERROR(R210/$R$320,"")</f>
        <v/>
      </c>
      <c r="Z210" s="774" t="n"/>
      <c r="AA210" s="457">
        <f>R210*U210</f>
        <v/>
      </c>
      <c r="AB210" s="774" t="n"/>
      <c r="AC210" s="457">
        <f>R210*W210</f>
        <v/>
      </c>
      <c r="AD210" s="774" t="n"/>
      <c r="AE210" s="794" t="n"/>
      <c r="AF210" s="795" t="n"/>
    </row>
    <row r="211" hidden="1" ht="15" customHeight="1" s="321">
      <c r="B211" s="383" t="n"/>
      <c r="C211" s="783" t="n"/>
      <c r="D211" s="783" t="n"/>
      <c r="E211" s="783" t="n"/>
      <c r="F211" s="783" t="n"/>
      <c r="G211" s="783" t="n"/>
      <c r="H211" s="783" t="n"/>
      <c r="I211" s="783" t="n"/>
      <c r="J211" s="783" t="n"/>
      <c r="K211" s="784" t="n"/>
      <c r="L211" s="842" t="n"/>
      <c r="M211" s="784" t="n"/>
      <c r="N211" s="843" t="n"/>
      <c r="O211" s="784" t="n"/>
      <c r="P211" s="842" t="n"/>
      <c r="Q211" s="784" t="n"/>
      <c r="R211" s="457">
        <f>L211*P211</f>
        <v/>
      </c>
      <c r="S211" s="773" t="n"/>
      <c r="T211" s="774" t="n"/>
      <c r="U211" s="844" t="n"/>
      <c r="V211" s="784" t="n"/>
      <c r="W211" s="845">
        <f>1-U211</f>
        <v/>
      </c>
      <c r="X211" s="774" t="n"/>
      <c r="Y211" s="846">
        <f>IFERROR(R211/$R$320,"")</f>
        <v/>
      </c>
      <c r="Z211" s="774" t="n"/>
      <c r="AA211" s="457">
        <f>R211*U211</f>
        <v/>
      </c>
      <c r="AB211" s="774" t="n"/>
      <c r="AC211" s="457">
        <f>R211*W211</f>
        <v/>
      </c>
      <c r="AD211" s="774" t="n"/>
      <c r="AE211" s="794" t="n"/>
      <c r="AF211" s="795" t="n"/>
    </row>
    <row r="212" hidden="1" ht="15" customHeight="1" s="321">
      <c r="B212" s="383" t="n"/>
      <c r="C212" s="783" t="n"/>
      <c r="D212" s="783" t="n"/>
      <c r="E212" s="783" t="n"/>
      <c r="F212" s="783" t="n"/>
      <c r="G212" s="783" t="n"/>
      <c r="H212" s="783" t="n"/>
      <c r="I212" s="783" t="n"/>
      <c r="J212" s="783" t="n"/>
      <c r="K212" s="784" t="n"/>
      <c r="L212" s="842" t="n"/>
      <c r="M212" s="784" t="n"/>
      <c r="N212" s="843" t="n"/>
      <c r="O212" s="784" t="n"/>
      <c r="P212" s="842" t="n"/>
      <c r="Q212" s="784" t="n"/>
      <c r="R212" s="457">
        <f>L212*P212</f>
        <v/>
      </c>
      <c r="S212" s="773" t="n"/>
      <c r="T212" s="774" t="n"/>
      <c r="U212" s="844" t="n"/>
      <c r="V212" s="784" t="n"/>
      <c r="W212" s="845">
        <f>1-U212</f>
        <v/>
      </c>
      <c r="X212" s="774" t="n"/>
      <c r="Y212" s="846">
        <f>IFERROR(R212/$R$320,"")</f>
        <v/>
      </c>
      <c r="Z212" s="774" t="n"/>
      <c r="AA212" s="457">
        <f>R212*U212</f>
        <v/>
      </c>
      <c r="AB212" s="774" t="n"/>
      <c r="AC212" s="457">
        <f>R212*W212</f>
        <v/>
      </c>
      <c r="AD212" s="774" t="n"/>
      <c r="AE212" s="794" t="n"/>
      <c r="AF212" s="795" t="n"/>
    </row>
    <row r="213" hidden="1" ht="15" customHeight="1" s="321">
      <c r="B213" s="383" t="n"/>
      <c r="C213" s="783" t="n"/>
      <c r="D213" s="783" t="n"/>
      <c r="E213" s="783" t="n"/>
      <c r="F213" s="783" t="n"/>
      <c r="G213" s="783" t="n"/>
      <c r="H213" s="783" t="n"/>
      <c r="I213" s="783" t="n"/>
      <c r="J213" s="783" t="n"/>
      <c r="K213" s="784" t="n"/>
      <c r="L213" s="842" t="n"/>
      <c r="M213" s="784" t="n"/>
      <c r="N213" s="843" t="n"/>
      <c r="O213" s="784" t="n"/>
      <c r="P213" s="842" t="n"/>
      <c r="Q213" s="784" t="n"/>
      <c r="R213" s="457">
        <f>L213*P213</f>
        <v/>
      </c>
      <c r="S213" s="773" t="n"/>
      <c r="T213" s="774" t="n"/>
      <c r="U213" s="844" t="n"/>
      <c r="V213" s="784" t="n"/>
      <c r="W213" s="845">
        <f>1-U213</f>
        <v/>
      </c>
      <c r="X213" s="774" t="n"/>
      <c r="Y213" s="846">
        <f>IFERROR(R213/$R$320,"")</f>
        <v/>
      </c>
      <c r="Z213" s="774" t="n"/>
      <c r="AA213" s="457">
        <f>R213*U213</f>
        <v/>
      </c>
      <c r="AB213" s="774" t="n"/>
      <c r="AC213" s="457">
        <f>R213*W213</f>
        <v/>
      </c>
      <c r="AD213" s="774" t="n"/>
      <c r="AE213" s="794" t="n"/>
      <c r="AF213" s="795" t="n"/>
    </row>
    <row r="214" hidden="1" ht="15" customHeight="1" s="321">
      <c r="B214" s="383" t="n"/>
      <c r="C214" s="783" t="n"/>
      <c r="D214" s="783" t="n"/>
      <c r="E214" s="783" t="n"/>
      <c r="F214" s="783" t="n"/>
      <c r="G214" s="783" t="n"/>
      <c r="H214" s="783" t="n"/>
      <c r="I214" s="783" t="n"/>
      <c r="J214" s="783" t="n"/>
      <c r="K214" s="784" t="n"/>
      <c r="L214" s="842" t="n"/>
      <c r="M214" s="784" t="n"/>
      <c r="N214" s="843" t="n"/>
      <c r="O214" s="784" t="n"/>
      <c r="P214" s="842" t="n"/>
      <c r="Q214" s="784" t="n"/>
      <c r="R214" s="457">
        <f>L214*P214</f>
        <v/>
      </c>
      <c r="S214" s="773" t="n"/>
      <c r="T214" s="774" t="n"/>
      <c r="U214" s="844" t="n"/>
      <c r="V214" s="784" t="n"/>
      <c r="W214" s="845">
        <f>1-U214</f>
        <v/>
      </c>
      <c r="X214" s="774" t="n"/>
      <c r="Y214" s="846">
        <f>IFERROR(R214/$R$320,"")</f>
        <v/>
      </c>
      <c r="Z214" s="774" t="n"/>
      <c r="AA214" s="457">
        <f>R214*U214</f>
        <v/>
      </c>
      <c r="AB214" s="774" t="n"/>
      <c r="AC214" s="457">
        <f>R214*W214</f>
        <v/>
      </c>
      <c r="AD214" s="774" t="n"/>
      <c r="AE214" s="794" t="n"/>
      <c r="AF214" s="795" t="n"/>
    </row>
    <row r="215" hidden="1" ht="15" customHeight="1" s="321">
      <c r="B215" s="383" t="n"/>
      <c r="C215" s="783" t="n"/>
      <c r="D215" s="783" t="n"/>
      <c r="E215" s="783" t="n"/>
      <c r="F215" s="783" t="n"/>
      <c r="G215" s="783" t="n"/>
      <c r="H215" s="783" t="n"/>
      <c r="I215" s="783" t="n"/>
      <c r="J215" s="783" t="n"/>
      <c r="K215" s="784" t="n"/>
      <c r="L215" s="842" t="n"/>
      <c r="M215" s="784" t="n"/>
      <c r="N215" s="843" t="n"/>
      <c r="O215" s="784" t="n"/>
      <c r="P215" s="842" t="n"/>
      <c r="Q215" s="784" t="n"/>
      <c r="R215" s="457">
        <f>L215*P215</f>
        <v/>
      </c>
      <c r="S215" s="773" t="n"/>
      <c r="T215" s="774" t="n"/>
      <c r="U215" s="844" t="n"/>
      <c r="V215" s="784" t="n"/>
      <c r="W215" s="845">
        <f>1-U215</f>
        <v/>
      </c>
      <c r="X215" s="774" t="n"/>
      <c r="Y215" s="846">
        <f>IFERROR(R215/$R$320,"")</f>
        <v/>
      </c>
      <c r="Z215" s="774" t="n"/>
      <c r="AA215" s="457">
        <f>R215*U215</f>
        <v/>
      </c>
      <c r="AB215" s="774" t="n"/>
      <c r="AC215" s="457">
        <f>R215*W215</f>
        <v/>
      </c>
      <c r="AD215" s="774" t="n"/>
      <c r="AE215" s="794" t="n"/>
      <c r="AF215" s="795" t="n"/>
    </row>
    <row r="216" hidden="1" ht="15" customHeight="1" s="321">
      <c r="B216" s="383" t="n"/>
      <c r="C216" s="783" t="n"/>
      <c r="D216" s="783" t="n"/>
      <c r="E216" s="783" t="n"/>
      <c r="F216" s="783" t="n"/>
      <c r="G216" s="783" t="n"/>
      <c r="H216" s="783" t="n"/>
      <c r="I216" s="783" t="n"/>
      <c r="J216" s="783" t="n"/>
      <c r="K216" s="784" t="n"/>
      <c r="L216" s="842" t="n"/>
      <c r="M216" s="784" t="n"/>
      <c r="N216" s="843" t="n"/>
      <c r="O216" s="784" t="n"/>
      <c r="P216" s="842" t="n"/>
      <c r="Q216" s="784" t="n"/>
      <c r="R216" s="457">
        <f>L216*P216</f>
        <v/>
      </c>
      <c r="S216" s="773" t="n"/>
      <c r="T216" s="774" t="n"/>
      <c r="U216" s="844" t="n"/>
      <c r="V216" s="784" t="n"/>
      <c r="W216" s="845">
        <f>1-U216</f>
        <v/>
      </c>
      <c r="X216" s="774" t="n"/>
      <c r="Y216" s="846">
        <f>IFERROR(R216/$R$320,"")</f>
        <v/>
      </c>
      <c r="Z216" s="774" t="n"/>
      <c r="AA216" s="457">
        <f>R216*U216</f>
        <v/>
      </c>
      <c r="AB216" s="774" t="n"/>
      <c r="AC216" s="457">
        <f>R216*W216</f>
        <v/>
      </c>
      <c r="AD216" s="774" t="n"/>
      <c r="AE216" s="794" t="n"/>
      <c r="AF216" s="795" t="n"/>
    </row>
    <row r="217" hidden="1" ht="15" customHeight="1" s="321">
      <c r="B217" s="383" t="n"/>
      <c r="C217" s="783" t="n"/>
      <c r="D217" s="783" t="n"/>
      <c r="E217" s="783" t="n"/>
      <c r="F217" s="783" t="n"/>
      <c r="G217" s="783" t="n"/>
      <c r="H217" s="783" t="n"/>
      <c r="I217" s="783" t="n"/>
      <c r="J217" s="783" t="n"/>
      <c r="K217" s="784" t="n"/>
      <c r="L217" s="842" t="n"/>
      <c r="M217" s="784" t="n"/>
      <c r="N217" s="843" t="n"/>
      <c r="O217" s="784" t="n"/>
      <c r="P217" s="842" t="n"/>
      <c r="Q217" s="784" t="n"/>
      <c r="R217" s="457">
        <f>L217*P217</f>
        <v/>
      </c>
      <c r="S217" s="773" t="n"/>
      <c r="T217" s="774" t="n"/>
      <c r="U217" s="844" t="n"/>
      <c r="V217" s="784" t="n"/>
      <c r="W217" s="845">
        <f>1-U217</f>
        <v/>
      </c>
      <c r="X217" s="774" t="n"/>
      <c r="Y217" s="846">
        <f>IFERROR(R217/$R$320,"")</f>
        <v/>
      </c>
      <c r="Z217" s="774" t="n"/>
      <c r="AA217" s="457">
        <f>R217*U217</f>
        <v/>
      </c>
      <c r="AB217" s="774" t="n"/>
      <c r="AC217" s="457">
        <f>R217*W217</f>
        <v/>
      </c>
      <c r="AD217" s="774" t="n"/>
      <c r="AE217" s="794" t="n"/>
      <c r="AF217" s="795" t="n"/>
    </row>
    <row r="218" hidden="1" ht="15" customHeight="1" s="321">
      <c r="B218" s="383" t="n"/>
      <c r="C218" s="783" t="n"/>
      <c r="D218" s="783" t="n"/>
      <c r="E218" s="783" t="n"/>
      <c r="F218" s="783" t="n"/>
      <c r="G218" s="783" t="n"/>
      <c r="H218" s="783" t="n"/>
      <c r="I218" s="783" t="n"/>
      <c r="J218" s="783" t="n"/>
      <c r="K218" s="784" t="n"/>
      <c r="L218" s="842" t="n"/>
      <c r="M218" s="784" t="n"/>
      <c r="N218" s="843" t="n"/>
      <c r="O218" s="784" t="n"/>
      <c r="P218" s="842" t="n"/>
      <c r="Q218" s="784" t="n"/>
      <c r="R218" s="457">
        <f>L218*P218</f>
        <v/>
      </c>
      <c r="S218" s="773" t="n"/>
      <c r="T218" s="774" t="n"/>
      <c r="U218" s="844" t="n"/>
      <c r="V218" s="784" t="n"/>
      <c r="W218" s="845">
        <f>1-U218</f>
        <v/>
      </c>
      <c r="X218" s="774" t="n"/>
      <c r="Y218" s="846">
        <f>IFERROR(R218/$R$320,"")</f>
        <v/>
      </c>
      <c r="Z218" s="774" t="n"/>
      <c r="AA218" s="457">
        <f>R218*U218</f>
        <v/>
      </c>
      <c r="AB218" s="774" t="n"/>
      <c r="AC218" s="457">
        <f>R218*W218</f>
        <v/>
      </c>
      <c r="AD218" s="774" t="n"/>
      <c r="AE218" s="794" t="n"/>
      <c r="AF218" s="795" t="n"/>
    </row>
    <row r="219" hidden="1" ht="15" customHeight="1" s="321">
      <c r="B219" s="383" t="n"/>
      <c r="C219" s="783" t="n"/>
      <c r="D219" s="783" t="n"/>
      <c r="E219" s="783" t="n"/>
      <c r="F219" s="783" t="n"/>
      <c r="G219" s="783" t="n"/>
      <c r="H219" s="783" t="n"/>
      <c r="I219" s="783" t="n"/>
      <c r="J219" s="783" t="n"/>
      <c r="K219" s="784" t="n"/>
      <c r="L219" s="842" t="n"/>
      <c r="M219" s="784" t="n"/>
      <c r="N219" s="843" t="n"/>
      <c r="O219" s="784" t="n"/>
      <c r="P219" s="842" t="n"/>
      <c r="Q219" s="784" t="n"/>
      <c r="R219" s="457">
        <f>L219*P219</f>
        <v/>
      </c>
      <c r="S219" s="773" t="n"/>
      <c r="T219" s="774" t="n"/>
      <c r="U219" s="844" t="n"/>
      <c r="V219" s="784" t="n"/>
      <c r="W219" s="845">
        <f>1-U219</f>
        <v/>
      </c>
      <c r="X219" s="774" t="n"/>
      <c r="Y219" s="846">
        <f>IFERROR(R219/$R$320,"")</f>
        <v/>
      </c>
      <c r="Z219" s="774" t="n"/>
      <c r="AA219" s="457">
        <f>R219*U219</f>
        <v/>
      </c>
      <c r="AB219" s="774" t="n"/>
      <c r="AC219" s="457">
        <f>R219*W219</f>
        <v/>
      </c>
      <c r="AD219" s="774" t="n"/>
      <c r="AE219" s="794" t="n"/>
      <c r="AF219" s="795" t="n"/>
    </row>
    <row r="220" hidden="1" ht="15" customHeight="1" s="321">
      <c r="B220" s="383" t="n"/>
      <c r="C220" s="783" t="n"/>
      <c r="D220" s="783" t="n"/>
      <c r="E220" s="783" t="n"/>
      <c r="F220" s="783" t="n"/>
      <c r="G220" s="783" t="n"/>
      <c r="H220" s="783" t="n"/>
      <c r="I220" s="783" t="n"/>
      <c r="J220" s="783" t="n"/>
      <c r="K220" s="784" t="n"/>
      <c r="L220" s="842" t="n"/>
      <c r="M220" s="784" t="n"/>
      <c r="N220" s="843" t="n"/>
      <c r="O220" s="784" t="n"/>
      <c r="P220" s="842" t="n"/>
      <c r="Q220" s="784" t="n"/>
      <c r="R220" s="457">
        <f>L220*P220</f>
        <v/>
      </c>
      <c r="S220" s="773" t="n"/>
      <c r="T220" s="774" t="n"/>
      <c r="U220" s="844" t="n"/>
      <c r="V220" s="784" t="n"/>
      <c r="W220" s="845">
        <f>1-U220</f>
        <v/>
      </c>
      <c r="X220" s="774" t="n"/>
      <c r="Y220" s="846">
        <f>IFERROR(R220/$R$320,"")</f>
        <v/>
      </c>
      <c r="Z220" s="774" t="n"/>
      <c r="AA220" s="457">
        <f>R220*U220</f>
        <v/>
      </c>
      <c r="AB220" s="774" t="n"/>
      <c r="AC220" s="457">
        <f>R220*W220</f>
        <v/>
      </c>
      <c r="AD220" s="774" t="n"/>
      <c r="AE220" s="794" t="n"/>
      <c r="AF220" s="795" t="n"/>
    </row>
    <row r="221" hidden="1" ht="15" customHeight="1" s="321">
      <c r="B221" s="383" t="n"/>
      <c r="C221" s="783" t="n"/>
      <c r="D221" s="783" t="n"/>
      <c r="E221" s="783" t="n"/>
      <c r="F221" s="783" t="n"/>
      <c r="G221" s="783" t="n"/>
      <c r="H221" s="783" t="n"/>
      <c r="I221" s="783" t="n"/>
      <c r="J221" s="783" t="n"/>
      <c r="K221" s="784" t="n"/>
      <c r="L221" s="842" t="n"/>
      <c r="M221" s="784" t="n"/>
      <c r="N221" s="843" t="n"/>
      <c r="O221" s="784" t="n"/>
      <c r="P221" s="842" t="n"/>
      <c r="Q221" s="784" t="n"/>
      <c r="R221" s="457">
        <f>L221*P221</f>
        <v/>
      </c>
      <c r="S221" s="773" t="n"/>
      <c r="T221" s="774" t="n"/>
      <c r="U221" s="844" t="n"/>
      <c r="V221" s="784" t="n"/>
      <c r="W221" s="845">
        <f>1-U221</f>
        <v/>
      </c>
      <c r="X221" s="774" t="n"/>
      <c r="Y221" s="846">
        <f>IFERROR(R221/$R$320,"")</f>
        <v/>
      </c>
      <c r="Z221" s="774" t="n"/>
      <c r="AA221" s="457">
        <f>R221*U221</f>
        <v/>
      </c>
      <c r="AB221" s="774" t="n"/>
      <c r="AC221" s="457">
        <f>R221*W221</f>
        <v/>
      </c>
      <c r="AD221" s="774" t="n"/>
      <c r="AE221" s="794" t="n"/>
      <c r="AF221" s="795" t="n"/>
    </row>
    <row r="222" hidden="1" ht="15" customHeight="1" s="321">
      <c r="B222" s="383" t="n"/>
      <c r="C222" s="783" t="n"/>
      <c r="D222" s="783" t="n"/>
      <c r="E222" s="783" t="n"/>
      <c r="F222" s="783" t="n"/>
      <c r="G222" s="783" t="n"/>
      <c r="H222" s="783" t="n"/>
      <c r="I222" s="783" t="n"/>
      <c r="J222" s="783" t="n"/>
      <c r="K222" s="784" t="n"/>
      <c r="L222" s="842" t="n"/>
      <c r="M222" s="784" t="n"/>
      <c r="N222" s="843" t="n"/>
      <c r="O222" s="784" t="n"/>
      <c r="P222" s="842" t="n"/>
      <c r="Q222" s="784" t="n"/>
      <c r="R222" s="457">
        <f>L222*P222</f>
        <v/>
      </c>
      <c r="S222" s="773" t="n"/>
      <c r="T222" s="774" t="n"/>
      <c r="U222" s="844" t="n"/>
      <c r="V222" s="784" t="n"/>
      <c r="W222" s="845">
        <f>1-U222</f>
        <v/>
      </c>
      <c r="X222" s="774" t="n"/>
      <c r="Y222" s="846">
        <f>IFERROR(R222/$R$320,"")</f>
        <v/>
      </c>
      <c r="Z222" s="774" t="n"/>
      <c r="AA222" s="457">
        <f>R222*U222</f>
        <v/>
      </c>
      <c r="AB222" s="774" t="n"/>
      <c r="AC222" s="457">
        <f>R222*W222</f>
        <v/>
      </c>
      <c r="AD222" s="774" t="n"/>
      <c r="AE222" s="794" t="n"/>
      <c r="AF222" s="795" t="n"/>
    </row>
    <row r="223" hidden="1" ht="15" customHeight="1" s="321">
      <c r="B223" s="383" t="n"/>
      <c r="C223" s="783" t="n"/>
      <c r="D223" s="783" t="n"/>
      <c r="E223" s="783" t="n"/>
      <c r="F223" s="783" t="n"/>
      <c r="G223" s="783" t="n"/>
      <c r="H223" s="783" t="n"/>
      <c r="I223" s="783" t="n"/>
      <c r="J223" s="783" t="n"/>
      <c r="K223" s="784" t="n"/>
      <c r="L223" s="842" t="n"/>
      <c r="M223" s="784" t="n"/>
      <c r="N223" s="843" t="n"/>
      <c r="O223" s="784" t="n"/>
      <c r="P223" s="842" t="n"/>
      <c r="Q223" s="784" t="n"/>
      <c r="R223" s="457">
        <f>L223*P223</f>
        <v/>
      </c>
      <c r="S223" s="773" t="n"/>
      <c r="T223" s="774" t="n"/>
      <c r="U223" s="844" t="n"/>
      <c r="V223" s="784" t="n"/>
      <c r="W223" s="845">
        <f>1-U223</f>
        <v/>
      </c>
      <c r="X223" s="774" t="n"/>
      <c r="Y223" s="846">
        <f>IFERROR(R223/$R$320,"")</f>
        <v/>
      </c>
      <c r="Z223" s="774" t="n"/>
      <c r="AA223" s="457">
        <f>R223*U223</f>
        <v/>
      </c>
      <c r="AB223" s="774" t="n"/>
      <c r="AC223" s="457">
        <f>R223*W223</f>
        <v/>
      </c>
      <c r="AD223" s="774" t="n"/>
      <c r="AE223" s="794" t="n"/>
      <c r="AF223" s="795" t="n"/>
    </row>
    <row r="224" hidden="1" ht="15" customHeight="1" s="321">
      <c r="B224" s="383" t="n"/>
      <c r="C224" s="783" t="n"/>
      <c r="D224" s="783" t="n"/>
      <c r="E224" s="783" t="n"/>
      <c r="F224" s="783" t="n"/>
      <c r="G224" s="783" t="n"/>
      <c r="H224" s="783" t="n"/>
      <c r="I224" s="783" t="n"/>
      <c r="J224" s="783" t="n"/>
      <c r="K224" s="784" t="n"/>
      <c r="L224" s="842" t="n"/>
      <c r="M224" s="784" t="n"/>
      <c r="N224" s="843" t="n"/>
      <c r="O224" s="784" t="n"/>
      <c r="P224" s="842" t="n"/>
      <c r="Q224" s="784" t="n"/>
      <c r="R224" s="457">
        <f>L224*P224</f>
        <v/>
      </c>
      <c r="S224" s="773" t="n"/>
      <c r="T224" s="774" t="n"/>
      <c r="U224" s="844" t="n"/>
      <c r="V224" s="784" t="n"/>
      <c r="W224" s="845">
        <f>1-U224</f>
        <v/>
      </c>
      <c r="X224" s="774" t="n"/>
      <c r="Y224" s="846">
        <f>IFERROR(R224/$R$320,"")</f>
        <v/>
      </c>
      <c r="Z224" s="774" t="n"/>
      <c r="AA224" s="457">
        <f>R224*U224</f>
        <v/>
      </c>
      <c r="AB224" s="774" t="n"/>
      <c r="AC224" s="457">
        <f>R224*W224</f>
        <v/>
      </c>
      <c r="AD224" s="774" t="n"/>
      <c r="AE224" s="794" t="n"/>
      <c r="AF224" s="795" t="n"/>
    </row>
    <row r="225" hidden="1" ht="15" customHeight="1" s="321">
      <c r="B225" s="383" t="n"/>
      <c r="C225" s="783" t="n"/>
      <c r="D225" s="783" t="n"/>
      <c r="E225" s="783" t="n"/>
      <c r="F225" s="783" t="n"/>
      <c r="G225" s="783" t="n"/>
      <c r="H225" s="783" t="n"/>
      <c r="I225" s="783" t="n"/>
      <c r="J225" s="783" t="n"/>
      <c r="K225" s="784" t="n"/>
      <c r="L225" s="842" t="n"/>
      <c r="M225" s="784" t="n"/>
      <c r="N225" s="843" t="n"/>
      <c r="O225" s="784" t="n"/>
      <c r="P225" s="842" t="n"/>
      <c r="Q225" s="784" t="n"/>
      <c r="R225" s="457">
        <f>L225*P225</f>
        <v/>
      </c>
      <c r="S225" s="773" t="n"/>
      <c r="T225" s="774" t="n"/>
      <c r="U225" s="844" t="n"/>
      <c r="V225" s="784" t="n"/>
      <c r="W225" s="845">
        <f>1-U225</f>
        <v/>
      </c>
      <c r="X225" s="774" t="n"/>
      <c r="Y225" s="846">
        <f>IFERROR(R225/$R$320,"")</f>
        <v/>
      </c>
      <c r="Z225" s="774" t="n"/>
      <c r="AA225" s="457">
        <f>R225*U225</f>
        <v/>
      </c>
      <c r="AB225" s="774" t="n"/>
      <c r="AC225" s="457">
        <f>R225*W225</f>
        <v/>
      </c>
      <c r="AD225" s="774" t="n"/>
      <c r="AE225" s="818" t="n"/>
      <c r="AF225" s="849" t="n"/>
    </row>
    <row r="226" ht="15" customHeight="1" s="321">
      <c r="B226" s="381" t="inlineStr">
        <is>
          <t>b) Yardımcı Madde</t>
        </is>
      </c>
      <c r="C226" s="773" t="n"/>
      <c r="D226" s="773" t="n"/>
      <c r="E226" s="773" t="n"/>
      <c r="F226" s="773" t="n"/>
      <c r="G226" s="773" t="n"/>
      <c r="H226" s="773" t="n"/>
      <c r="I226" s="773" t="n"/>
      <c r="J226" s="773" t="n"/>
      <c r="K226" s="774" t="n"/>
      <c r="L226" s="836" t="n">
        <v>1</v>
      </c>
      <c r="M226" s="774" t="n"/>
      <c r="N226" s="837" t="n"/>
      <c r="O226" s="774" t="n"/>
      <c r="P226" s="836">
        <f>SUM(R227:T251)</f>
        <v/>
      </c>
      <c r="Q226" s="774" t="n"/>
      <c r="R226" s="838">
        <f>L226*P226</f>
        <v/>
      </c>
      <c r="S226" s="773" t="n"/>
      <c r="T226" s="774" t="n"/>
      <c r="U226" s="839">
        <f>IFERROR(SUM(AA227:AB251)/SUM(AA227:AD251),0)</f>
        <v/>
      </c>
      <c r="V226" s="774" t="n"/>
      <c r="W226" s="839">
        <f>1-U226</f>
        <v/>
      </c>
      <c r="X226" s="774" t="n"/>
      <c r="Y226" s="840">
        <f>IFERROR(R226/$R$320,"")</f>
        <v/>
      </c>
      <c r="Z226" s="774" t="n"/>
      <c r="AA226" s="838">
        <f>R226*U226</f>
        <v/>
      </c>
      <c r="AB226" s="774" t="n"/>
      <c r="AC226" s="838">
        <f>R226*W226</f>
        <v/>
      </c>
      <c r="AD226" s="774" t="n"/>
      <c r="AE226" s="841">
        <f>IFERROR(R226/$R$320,"")</f>
        <v/>
      </c>
      <c r="AF226" s="835" t="n"/>
    </row>
    <row r="227" ht="15" customHeight="1" s="321">
      <c r="B227" s="383" t="n"/>
      <c r="C227" s="783" t="n"/>
      <c r="D227" s="783" t="n"/>
      <c r="E227" s="783" t="n"/>
      <c r="F227" s="783" t="n"/>
      <c r="G227" s="783" t="n"/>
      <c r="H227" s="783" t="n"/>
      <c r="I227" s="783" t="n"/>
      <c r="J227" s="783" t="n"/>
      <c r="K227" s="784" t="n"/>
      <c r="L227" s="842" t="n"/>
      <c r="M227" s="784" t="n"/>
      <c r="N227" s="843" t="n"/>
      <c r="O227" s="784" t="n"/>
      <c r="P227" s="842" t="n"/>
      <c r="Q227" s="784" t="n"/>
      <c r="R227" s="457">
        <f>L227*P227</f>
        <v/>
      </c>
      <c r="S227" s="773" t="n"/>
      <c r="T227" s="774" t="n"/>
      <c r="U227" s="844" t="n"/>
      <c r="V227" s="784" t="n"/>
      <c r="W227" s="845">
        <f>1-U227</f>
        <v/>
      </c>
      <c r="X227" s="774" t="n"/>
      <c r="Y227" s="846">
        <f>IFERROR(R227/$R$320,"")</f>
        <v/>
      </c>
      <c r="Z227" s="774" t="n"/>
      <c r="AA227" s="457">
        <f>R227*U227</f>
        <v/>
      </c>
      <c r="AB227" s="774" t="n"/>
      <c r="AC227" s="457">
        <f>R227*W227</f>
        <v/>
      </c>
      <c r="AD227" s="774" t="n"/>
      <c r="AE227" s="847" t="n"/>
      <c r="AF227" s="848" t="n"/>
    </row>
    <row r="228" hidden="1" ht="15" customHeight="1" s="321">
      <c r="B228" s="383" t="n"/>
      <c r="C228" s="783" t="n"/>
      <c r="D228" s="783" t="n"/>
      <c r="E228" s="783" t="n"/>
      <c r="F228" s="783" t="n"/>
      <c r="G228" s="783" t="n"/>
      <c r="H228" s="783" t="n"/>
      <c r="I228" s="783" t="n"/>
      <c r="J228" s="783" t="n"/>
      <c r="K228" s="784" t="n"/>
      <c r="L228" s="842" t="n"/>
      <c r="M228" s="784" t="n"/>
      <c r="N228" s="843" t="n"/>
      <c r="O228" s="784" t="n"/>
      <c r="P228" s="842" t="n"/>
      <c r="Q228" s="784" t="n"/>
      <c r="R228" s="457">
        <f>L228*P228</f>
        <v/>
      </c>
      <c r="S228" s="773" t="n"/>
      <c r="T228" s="774" t="n"/>
      <c r="U228" s="844" t="n"/>
      <c r="V228" s="784" t="n"/>
      <c r="W228" s="845">
        <f>1-U228</f>
        <v/>
      </c>
      <c r="X228" s="774" t="n"/>
      <c r="Y228" s="846">
        <f>IFERROR(R228/$R$320,"")</f>
        <v/>
      </c>
      <c r="Z228" s="774" t="n"/>
      <c r="AA228" s="457">
        <f>R228*U228</f>
        <v/>
      </c>
      <c r="AB228" s="774" t="n"/>
      <c r="AC228" s="457">
        <f>R228*W228</f>
        <v/>
      </c>
      <c r="AD228" s="774" t="n"/>
      <c r="AE228" s="794" t="n"/>
      <c r="AF228" s="795" t="n"/>
    </row>
    <row r="229" hidden="1" ht="15" customHeight="1" s="321">
      <c r="B229" s="383" t="n"/>
      <c r="C229" s="783" t="n"/>
      <c r="D229" s="783" t="n"/>
      <c r="E229" s="783" t="n"/>
      <c r="F229" s="783" t="n"/>
      <c r="G229" s="783" t="n"/>
      <c r="H229" s="783" t="n"/>
      <c r="I229" s="783" t="n"/>
      <c r="J229" s="783" t="n"/>
      <c r="K229" s="784" t="n"/>
      <c r="L229" s="842" t="n"/>
      <c r="M229" s="784" t="n"/>
      <c r="N229" s="843" t="n"/>
      <c r="O229" s="784" t="n"/>
      <c r="P229" s="842" t="n"/>
      <c r="Q229" s="784" t="n"/>
      <c r="R229" s="457">
        <f>L229*P229</f>
        <v/>
      </c>
      <c r="S229" s="773" t="n"/>
      <c r="T229" s="774" t="n"/>
      <c r="U229" s="844" t="n"/>
      <c r="V229" s="784" t="n"/>
      <c r="W229" s="845">
        <f>1-U229</f>
        <v/>
      </c>
      <c r="X229" s="774" t="n"/>
      <c r="Y229" s="846">
        <f>IFERROR(R229/$R$320,"")</f>
        <v/>
      </c>
      <c r="Z229" s="774" t="n"/>
      <c r="AA229" s="457">
        <f>R229*U229</f>
        <v/>
      </c>
      <c r="AB229" s="774" t="n"/>
      <c r="AC229" s="457">
        <f>R229*W229</f>
        <v/>
      </c>
      <c r="AD229" s="774" t="n"/>
      <c r="AE229" s="794" t="n"/>
      <c r="AF229" s="795" t="n"/>
    </row>
    <row r="230" hidden="1" ht="15" customHeight="1" s="321">
      <c r="B230" s="383" t="n"/>
      <c r="C230" s="783" t="n"/>
      <c r="D230" s="783" t="n"/>
      <c r="E230" s="783" t="n"/>
      <c r="F230" s="783" t="n"/>
      <c r="G230" s="783" t="n"/>
      <c r="H230" s="783" t="n"/>
      <c r="I230" s="783" t="n"/>
      <c r="J230" s="783" t="n"/>
      <c r="K230" s="784" t="n"/>
      <c r="L230" s="842" t="n"/>
      <c r="M230" s="784" t="n"/>
      <c r="N230" s="843" t="n"/>
      <c r="O230" s="784" t="n"/>
      <c r="P230" s="842" t="n"/>
      <c r="Q230" s="784" t="n"/>
      <c r="R230" s="457">
        <f>L230*P230</f>
        <v/>
      </c>
      <c r="S230" s="773" t="n"/>
      <c r="T230" s="774" t="n"/>
      <c r="U230" s="844" t="n"/>
      <c r="V230" s="784" t="n"/>
      <c r="W230" s="845">
        <f>1-U230</f>
        <v/>
      </c>
      <c r="X230" s="774" t="n"/>
      <c r="Y230" s="846">
        <f>IFERROR(R230/$R$320,"")</f>
        <v/>
      </c>
      <c r="Z230" s="774" t="n"/>
      <c r="AA230" s="457">
        <f>R230*U230</f>
        <v/>
      </c>
      <c r="AB230" s="774" t="n"/>
      <c r="AC230" s="457">
        <f>R230*W230</f>
        <v/>
      </c>
      <c r="AD230" s="774" t="n"/>
      <c r="AE230" s="794" t="n"/>
      <c r="AF230" s="795" t="n"/>
    </row>
    <row r="231" hidden="1" ht="15" customHeight="1" s="321">
      <c r="B231" s="383" t="n"/>
      <c r="C231" s="783" t="n"/>
      <c r="D231" s="783" t="n"/>
      <c r="E231" s="783" t="n"/>
      <c r="F231" s="783" t="n"/>
      <c r="G231" s="783" t="n"/>
      <c r="H231" s="783" t="n"/>
      <c r="I231" s="783" t="n"/>
      <c r="J231" s="783" t="n"/>
      <c r="K231" s="784" t="n"/>
      <c r="L231" s="842" t="n"/>
      <c r="M231" s="784" t="n"/>
      <c r="N231" s="843" t="n"/>
      <c r="O231" s="784" t="n"/>
      <c r="P231" s="842" t="n"/>
      <c r="Q231" s="784" t="n"/>
      <c r="R231" s="457">
        <f>L231*P231</f>
        <v/>
      </c>
      <c r="S231" s="773" t="n"/>
      <c r="T231" s="774" t="n"/>
      <c r="U231" s="844" t="n"/>
      <c r="V231" s="784" t="n"/>
      <c r="W231" s="845">
        <f>1-U231</f>
        <v/>
      </c>
      <c r="X231" s="774" t="n"/>
      <c r="Y231" s="846">
        <f>IFERROR(R231/$R$320,"")</f>
        <v/>
      </c>
      <c r="Z231" s="774" t="n"/>
      <c r="AA231" s="457">
        <f>R231*U231</f>
        <v/>
      </c>
      <c r="AB231" s="774" t="n"/>
      <c r="AC231" s="457">
        <f>R231*W231</f>
        <v/>
      </c>
      <c r="AD231" s="774" t="n"/>
      <c r="AE231" s="794" t="n"/>
      <c r="AF231" s="795" t="n"/>
    </row>
    <row r="232" hidden="1" ht="15" customHeight="1" s="321">
      <c r="B232" s="383" t="n"/>
      <c r="C232" s="783" t="n"/>
      <c r="D232" s="783" t="n"/>
      <c r="E232" s="783" t="n"/>
      <c r="F232" s="783" t="n"/>
      <c r="G232" s="783" t="n"/>
      <c r="H232" s="783" t="n"/>
      <c r="I232" s="783" t="n"/>
      <c r="J232" s="783" t="n"/>
      <c r="K232" s="784" t="n"/>
      <c r="L232" s="842" t="n"/>
      <c r="M232" s="784" t="n"/>
      <c r="N232" s="843" t="n"/>
      <c r="O232" s="784" t="n"/>
      <c r="P232" s="842" t="n"/>
      <c r="Q232" s="784" t="n"/>
      <c r="R232" s="457">
        <f>L232*P232</f>
        <v/>
      </c>
      <c r="S232" s="773" t="n"/>
      <c r="T232" s="774" t="n"/>
      <c r="U232" s="844" t="n"/>
      <c r="V232" s="784" t="n"/>
      <c r="W232" s="845">
        <f>1-U232</f>
        <v/>
      </c>
      <c r="X232" s="774" t="n"/>
      <c r="Y232" s="846">
        <f>IFERROR(R232/$R$320,"")</f>
        <v/>
      </c>
      <c r="Z232" s="774" t="n"/>
      <c r="AA232" s="457">
        <f>R232*U232</f>
        <v/>
      </c>
      <c r="AB232" s="774" t="n"/>
      <c r="AC232" s="457">
        <f>R232*W232</f>
        <v/>
      </c>
      <c r="AD232" s="774" t="n"/>
      <c r="AE232" s="794" t="n"/>
      <c r="AF232" s="795" t="n"/>
    </row>
    <row r="233" hidden="1" ht="15" customHeight="1" s="321">
      <c r="B233" s="383" t="n"/>
      <c r="C233" s="783" t="n"/>
      <c r="D233" s="783" t="n"/>
      <c r="E233" s="783" t="n"/>
      <c r="F233" s="783" t="n"/>
      <c r="G233" s="783" t="n"/>
      <c r="H233" s="783" t="n"/>
      <c r="I233" s="783" t="n"/>
      <c r="J233" s="783" t="n"/>
      <c r="K233" s="784" t="n"/>
      <c r="L233" s="842" t="n"/>
      <c r="M233" s="784" t="n"/>
      <c r="N233" s="843" t="n"/>
      <c r="O233" s="784" t="n"/>
      <c r="P233" s="842" t="n"/>
      <c r="Q233" s="784" t="n"/>
      <c r="R233" s="457">
        <f>L233*P233</f>
        <v/>
      </c>
      <c r="S233" s="773" t="n"/>
      <c r="T233" s="774" t="n"/>
      <c r="U233" s="844" t="n"/>
      <c r="V233" s="784" t="n"/>
      <c r="W233" s="845">
        <f>1-U233</f>
        <v/>
      </c>
      <c r="X233" s="774" t="n"/>
      <c r="Y233" s="846">
        <f>IFERROR(R233/$R$320,"")</f>
        <v/>
      </c>
      <c r="Z233" s="774" t="n"/>
      <c r="AA233" s="457">
        <f>R233*U233</f>
        <v/>
      </c>
      <c r="AB233" s="774" t="n"/>
      <c r="AC233" s="457">
        <f>R233*W233</f>
        <v/>
      </c>
      <c r="AD233" s="774" t="n"/>
      <c r="AE233" s="794" t="n"/>
      <c r="AF233" s="795" t="n"/>
    </row>
    <row r="234" hidden="1" ht="15" customHeight="1" s="321">
      <c r="B234" s="383" t="n"/>
      <c r="C234" s="783" t="n"/>
      <c r="D234" s="783" t="n"/>
      <c r="E234" s="783" t="n"/>
      <c r="F234" s="783" t="n"/>
      <c r="G234" s="783" t="n"/>
      <c r="H234" s="783" t="n"/>
      <c r="I234" s="783" t="n"/>
      <c r="J234" s="783" t="n"/>
      <c r="K234" s="784" t="n"/>
      <c r="L234" s="842" t="n"/>
      <c r="M234" s="784" t="n"/>
      <c r="N234" s="843" t="n"/>
      <c r="O234" s="784" t="n"/>
      <c r="P234" s="842" t="n"/>
      <c r="Q234" s="784" t="n"/>
      <c r="R234" s="457">
        <f>L234*P234</f>
        <v/>
      </c>
      <c r="S234" s="773" t="n"/>
      <c r="T234" s="774" t="n"/>
      <c r="U234" s="844" t="n"/>
      <c r="V234" s="784" t="n"/>
      <c r="W234" s="845">
        <f>1-U234</f>
        <v/>
      </c>
      <c r="X234" s="774" t="n"/>
      <c r="Y234" s="846">
        <f>IFERROR(R234/$R$320,"")</f>
        <v/>
      </c>
      <c r="Z234" s="774" t="n"/>
      <c r="AA234" s="457">
        <f>R234*U234</f>
        <v/>
      </c>
      <c r="AB234" s="774" t="n"/>
      <c r="AC234" s="457">
        <f>R234*W234</f>
        <v/>
      </c>
      <c r="AD234" s="774" t="n"/>
      <c r="AE234" s="794" t="n"/>
      <c r="AF234" s="795" t="n"/>
    </row>
    <row r="235" hidden="1" ht="15" customHeight="1" s="321">
      <c r="B235" s="383" t="n"/>
      <c r="C235" s="783" t="n"/>
      <c r="D235" s="783" t="n"/>
      <c r="E235" s="783" t="n"/>
      <c r="F235" s="783" t="n"/>
      <c r="G235" s="783" t="n"/>
      <c r="H235" s="783" t="n"/>
      <c r="I235" s="783" t="n"/>
      <c r="J235" s="783" t="n"/>
      <c r="K235" s="784" t="n"/>
      <c r="L235" s="842" t="n"/>
      <c r="M235" s="784" t="n"/>
      <c r="N235" s="843" t="n"/>
      <c r="O235" s="784" t="n"/>
      <c r="P235" s="842" t="n"/>
      <c r="Q235" s="784" t="n"/>
      <c r="R235" s="457">
        <f>L235*P235</f>
        <v/>
      </c>
      <c r="S235" s="773" t="n"/>
      <c r="T235" s="774" t="n"/>
      <c r="U235" s="844" t="n"/>
      <c r="V235" s="784" t="n"/>
      <c r="W235" s="845">
        <f>1-U235</f>
        <v/>
      </c>
      <c r="X235" s="774" t="n"/>
      <c r="Y235" s="846">
        <f>IFERROR(R235/$R$320,"")</f>
        <v/>
      </c>
      <c r="Z235" s="774" t="n"/>
      <c r="AA235" s="457">
        <f>R235*U235</f>
        <v/>
      </c>
      <c r="AB235" s="774" t="n"/>
      <c r="AC235" s="457">
        <f>R235*W235</f>
        <v/>
      </c>
      <c r="AD235" s="774" t="n"/>
      <c r="AE235" s="794" t="n"/>
      <c r="AF235" s="795" t="n"/>
    </row>
    <row r="236" hidden="1" ht="15" customHeight="1" s="321">
      <c r="B236" s="383" t="n"/>
      <c r="C236" s="783" t="n"/>
      <c r="D236" s="783" t="n"/>
      <c r="E236" s="783" t="n"/>
      <c r="F236" s="783" t="n"/>
      <c r="G236" s="783" t="n"/>
      <c r="H236" s="783" t="n"/>
      <c r="I236" s="783" t="n"/>
      <c r="J236" s="783" t="n"/>
      <c r="K236" s="784" t="n"/>
      <c r="L236" s="842" t="n"/>
      <c r="M236" s="784" t="n"/>
      <c r="N236" s="843" t="n"/>
      <c r="O236" s="784" t="n"/>
      <c r="P236" s="842" t="n"/>
      <c r="Q236" s="784" t="n"/>
      <c r="R236" s="457">
        <f>L236*P236</f>
        <v/>
      </c>
      <c r="S236" s="773" t="n"/>
      <c r="T236" s="774" t="n"/>
      <c r="U236" s="844" t="n"/>
      <c r="V236" s="784" t="n"/>
      <c r="W236" s="845">
        <f>1-U236</f>
        <v/>
      </c>
      <c r="X236" s="774" t="n"/>
      <c r="Y236" s="846">
        <f>IFERROR(R236/$R$320,"")</f>
        <v/>
      </c>
      <c r="Z236" s="774" t="n"/>
      <c r="AA236" s="457">
        <f>R236*U236</f>
        <v/>
      </c>
      <c r="AB236" s="774" t="n"/>
      <c r="AC236" s="457">
        <f>R236*W236</f>
        <v/>
      </c>
      <c r="AD236" s="774" t="n"/>
      <c r="AE236" s="794" t="n"/>
      <c r="AF236" s="795" t="n"/>
    </row>
    <row r="237" hidden="1" ht="15" customHeight="1" s="321">
      <c r="B237" s="383" t="n"/>
      <c r="C237" s="783" t="n"/>
      <c r="D237" s="783" t="n"/>
      <c r="E237" s="783" t="n"/>
      <c r="F237" s="783" t="n"/>
      <c r="G237" s="783" t="n"/>
      <c r="H237" s="783" t="n"/>
      <c r="I237" s="783" t="n"/>
      <c r="J237" s="783" t="n"/>
      <c r="K237" s="784" t="n"/>
      <c r="L237" s="842" t="n"/>
      <c r="M237" s="784" t="n"/>
      <c r="N237" s="843" t="n"/>
      <c r="O237" s="784" t="n"/>
      <c r="P237" s="842" t="n"/>
      <c r="Q237" s="784" t="n"/>
      <c r="R237" s="457">
        <f>L237*P237</f>
        <v/>
      </c>
      <c r="S237" s="773" t="n"/>
      <c r="T237" s="774" t="n"/>
      <c r="U237" s="844" t="n"/>
      <c r="V237" s="784" t="n"/>
      <c r="W237" s="845">
        <f>1-U237</f>
        <v/>
      </c>
      <c r="X237" s="774" t="n"/>
      <c r="Y237" s="846">
        <f>IFERROR(R237/$R$320,"")</f>
        <v/>
      </c>
      <c r="Z237" s="774" t="n"/>
      <c r="AA237" s="457">
        <f>R237*U237</f>
        <v/>
      </c>
      <c r="AB237" s="774" t="n"/>
      <c r="AC237" s="457">
        <f>R237*W237</f>
        <v/>
      </c>
      <c r="AD237" s="774" t="n"/>
      <c r="AE237" s="794" t="n"/>
      <c r="AF237" s="795" t="n"/>
    </row>
    <row r="238" hidden="1" ht="15" customHeight="1" s="321">
      <c r="B238" s="383" t="n"/>
      <c r="C238" s="783" t="n"/>
      <c r="D238" s="783" t="n"/>
      <c r="E238" s="783" t="n"/>
      <c r="F238" s="783" t="n"/>
      <c r="G238" s="783" t="n"/>
      <c r="H238" s="783" t="n"/>
      <c r="I238" s="783" t="n"/>
      <c r="J238" s="783" t="n"/>
      <c r="K238" s="784" t="n"/>
      <c r="L238" s="842" t="n"/>
      <c r="M238" s="784" t="n"/>
      <c r="N238" s="843" t="n"/>
      <c r="O238" s="784" t="n"/>
      <c r="P238" s="842" t="n"/>
      <c r="Q238" s="784" t="n"/>
      <c r="R238" s="457">
        <f>L238*P238</f>
        <v/>
      </c>
      <c r="S238" s="773" t="n"/>
      <c r="T238" s="774" t="n"/>
      <c r="U238" s="844" t="n"/>
      <c r="V238" s="784" t="n"/>
      <c r="W238" s="845">
        <f>1-U238</f>
        <v/>
      </c>
      <c r="X238" s="774" t="n"/>
      <c r="Y238" s="846">
        <f>IFERROR(R238/$R$320,"")</f>
        <v/>
      </c>
      <c r="Z238" s="774" t="n"/>
      <c r="AA238" s="457">
        <f>R238*U238</f>
        <v/>
      </c>
      <c r="AB238" s="774" t="n"/>
      <c r="AC238" s="457">
        <f>R238*W238</f>
        <v/>
      </c>
      <c r="AD238" s="774" t="n"/>
      <c r="AE238" s="794" t="n"/>
      <c r="AF238" s="795" t="n"/>
    </row>
    <row r="239" hidden="1" ht="15" customHeight="1" s="321">
      <c r="B239" s="383" t="n"/>
      <c r="C239" s="783" t="n"/>
      <c r="D239" s="783" t="n"/>
      <c r="E239" s="783" t="n"/>
      <c r="F239" s="783" t="n"/>
      <c r="G239" s="783" t="n"/>
      <c r="H239" s="783" t="n"/>
      <c r="I239" s="783" t="n"/>
      <c r="J239" s="783" t="n"/>
      <c r="K239" s="784" t="n"/>
      <c r="L239" s="842" t="n"/>
      <c r="M239" s="784" t="n"/>
      <c r="N239" s="843" t="n"/>
      <c r="O239" s="784" t="n"/>
      <c r="P239" s="842" t="n"/>
      <c r="Q239" s="784" t="n"/>
      <c r="R239" s="457">
        <f>L239*P239</f>
        <v/>
      </c>
      <c r="S239" s="773" t="n"/>
      <c r="T239" s="774" t="n"/>
      <c r="U239" s="844" t="n"/>
      <c r="V239" s="784" t="n"/>
      <c r="W239" s="845">
        <f>1-U239</f>
        <v/>
      </c>
      <c r="X239" s="774" t="n"/>
      <c r="Y239" s="846">
        <f>IFERROR(R239/$R$320,"")</f>
        <v/>
      </c>
      <c r="Z239" s="774" t="n"/>
      <c r="AA239" s="457">
        <f>R239*U239</f>
        <v/>
      </c>
      <c r="AB239" s="774" t="n"/>
      <c r="AC239" s="457">
        <f>R239*W239</f>
        <v/>
      </c>
      <c r="AD239" s="774" t="n"/>
      <c r="AE239" s="794" t="n"/>
      <c r="AF239" s="795" t="n"/>
    </row>
    <row r="240" hidden="1" ht="15" customHeight="1" s="321">
      <c r="B240" s="383" t="n"/>
      <c r="C240" s="783" t="n"/>
      <c r="D240" s="783" t="n"/>
      <c r="E240" s="783" t="n"/>
      <c r="F240" s="783" t="n"/>
      <c r="G240" s="783" t="n"/>
      <c r="H240" s="783" t="n"/>
      <c r="I240" s="783" t="n"/>
      <c r="J240" s="783" t="n"/>
      <c r="K240" s="784" t="n"/>
      <c r="L240" s="842" t="n"/>
      <c r="M240" s="784" t="n"/>
      <c r="N240" s="843" t="n"/>
      <c r="O240" s="784" t="n"/>
      <c r="P240" s="842" t="n"/>
      <c r="Q240" s="784" t="n"/>
      <c r="R240" s="457">
        <f>L240*P240</f>
        <v/>
      </c>
      <c r="S240" s="773" t="n"/>
      <c r="T240" s="774" t="n"/>
      <c r="U240" s="844" t="n"/>
      <c r="V240" s="784" t="n"/>
      <c r="W240" s="845">
        <f>1-U240</f>
        <v/>
      </c>
      <c r="X240" s="774" t="n"/>
      <c r="Y240" s="846">
        <f>IFERROR(R240/$R$320,"")</f>
        <v/>
      </c>
      <c r="Z240" s="774" t="n"/>
      <c r="AA240" s="457">
        <f>R240*U240</f>
        <v/>
      </c>
      <c r="AB240" s="774" t="n"/>
      <c r="AC240" s="457">
        <f>R240*W240</f>
        <v/>
      </c>
      <c r="AD240" s="774" t="n"/>
      <c r="AE240" s="794" t="n"/>
      <c r="AF240" s="795" t="n"/>
    </row>
    <row r="241" hidden="1" ht="15" customHeight="1" s="321">
      <c r="B241" s="383" t="n"/>
      <c r="C241" s="783" t="n"/>
      <c r="D241" s="783" t="n"/>
      <c r="E241" s="783" t="n"/>
      <c r="F241" s="783" t="n"/>
      <c r="G241" s="783" t="n"/>
      <c r="H241" s="783" t="n"/>
      <c r="I241" s="783" t="n"/>
      <c r="J241" s="783" t="n"/>
      <c r="K241" s="784" t="n"/>
      <c r="L241" s="842" t="n"/>
      <c r="M241" s="784" t="n"/>
      <c r="N241" s="843" t="n"/>
      <c r="O241" s="784" t="n"/>
      <c r="P241" s="842" t="n"/>
      <c r="Q241" s="784" t="n"/>
      <c r="R241" s="457">
        <f>L241*P241</f>
        <v/>
      </c>
      <c r="S241" s="773" t="n"/>
      <c r="T241" s="774" t="n"/>
      <c r="U241" s="844" t="n"/>
      <c r="V241" s="784" t="n"/>
      <c r="W241" s="845">
        <f>1-U241</f>
        <v/>
      </c>
      <c r="X241" s="774" t="n"/>
      <c r="Y241" s="846">
        <f>IFERROR(R241/$R$320,"")</f>
        <v/>
      </c>
      <c r="Z241" s="774" t="n"/>
      <c r="AA241" s="457">
        <f>R241*U241</f>
        <v/>
      </c>
      <c r="AB241" s="774" t="n"/>
      <c r="AC241" s="457">
        <f>R241*W241</f>
        <v/>
      </c>
      <c r="AD241" s="774" t="n"/>
      <c r="AE241" s="794" t="n"/>
      <c r="AF241" s="795" t="n"/>
    </row>
    <row r="242" hidden="1" ht="15" customHeight="1" s="321">
      <c r="B242" s="383" t="n"/>
      <c r="C242" s="783" t="n"/>
      <c r="D242" s="783" t="n"/>
      <c r="E242" s="783" t="n"/>
      <c r="F242" s="783" t="n"/>
      <c r="G242" s="783" t="n"/>
      <c r="H242" s="783" t="n"/>
      <c r="I242" s="783" t="n"/>
      <c r="J242" s="783" t="n"/>
      <c r="K242" s="784" t="n"/>
      <c r="L242" s="842" t="n"/>
      <c r="M242" s="784" t="n"/>
      <c r="N242" s="843" t="n"/>
      <c r="O242" s="784" t="n"/>
      <c r="P242" s="842" t="n"/>
      <c r="Q242" s="784" t="n"/>
      <c r="R242" s="457">
        <f>L242*P242</f>
        <v/>
      </c>
      <c r="S242" s="773" t="n"/>
      <c r="T242" s="774" t="n"/>
      <c r="U242" s="844" t="n"/>
      <c r="V242" s="784" t="n"/>
      <c r="W242" s="845">
        <f>1-U242</f>
        <v/>
      </c>
      <c r="X242" s="774" t="n"/>
      <c r="Y242" s="846">
        <f>IFERROR(R242/$R$320,"")</f>
        <v/>
      </c>
      <c r="Z242" s="774" t="n"/>
      <c r="AA242" s="457">
        <f>R242*U242</f>
        <v/>
      </c>
      <c r="AB242" s="774" t="n"/>
      <c r="AC242" s="457">
        <f>R242*W242</f>
        <v/>
      </c>
      <c r="AD242" s="774" t="n"/>
      <c r="AE242" s="794" t="n"/>
      <c r="AF242" s="795" t="n"/>
    </row>
    <row r="243" hidden="1" ht="15" customHeight="1" s="321">
      <c r="B243" s="383" t="n"/>
      <c r="C243" s="783" t="n"/>
      <c r="D243" s="783" t="n"/>
      <c r="E243" s="783" t="n"/>
      <c r="F243" s="783" t="n"/>
      <c r="G243" s="783" t="n"/>
      <c r="H243" s="783" t="n"/>
      <c r="I243" s="783" t="n"/>
      <c r="J243" s="783" t="n"/>
      <c r="K243" s="784" t="n"/>
      <c r="L243" s="842" t="n"/>
      <c r="M243" s="784" t="n"/>
      <c r="N243" s="843" t="n"/>
      <c r="O243" s="784" t="n"/>
      <c r="P243" s="842" t="n"/>
      <c r="Q243" s="784" t="n"/>
      <c r="R243" s="457">
        <f>L243*P243</f>
        <v/>
      </c>
      <c r="S243" s="773" t="n"/>
      <c r="T243" s="774" t="n"/>
      <c r="U243" s="844" t="n"/>
      <c r="V243" s="784" t="n"/>
      <c r="W243" s="845">
        <f>1-U243</f>
        <v/>
      </c>
      <c r="X243" s="774" t="n"/>
      <c r="Y243" s="846">
        <f>IFERROR(R243/$R$320,"")</f>
        <v/>
      </c>
      <c r="Z243" s="774" t="n"/>
      <c r="AA243" s="457">
        <f>R243*U243</f>
        <v/>
      </c>
      <c r="AB243" s="774" t="n"/>
      <c r="AC243" s="457">
        <f>R243*W243</f>
        <v/>
      </c>
      <c r="AD243" s="774" t="n"/>
      <c r="AE243" s="794" t="n"/>
      <c r="AF243" s="795" t="n"/>
    </row>
    <row r="244" hidden="1" ht="15" customHeight="1" s="321">
      <c r="B244" s="383" t="n"/>
      <c r="C244" s="783" t="n"/>
      <c r="D244" s="783" t="n"/>
      <c r="E244" s="783" t="n"/>
      <c r="F244" s="783" t="n"/>
      <c r="G244" s="783" t="n"/>
      <c r="H244" s="783" t="n"/>
      <c r="I244" s="783" t="n"/>
      <c r="J244" s="783" t="n"/>
      <c r="K244" s="784" t="n"/>
      <c r="L244" s="842" t="n"/>
      <c r="M244" s="784" t="n"/>
      <c r="N244" s="843" t="n"/>
      <c r="O244" s="784" t="n"/>
      <c r="P244" s="842" t="n"/>
      <c r="Q244" s="784" t="n"/>
      <c r="R244" s="457">
        <f>L244*P244</f>
        <v/>
      </c>
      <c r="S244" s="773" t="n"/>
      <c r="T244" s="774" t="n"/>
      <c r="U244" s="844" t="n"/>
      <c r="V244" s="784" t="n"/>
      <c r="W244" s="845">
        <f>1-U244</f>
        <v/>
      </c>
      <c r="X244" s="774" t="n"/>
      <c r="Y244" s="846">
        <f>IFERROR(R244/$R$320,"")</f>
        <v/>
      </c>
      <c r="Z244" s="774" t="n"/>
      <c r="AA244" s="457">
        <f>R244*U244</f>
        <v/>
      </c>
      <c r="AB244" s="774" t="n"/>
      <c r="AC244" s="457">
        <f>R244*W244</f>
        <v/>
      </c>
      <c r="AD244" s="774" t="n"/>
      <c r="AE244" s="794" t="n"/>
      <c r="AF244" s="795" t="n"/>
    </row>
    <row r="245" hidden="1" ht="15" customHeight="1" s="321">
      <c r="B245" s="383" t="n"/>
      <c r="C245" s="783" t="n"/>
      <c r="D245" s="783" t="n"/>
      <c r="E245" s="783" t="n"/>
      <c r="F245" s="783" t="n"/>
      <c r="G245" s="783" t="n"/>
      <c r="H245" s="783" t="n"/>
      <c r="I245" s="783" t="n"/>
      <c r="J245" s="783" t="n"/>
      <c r="K245" s="784" t="n"/>
      <c r="L245" s="842" t="n"/>
      <c r="M245" s="784" t="n"/>
      <c r="N245" s="843" t="n"/>
      <c r="O245" s="784" t="n"/>
      <c r="P245" s="842" t="n"/>
      <c r="Q245" s="784" t="n"/>
      <c r="R245" s="457">
        <f>L245*P245</f>
        <v/>
      </c>
      <c r="S245" s="773" t="n"/>
      <c r="T245" s="774" t="n"/>
      <c r="U245" s="844" t="n"/>
      <c r="V245" s="784" t="n"/>
      <c r="W245" s="845">
        <f>1-U245</f>
        <v/>
      </c>
      <c r="X245" s="774" t="n"/>
      <c r="Y245" s="846">
        <f>IFERROR(R245/$R$320,"")</f>
        <v/>
      </c>
      <c r="Z245" s="774" t="n"/>
      <c r="AA245" s="457">
        <f>R245*U245</f>
        <v/>
      </c>
      <c r="AB245" s="774" t="n"/>
      <c r="AC245" s="457">
        <f>R245*W245</f>
        <v/>
      </c>
      <c r="AD245" s="774" t="n"/>
      <c r="AE245" s="794" t="n"/>
      <c r="AF245" s="795" t="n"/>
    </row>
    <row r="246" hidden="1" ht="15" customHeight="1" s="321">
      <c r="B246" s="383" t="n"/>
      <c r="C246" s="783" t="n"/>
      <c r="D246" s="783" t="n"/>
      <c r="E246" s="783" t="n"/>
      <c r="F246" s="783" t="n"/>
      <c r="G246" s="783" t="n"/>
      <c r="H246" s="783" t="n"/>
      <c r="I246" s="783" t="n"/>
      <c r="J246" s="783" t="n"/>
      <c r="K246" s="784" t="n"/>
      <c r="L246" s="842" t="n"/>
      <c r="M246" s="784" t="n"/>
      <c r="N246" s="843" t="n"/>
      <c r="O246" s="784" t="n"/>
      <c r="P246" s="842" t="n"/>
      <c r="Q246" s="784" t="n"/>
      <c r="R246" s="457">
        <f>L246*P246</f>
        <v/>
      </c>
      <c r="S246" s="773" t="n"/>
      <c r="T246" s="774" t="n"/>
      <c r="U246" s="844" t="n"/>
      <c r="V246" s="784" t="n"/>
      <c r="W246" s="845">
        <f>1-U246</f>
        <v/>
      </c>
      <c r="X246" s="774" t="n"/>
      <c r="Y246" s="846">
        <f>IFERROR(R246/$R$320,"")</f>
        <v/>
      </c>
      <c r="Z246" s="774" t="n"/>
      <c r="AA246" s="457">
        <f>R246*U246</f>
        <v/>
      </c>
      <c r="AB246" s="774" t="n"/>
      <c r="AC246" s="457">
        <f>R246*W246</f>
        <v/>
      </c>
      <c r="AD246" s="774" t="n"/>
      <c r="AE246" s="794" t="n"/>
      <c r="AF246" s="795" t="n"/>
    </row>
    <row r="247" hidden="1" ht="15" customHeight="1" s="321">
      <c r="B247" s="383" t="n"/>
      <c r="C247" s="783" t="n"/>
      <c r="D247" s="783" t="n"/>
      <c r="E247" s="783" t="n"/>
      <c r="F247" s="783" t="n"/>
      <c r="G247" s="783" t="n"/>
      <c r="H247" s="783" t="n"/>
      <c r="I247" s="783" t="n"/>
      <c r="J247" s="783" t="n"/>
      <c r="K247" s="784" t="n"/>
      <c r="L247" s="842" t="n"/>
      <c r="M247" s="784" t="n"/>
      <c r="N247" s="843" t="n"/>
      <c r="O247" s="784" t="n"/>
      <c r="P247" s="842" t="n"/>
      <c r="Q247" s="784" t="n"/>
      <c r="R247" s="457">
        <f>L247*P247</f>
        <v/>
      </c>
      <c r="S247" s="773" t="n"/>
      <c r="T247" s="774" t="n"/>
      <c r="U247" s="844" t="n"/>
      <c r="V247" s="784" t="n"/>
      <c r="W247" s="845">
        <f>1-U247</f>
        <v/>
      </c>
      <c r="X247" s="774" t="n"/>
      <c r="Y247" s="846">
        <f>IFERROR(R247/$R$320,"")</f>
        <v/>
      </c>
      <c r="Z247" s="774" t="n"/>
      <c r="AA247" s="457">
        <f>R247*U247</f>
        <v/>
      </c>
      <c r="AB247" s="774" t="n"/>
      <c r="AC247" s="457">
        <f>R247*W247</f>
        <v/>
      </c>
      <c r="AD247" s="774" t="n"/>
      <c r="AE247" s="794" t="n"/>
      <c r="AF247" s="795" t="n"/>
    </row>
    <row r="248" hidden="1" ht="15" customHeight="1" s="321">
      <c r="B248" s="383" t="n"/>
      <c r="C248" s="783" t="n"/>
      <c r="D248" s="783" t="n"/>
      <c r="E248" s="783" t="n"/>
      <c r="F248" s="783" t="n"/>
      <c r="G248" s="783" t="n"/>
      <c r="H248" s="783" t="n"/>
      <c r="I248" s="783" t="n"/>
      <c r="J248" s="783" t="n"/>
      <c r="K248" s="784" t="n"/>
      <c r="L248" s="842" t="n"/>
      <c r="M248" s="784" t="n"/>
      <c r="N248" s="843" t="n"/>
      <c r="O248" s="784" t="n"/>
      <c r="P248" s="842" t="n"/>
      <c r="Q248" s="784" t="n"/>
      <c r="R248" s="457">
        <f>L248*P248</f>
        <v/>
      </c>
      <c r="S248" s="773" t="n"/>
      <c r="T248" s="774" t="n"/>
      <c r="U248" s="844" t="n"/>
      <c r="V248" s="784" t="n"/>
      <c r="W248" s="845">
        <f>1-U248</f>
        <v/>
      </c>
      <c r="X248" s="774" t="n"/>
      <c r="Y248" s="846">
        <f>IFERROR(R248/$R$320,"")</f>
        <v/>
      </c>
      <c r="Z248" s="774" t="n"/>
      <c r="AA248" s="457">
        <f>R248*U248</f>
        <v/>
      </c>
      <c r="AB248" s="774" t="n"/>
      <c r="AC248" s="457">
        <f>R248*W248</f>
        <v/>
      </c>
      <c r="AD248" s="774" t="n"/>
      <c r="AE248" s="794" t="n"/>
      <c r="AF248" s="795" t="n"/>
    </row>
    <row r="249" hidden="1" ht="15" customHeight="1" s="321">
      <c r="B249" s="383" t="n"/>
      <c r="C249" s="783" t="n"/>
      <c r="D249" s="783" t="n"/>
      <c r="E249" s="783" t="n"/>
      <c r="F249" s="783" t="n"/>
      <c r="G249" s="783" t="n"/>
      <c r="H249" s="783" t="n"/>
      <c r="I249" s="783" t="n"/>
      <c r="J249" s="783" t="n"/>
      <c r="K249" s="784" t="n"/>
      <c r="L249" s="842" t="n"/>
      <c r="M249" s="784" t="n"/>
      <c r="N249" s="843" t="n"/>
      <c r="O249" s="784" t="n"/>
      <c r="P249" s="842" t="n"/>
      <c r="Q249" s="784" t="n"/>
      <c r="R249" s="457">
        <f>L249*P249</f>
        <v/>
      </c>
      <c r="S249" s="773" t="n"/>
      <c r="T249" s="774" t="n"/>
      <c r="U249" s="844" t="n"/>
      <c r="V249" s="784" t="n"/>
      <c r="W249" s="845">
        <f>1-U249</f>
        <v/>
      </c>
      <c r="X249" s="774" t="n"/>
      <c r="Y249" s="846">
        <f>IFERROR(R249/$R$320,"")</f>
        <v/>
      </c>
      <c r="Z249" s="774" t="n"/>
      <c r="AA249" s="457">
        <f>R249*U249</f>
        <v/>
      </c>
      <c r="AB249" s="774" t="n"/>
      <c r="AC249" s="457">
        <f>R249*W249</f>
        <v/>
      </c>
      <c r="AD249" s="774" t="n"/>
      <c r="AE249" s="794" t="n"/>
      <c r="AF249" s="795" t="n"/>
    </row>
    <row r="250" hidden="1" ht="15" customHeight="1" s="321">
      <c r="B250" s="383" t="n"/>
      <c r="C250" s="783" t="n"/>
      <c r="D250" s="783" t="n"/>
      <c r="E250" s="783" t="n"/>
      <c r="F250" s="783" t="n"/>
      <c r="G250" s="783" t="n"/>
      <c r="H250" s="783" t="n"/>
      <c r="I250" s="783" t="n"/>
      <c r="J250" s="783" t="n"/>
      <c r="K250" s="784" t="n"/>
      <c r="L250" s="842" t="n"/>
      <c r="M250" s="784" t="n"/>
      <c r="N250" s="843" t="n"/>
      <c r="O250" s="784" t="n"/>
      <c r="P250" s="842" t="n"/>
      <c r="Q250" s="784" t="n"/>
      <c r="R250" s="457">
        <f>L250*P250</f>
        <v/>
      </c>
      <c r="S250" s="773" t="n"/>
      <c r="T250" s="774" t="n"/>
      <c r="U250" s="844" t="n"/>
      <c r="V250" s="784" t="n"/>
      <c r="W250" s="845">
        <f>1-U250</f>
        <v/>
      </c>
      <c r="X250" s="774" t="n"/>
      <c r="Y250" s="846">
        <f>IFERROR(R250/$R$320,"")</f>
        <v/>
      </c>
      <c r="Z250" s="774" t="n"/>
      <c r="AA250" s="457">
        <f>R250*U250</f>
        <v/>
      </c>
      <c r="AB250" s="774" t="n"/>
      <c r="AC250" s="457">
        <f>R250*W250</f>
        <v/>
      </c>
      <c r="AD250" s="774" t="n"/>
      <c r="AE250" s="794" t="n"/>
      <c r="AF250" s="795" t="n"/>
    </row>
    <row r="251" hidden="1" ht="15" customHeight="1" s="321">
      <c r="B251" s="383" t="n"/>
      <c r="C251" s="783" t="n"/>
      <c r="D251" s="783" t="n"/>
      <c r="E251" s="783" t="n"/>
      <c r="F251" s="783" t="n"/>
      <c r="G251" s="783" t="n"/>
      <c r="H251" s="783" t="n"/>
      <c r="I251" s="783" t="n"/>
      <c r="J251" s="783" t="n"/>
      <c r="K251" s="784" t="n"/>
      <c r="L251" s="842" t="n"/>
      <c r="M251" s="784" t="n"/>
      <c r="N251" s="843" t="n"/>
      <c r="O251" s="784" t="n"/>
      <c r="P251" s="842" t="n"/>
      <c r="Q251" s="784" t="n"/>
      <c r="R251" s="457">
        <f>L251*P251</f>
        <v/>
      </c>
      <c r="S251" s="773" t="n"/>
      <c r="T251" s="774" t="n"/>
      <c r="U251" s="844" t="n"/>
      <c r="V251" s="784" t="n"/>
      <c r="W251" s="845">
        <f>1-U251</f>
        <v/>
      </c>
      <c r="X251" s="774" t="n"/>
      <c r="Y251" s="846">
        <f>IFERROR(R251/$R$320,"")</f>
        <v/>
      </c>
      <c r="Z251" s="774" t="n"/>
      <c r="AA251" s="457">
        <f>R251*U251</f>
        <v/>
      </c>
      <c r="AB251" s="774" t="n"/>
      <c r="AC251" s="457">
        <f>R251*W251</f>
        <v/>
      </c>
      <c r="AD251" s="774" t="n"/>
      <c r="AE251" s="818" t="n"/>
      <c r="AF251" s="849" t="n"/>
    </row>
    <row r="252" ht="15" customHeight="1" s="321">
      <c r="B252" s="381" t="inlineStr">
        <is>
          <t>c) İşletme Malzemesi Kullanımı</t>
        </is>
      </c>
      <c r="C252" s="773" t="n"/>
      <c r="D252" s="773" t="n"/>
      <c r="E252" s="773" t="n"/>
      <c r="F252" s="773" t="n"/>
      <c r="G252" s="773" t="n"/>
      <c r="H252" s="773" t="n"/>
      <c r="I252" s="773" t="n"/>
      <c r="J252" s="773" t="n"/>
      <c r="K252" s="774" t="n"/>
      <c r="L252" s="836" t="n">
        <v>1</v>
      </c>
      <c r="M252" s="774" t="n"/>
      <c r="N252" s="837" t="n"/>
      <c r="O252" s="774" t="n"/>
      <c r="P252" s="836">
        <f>SUM(R253:T277)</f>
        <v/>
      </c>
      <c r="Q252" s="774" t="n"/>
      <c r="R252" s="838">
        <f>L252*P252</f>
        <v/>
      </c>
      <c r="S252" s="773" t="n"/>
      <c r="T252" s="774" t="n"/>
      <c r="U252" s="839">
        <f>IFERROR(SUM(AA253:AB277)/SUM(AA253:AD277),0)</f>
        <v/>
      </c>
      <c r="V252" s="774" t="n"/>
      <c r="W252" s="839">
        <f>1-U252</f>
        <v/>
      </c>
      <c r="X252" s="774" t="n"/>
      <c r="Y252" s="840">
        <f>IFERROR(R252/$R$320,"")</f>
        <v/>
      </c>
      <c r="Z252" s="774" t="n"/>
      <c r="AA252" s="838">
        <f>R252*U252</f>
        <v/>
      </c>
      <c r="AB252" s="774" t="n"/>
      <c r="AC252" s="838">
        <f>R252*W252</f>
        <v/>
      </c>
      <c r="AD252" s="774" t="n"/>
      <c r="AE252" s="841">
        <f>IFERROR(R252/$R$320,"")</f>
        <v/>
      </c>
      <c r="AF252" s="835" t="n"/>
    </row>
    <row r="253" ht="15" customHeight="1" s="321">
      <c r="B253" s="383" t="n"/>
      <c r="C253" s="783" t="n"/>
      <c r="D253" s="783" t="n"/>
      <c r="E253" s="783" t="n"/>
      <c r="F253" s="783" t="n"/>
      <c r="G253" s="783" t="n"/>
      <c r="H253" s="783" t="n"/>
      <c r="I253" s="783" t="n"/>
      <c r="J253" s="783" t="n"/>
      <c r="K253" s="784" t="n"/>
      <c r="L253" s="842" t="n"/>
      <c r="M253" s="784" t="n"/>
      <c r="N253" s="843" t="n"/>
      <c r="O253" s="784" t="n"/>
      <c r="P253" s="842" t="n"/>
      <c r="Q253" s="784" t="n"/>
      <c r="R253" s="457">
        <f>L253*P253</f>
        <v/>
      </c>
      <c r="S253" s="773" t="n"/>
      <c r="T253" s="774" t="n"/>
      <c r="U253" s="844" t="n"/>
      <c r="V253" s="784" t="n"/>
      <c r="W253" s="845">
        <f>1-U253</f>
        <v/>
      </c>
      <c r="X253" s="774" t="n"/>
      <c r="Y253" s="846">
        <f>IFERROR(R253/$R$320,"")</f>
        <v/>
      </c>
      <c r="Z253" s="774" t="n"/>
      <c r="AA253" s="457">
        <f>R253*U253</f>
        <v/>
      </c>
      <c r="AB253" s="774" t="n"/>
      <c r="AC253" s="457">
        <f>R253*W253</f>
        <v/>
      </c>
      <c r="AD253" s="774" t="n"/>
      <c r="AE253" s="847" t="n"/>
      <c r="AF253" s="848" t="n"/>
    </row>
    <row r="254" hidden="1" ht="15" customHeight="1" s="321">
      <c r="B254" s="383" t="n"/>
      <c r="C254" s="783" t="n"/>
      <c r="D254" s="783" t="n"/>
      <c r="E254" s="783" t="n"/>
      <c r="F254" s="783" t="n"/>
      <c r="G254" s="783" t="n"/>
      <c r="H254" s="783" t="n"/>
      <c r="I254" s="783" t="n"/>
      <c r="J254" s="783" t="n"/>
      <c r="K254" s="784" t="n"/>
      <c r="L254" s="842" t="n"/>
      <c r="M254" s="784" t="n"/>
      <c r="N254" s="843" t="n"/>
      <c r="O254" s="784" t="n"/>
      <c r="P254" s="842" t="n"/>
      <c r="Q254" s="784" t="n"/>
      <c r="R254" s="457">
        <f>L254*P254</f>
        <v/>
      </c>
      <c r="S254" s="773" t="n"/>
      <c r="T254" s="774" t="n"/>
      <c r="U254" s="844" t="n"/>
      <c r="V254" s="784" t="n"/>
      <c r="W254" s="845">
        <f>1-U254</f>
        <v/>
      </c>
      <c r="X254" s="774" t="n"/>
      <c r="Y254" s="846">
        <f>IFERROR(R254/$R$320,"")</f>
        <v/>
      </c>
      <c r="Z254" s="774" t="n"/>
      <c r="AA254" s="457">
        <f>R254*U254</f>
        <v/>
      </c>
      <c r="AB254" s="774" t="n"/>
      <c r="AC254" s="457">
        <f>R254*W254</f>
        <v/>
      </c>
      <c r="AD254" s="774" t="n"/>
      <c r="AE254" s="794" t="n"/>
      <c r="AF254" s="795" t="n"/>
    </row>
    <row r="255" hidden="1" ht="15" customHeight="1" s="321">
      <c r="B255" s="383" t="n"/>
      <c r="C255" s="783" t="n"/>
      <c r="D255" s="783" t="n"/>
      <c r="E255" s="783" t="n"/>
      <c r="F255" s="783" t="n"/>
      <c r="G255" s="783" t="n"/>
      <c r="H255" s="783" t="n"/>
      <c r="I255" s="783" t="n"/>
      <c r="J255" s="783" t="n"/>
      <c r="K255" s="784" t="n"/>
      <c r="L255" s="842" t="n"/>
      <c r="M255" s="784" t="n"/>
      <c r="N255" s="843" t="n"/>
      <c r="O255" s="784" t="n"/>
      <c r="P255" s="842" t="n"/>
      <c r="Q255" s="784" t="n"/>
      <c r="R255" s="457">
        <f>L255*P255</f>
        <v/>
      </c>
      <c r="S255" s="773" t="n"/>
      <c r="T255" s="774" t="n"/>
      <c r="U255" s="844" t="n"/>
      <c r="V255" s="784" t="n"/>
      <c r="W255" s="845">
        <f>1-U255</f>
        <v/>
      </c>
      <c r="X255" s="774" t="n"/>
      <c r="Y255" s="846">
        <f>IFERROR(R255/$R$320,"")</f>
        <v/>
      </c>
      <c r="Z255" s="774" t="n"/>
      <c r="AA255" s="457">
        <f>R255*U255</f>
        <v/>
      </c>
      <c r="AB255" s="774" t="n"/>
      <c r="AC255" s="457">
        <f>R255*W255</f>
        <v/>
      </c>
      <c r="AD255" s="774" t="n"/>
      <c r="AE255" s="794" t="n"/>
      <c r="AF255" s="795" t="n"/>
    </row>
    <row r="256" hidden="1" ht="15" customHeight="1" s="321">
      <c r="B256" s="383" t="n"/>
      <c r="C256" s="783" t="n"/>
      <c r="D256" s="783" t="n"/>
      <c r="E256" s="783" t="n"/>
      <c r="F256" s="783" t="n"/>
      <c r="G256" s="783" t="n"/>
      <c r="H256" s="783" t="n"/>
      <c r="I256" s="783" t="n"/>
      <c r="J256" s="783" t="n"/>
      <c r="K256" s="784" t="n"/>
      <c r="L256" s="842" t="n"/>
      <c r="M256" s="784" t="n"/>
      <c r="N256" s="843" t="n"/>
      <c r="O256" s="784" t="n"/>
      <c r="P256" s="842" t="n"/>
      <c r="Q256" s="784" t="n"/>
      <c r="R256" s="457">
        <f>L256*P256</f>
        <v/>
      </c>
      <c r="S256" s="773" t="n"/>
      <c r="T256" s="774" t="n"/>
      <c r="U256" s="844" t="n"/>
      <c r="V256" s="784" t="n"/>
      <c r="W256" s="845">
        <f>1-U256</f>
        <v/>
      </c>
      <c r="X256" s="774" t="n"/>
      <c r="Y256" s="846">
        <f>IFERROR(R256/$R$320,"")</f>
        <v/>
      </c>
      <c r="Z256" s="774" t="n"/>
      <c r="AA256" s="457">
        <f>R256*U256</f>
        <v/>
      </c>
      <c r="AB256" s="774" t="n"/>
      <c r="AC256" s="457">
        <f>R256*W256</f>
        <v/>
      </c>
      <c r="AD256" s="774" t="n"/>
      <c r="AE256" s="794" t="n"/>
      <c r="AF256" s="795" t="n"/>
    </row>
    <row r="257" hidden="1" ht="15" customHeight="1" s="321">
      <c r="B257" s="383" t="n"/>
      <c r="C257" s="783" t="n"/>
      <c r="D257" s="783" t="n"/>
      <c r="E257" s="783" t="n"/>
      <c r="F257" s="783" t="n"/>
      <c r="G257" s="783" t="n"/>
      <c r="H257" s="783" t="n"/>
      <c r="I257" s="783" t="n"/>
      <c r="J257" s="783" t="n"/>
      <c r="K257" s="784" t="n"/>
      <c r="L257" s="842" t="n"/>
      <c r="M257" s="784" t="n"/>
      <c r="N257" s="843" t="n"/>
      <c r="O257" s="784" t="n"/>
      <c r="P257" s="842" t="n"/>
      <c r="Q257" s="784" t="n"/>
      <c r="R257" s="457">
        <f>L257*P257</f>
        <v/>
      </c>
      <c r="S257" s="773" t="n"/>
      <c r="T257" s="774" t="n"/>
      <c r="U257" s="844" t="n"/>
      <c r="V257" s="784" t="n"/>
      <c r="W257" s="845">
        <f>1-U257</f>
        <v/>
      </c>
      <c r="X257" s="774" t="n"/>
      <c r="Y257" s="846">
        <f>IFERROR(R257/$R$320,"")</f>
        <v/>
      </c>
      <c r="Z257" s="774" t="n"/>
      <c r="AA257" s="457">
        <f>R257*U257</f>
        <v/>
      </c>
      <c r="AB257" s="774" t="n"/>
      <c r="AC257" s="457">
        <f>R257*W257</f>
        <v/>
      </c>
      <c r="AD257" s="774" t="n"/>
      <c r="AE257" s="794" t="n"/>
      <c r="AF257" s="795" t="n"/>
    </row>
    <row r="258" hidden="1" ht="15" customHeight="1" s="321">
      <c r="B258" s="383" t="n"/>
      <c r="C258" s="783" t="n"/>
      <c r="D258" s="783" t="n"/>
      <c r="E258" s="783" t="n"/>
      <c r="F258" s="783" t="n"/>
      <c r="G258" s="783" t="n"/>
      <c r="H258" s="783" t="n"/>
      <c r="I258" s="783" t="n"/>
      <c r="J258" s="783" t="n"/>
      <c r="K258" s="784" t="n"/>
      <c r="L258" s="842" t="n"/>
      <c r="M258" s="784" t="n"/>
      <c r="N258" s="843" t="n"/>
      <c r="O258" s="784" t="n"/>
      <c r="P258" s="842" t="n"/>
      <c r="Q258" s="784" t="n"/>
      <c r="R258" s="457">
        <f>L258*P258</f>
        <v/>
      </c>
      <c r="S258" s="773" t="n"/>
      <c r="T258" s="774" t="n"/>
      <c r="U258" s="844" t="n"/>
      <c r="V258" s="784" t="n"/>
      <c r="W258" s="845">
        <f>1-U258</f>
        <v/>
      </c>
      <c r="X258" s="774" t="n"/>
      <c r="Y258" s="846">
        <f>IFERROR(R258/$R$320,"")</f>
        <v/>
      </c>
      <c r="Z258" s="774" t="n"/>
      <c r="AA258" s="457">
        <f>R258*U258</f>
        <v/>
      </c>
      <c r="AB258" s="774" t="n"/>
      <c r="AC258" s="457">
        <f>R258*W258</f>
        <v/>
      </c>
      <c r="AD258" s="774" t="n"/>
      <c r="AE258" s="794" t="n"/>
      <c r="AF258" s="795" t="n"/>
    </row>
    <row r="259" hidden="1" ht="15" customHeight="1" s="321">
      <c r="B259" s="383" t="n"/>
      <c r="C259" s="783" t="n"/>
      <c r="D259" s="783" t="n"/>
      <c r="E259" s="783" t="n"/>
      <c r="F259" s="783" t="n"/>
      <c r="G259" s="783" t="n"/>
      <c r="H259" s="783" t="n"/>
      <c r="I259" s="783" t="n"/>
      <c r="J259" s="783" t="n"/>
      <c r="K259" s="784" t="n"/>
      <c r="L259" s="842" t="n"/>
      <c r="M259" s="784" t="n"/>
      <c r="N259" s="843" t="n"/>
      <c r="O259" s="784" t="n"/>
      <c r="P259" s="842" t="n"/>
      <c r="Q259" s="784" t="n"/>
      <c r="R259" s="457">
        <f>L259*P259</f>
        <v/>
      </c>
      <c r="S259" s="773" t="n"/>
      <c r="T259" s="774" t="n"/>
      <c r="U259" s="844" t="n"/>
      <c r="V259" s="784" t="n"/>
      <c r="W259" s="845">
        <f>1-U259</f>
        <v/>
      </c>
      <c r="X259" s="774" t="n"/>
      <c r="Y259" s="846">
        <f>IFERROR(R259/$R$320,"")</f>
        <v/>
      </c>
      <c r="Z259" s="774" t="n"/>
      <c r="AA259" s="457">
        <f>R259*U259</f>
        <v/>
      </c>
      <c r="AB259" s="774" t="n"/>
      <c r="AC259" s="457">
        <f>R259*W259</f>
        <v/>
      </c>
      <c r="AD259" s="774" t="n"/>
      <c r="AE259" s="794" t="n"/>
      <c r="AF259" s="795" t="n"/>
    </row>
    <row r="260" hidden="1" ht="15" customHeight="1" s="321">
      <c r="B260" s="383" t="n"/>
      <c r="C260" s="783" t="n"/>
      <c r="D260" s="783" t="n"/>
      <c r="E260" s="783" t="n"/>
      <c r="F260" s="783" t="n"/>
      <c r="G260" s="783" t="n"/>
      <c r="H260" s="783" t="n"/>
      <c r="I260" s="783" t="n"/>
      <c r="J260" s="783" t="n"/>
      <c r="K260" s="784" t="n"/>
      <c r="L260" s="842" t="n"/>
      <c r="M260" s="784" t="n"/>
      <c r="N260" s="843" t="n"/>
      <c r="O260" s="784" t="n"/>
      <c r="P260" s="842" t="n"/>
      <c r="Q260" s="784" t="n"/>
      <c r="R260" s="457">
        <f>L260*P260</f>
        <v/>
      </c>
      <c r="S260" s="773" t="n"/>
      <c r="T260" s="774" t="n"/>
      <c r="U260" s="844" t="n"/>
      <c r="V260" s="784" t="n"/>
      <c r="W260" s="845">
        <f>1-U260</f>
        <v/>
      </c>
      <c r="X260" s="774" t="n"/>
      <c r="Y260" s="846">
        <f>IFERROR(R260/$R$320,"")</f>
        <v/>
      </c>
      <c r="Z260" s="774" t="n"/>
      <c r="AA260" s="457">
        <f>R260*U260</f>
        <v/>
      </c>
      <c r="AB260" s="774" t="n"/>
      <c r="AC260" s="457">
        <f>R260*W260</f>
        <v/>
      </c>
      <c r="AD260" s="774" t="n"/>
      <c r="AE260" s="794" t="n"/>
      <c r="AF260" s="795" t="n"/>
    </row>
    <row r="261" hidden="1" ht="15" customHeight="1" s="321">
      <c r="B261" s="383" t="n"/>
      <c r="C261" s="783" t="n"/>
      <c r="D261" s="783" t="n"/>
      <c r="E261" s="783" t="n"/>
      <c r="F261" s="783" t="n"/>
      <c r="G261" s="783" t="n"/>
      <c r="H261" s="783" t="n"/>
      <c r="I261" s="783" t="n"/>
      <c r="J261" s="783" t="n"/>
      <c r="K261" s="784" t="n"/>
      <c r="L261" s="842" t="n"/>
      <c r="M261" s="784" t="n"/>
      <c r="N261" s="843" t="n"/>
      <c r="O261" s="784" t="n"/>
      <c r="P261" s="842" t="n"/>
      <c r="Q261" s="784" t="n"/>
      <c r="R261" s="457">
        <f>L261*P261</f>
        <v/>
      </c>
      <c r="S261" s="773" t="n"/>
      <c r="T261" s="774" t="n"/>
      <c r="U261" s="844" t="n"/>
      <c r="V261" s="784" t="n"/>
      <c r="W261" s="845">
        <f>1-U261</f>
        <v/>
      </c>
      <c r="X261" s="774" t="n"/>
      <c r="Y261" s="846">
        <f>IFERROR(R261/$R$320,"")</f>
        <v/>
      </c>
      <c r="Z261" s="774" t="n"/>
      <c r="AA261" s="457">
        <f>R261*U261</f>
        <v/>
      </c>
      <c r="AB261" s="774" t="n"/>
      <c r="AC261" s="457">
        <f>R261*W261</f>
        <v/>
      </c>
      <c r="AD261" s="774" t="n"/>
      <c r="AE261" s="794" t="n"/>
      <c r="AF261" s="795" t="n"/>
    </row>
    <row r="262" hidden="1" ht="15" customHeight="1" s="321">
      <c r="B262" s="383" t="n"/>
      <c r="C262" s="783" t="n"/>
      <c r="D262" s="783" t="n"/>
      <c r="E262" s="783" t="n"/>
      <c r="F262" s="783" t="n"/>
      <c r="G262" s="783" t="n"/>
      <c r="H262" s="783" t="n"/>
      <c r="I262" s="783" t="n"/>
      <c r="J262" s="783" t="n"/>
      <c r="K262" s="784" t="n"/>
      <c r="L262" s="842" t="n"/>
      <c r="M262" s="784" t="n"/>
      <c r="N262" s="843" t="n"/>
      <c r="O262" s="784" t="n"/>
      <c r="P262" s="842" t="n"/>
      <c r="Q262" s="784" t="n"/>
      <c r="R262" s="457">
        <f>L262*P262</f>
        <v/>
      </c>
      <c r="S262" s="773" t="n"/>
      <c r="T262" s="774" t="n"/>
      <c r="U262" s="844" t="n"/>
      <c r="V262" s="784" t="n"/>
      <c r="W262" s="845">
        <f>1-U262</f>
        <v/>
      </c>
      <c r="X262" s="774" t="n"/>
      <c r="Y262" s="846">
        <f>IFERROR(R262/$R$320,"")</f>
        <v/>
      </c>
      <c r="Z262" s="774" t="n"/>
      <c r="AA262" s="457">
        <f>R262*U262</f>
        <v/>
      </c>
      <c r="AB262" s="774" t="n"/>
      <c r="AC262" s="457">
        <f>R262*W262</f>
        <v/>
      </c>
      <c r="AD262" s="774" t="n"/>
      <c r="AE262" s="794" t="n"/>
      <c r="AF262" s="795" t="n"/>
    </row>
    <row r="263" hidden="1" ht="15" customHeight="1" s="321">
      <c r="B263" s="383" t="n"/>
      <c r="C263" s="783" t="n"/>
      <c r="D263" s="783" t="n"/>
      <c r="E263" s="783" t="n"/>
      <c r="F263" s="783" t="n"/>
      <c r="G263" s="783" t="n"/>
      <c r="H263" s="783" t="n"/>
      <c r="I263" s="783" t="n"/>
      <c r="J263" s="783" t="n"/>
      <c r="K263" s="784" t="n"/>
      <c r="L263" s="842" t="n"/>
      <c r="M263" s="784" t="n"/>
      <c r="N263" s="843" t="n"/>
      <c r="O263" s="784" t="n"/>
      <c r="P263" s="842" t="n"/>
      <c r="Q263" s="784" t="n"/>
      <c r="R263" s="457">
        <f>L263*P263</f>
        <v/>
      </c>
      <c r="S263" s="773" t="n"/>
      <c r="T263" s="774" t="n"/>
      <c r="U263" s="844" t="n"/>
      <c r="V263" s="784" t="n"/>
      <c r="W263" s="845">
        <f>1-U263</f>
        <v/>
      </c>
      <c r="X263" s="774" t="n"/>
      <c r="Y263" s="846">
        <f>IFERROR(R263/$R$320,"")</f>
        <v/>
      </c>
      <c r="Z263" s="774" t="n"/>
      <c r="AA263" s="457">
        <f>R263*U263</f>
        <v/>
      </c>
      <c r="AB263" s="774" t="n"/>
      <c r="AC263" s="457">
        <f>R263*W263</f>
        <v/>
      </c>
      <c r="AD263" s="774" t="n"/>
      <c r="AE263" s="794" t="n"/>
      <c r="AF263" s="795" t="n"/>
    </row>
    <row r="264" hidden="1" ht="15" customHeight="1" s="321">
      <c r="B264" s="383" t="n"/>
      <c r="C264" s="783" t="n"/>
      <c r="D264" s="783" t="n"/>
      <c r="E264" s="783" t="n"/>
      <c r="F264" s="783" t="n"/>
      <c r="G264" s="783" t="n"/>
      <c r="H264" s="783" t="n"/>
      <c r="I264" s="783" t="n"/>
      <c r="J264" s="783" t="n"/>
      <c r="K264" s="784" t="n"/>
      <c r="L264" s="842" t="n"/>
      <c r="M264" s="784" t="n"/>
      <c r="N264" s="843" t="n"/>
      <c r="O264" s="784" t="n"/>
      <c r="P264" s="842" t="n"/>
      <c r="Q264" s="784" t="n"/>
      <c r="R264" s="457">
        <f>L264*P264</f>
        <v/>
      </c>
      <c r="S264" s="773" t="n"/>
      <c r="T264" s="774" t="n"/>
      <c r="U264" s="844" t="n"/>
      <c r="V264" s="784" t="n"/>
      <c r="W264" s="845">
        <f>1-U264</f>
        <v/>
      </c>
      <c r="X264" s="774" t="n"/>
      <c r="Y264" s="846">
        <f>IFERROR(R264/$R$320,"")</f>
        <v/>
      </c>
      <c r="Z264" s="774" t="n"/>
      <c r="AA264" s="457">
        <f>R264*U264</f>
        <v/>
      </c>
      <c r="AB264" s="774" t="n"/>
      <c r="AC264" s="457">
        <f>R264*W264</f>
        <v/>
      </c>
      <c r="AD264" s="774" t="n"/>
      <c r="AE264" s="794" t="n"/>
      <c r="AF264" s="795" t="n"/>
    </row>
    <row r="265" hidden="1" ht="15" customHeight="1" s="321">
      <c r="B265" s="383" t="n"/>
      <c r="C265" s="783" t="n"/>
      <c r="D265" s="783" t="n"/>
      <c r="E265" s="783" t="n"/>
      <c r="F265" s="783" t="n"/>
      <c r="G265" s="783" t="n"/>
      <c r="H265" s="783" t="n"/>
      <c r="I265" s="783" t="n"/>
      <c r="J265" s="783" t="n"/>
      <c r="K265" s="784" t="n"/>
      <c r="L265" s="842" t="n"/>
      <c r="M265" s="784" t="n"/>
      <c r="N265" s="843" t="n"/>
      <c r="O265" s="784" t="n"/>
      <c r="P265" s="842" t="n"/>
      <c r="Q265" s="784" t="n"/>
      <c r="R265" s="457">
        <f>L265*P265</f>
        <v/>
      </c>
      <c r="S265" s="773" t="n"/>
      <c r="T265" s="774" t="n"/>
      <c r="U265" s="844" t="n"/>
      <c r="V265" s="784" t="n"/>
      <c r="W265" s="845">
        <f>1-U265</f>
        <v/>
      </c>
      <c r="X265" s="774" t="n"/>
      <c r="Y265" s="846">
        <f>IFERROR(R265/$R$320,"")</f>
        <v/>
      </c>
      <c r="Z265" s="774" t="n"/>
      <c r="AA265" s="457">
        <f>R265*U265</f>
        <v/>
      </c>
      <c r="AB265" s="774" t="n"/>
      <c r="AC265" s="457">
        <f>R265*W265</f>
        <v/>
      </c>
      <c r="AD265" s="774" t="n"/>
      <c r="AE265" s="794" t="n"/>
      <c r="AF265" s="795" t="n"/>
    </row>
    <row r="266" hidden="1" ht="15" customHeight="1" s="321">
      <c r="B266" s="383" t="n"/>
      <c r="C266" s="783" t="n"/>
      <c r="D266" s="783" t="n"/>
      <c r="E266" s="783" t="n"/>
      <c r="F266" s="783" t="n"/>
      <c r="G266" s="783" t="n"/>
      <c r="H266" s="783" t="n"/>
      <c r="I266" s="783" t="n"/>
      <c r="J266" s="783" t="n"/>
      <c r="K266" s="784" t="n"/>
      <c r="L266" s="842" t="n"/>
      <c r="M266" s="784" t="n"/>
      <c r="N266" s="843" t="n"/>
      <c r="O266" s="784" t="n"/>
      <c r="P266" s="842" t="n"/>
      <c r="Q266" s="784" t="n"/>
      <c r="R266" s="457">
        <f>L266*P266</f>
        <v/>
      </c>
      <c r="S266" s="773" t="n"/>
      <c r="T266" s="774" t="n"/>
      <c r="U266" s="844" t="n"/>
      <c r="V266" s="784" t="n"/>
      <c r="W266" s="845">
        <f>1-U266</f>
        <v/>
      </c>
      <c r="X266" s="774" t="n"/>
      <c r="Y266" s="846">
        <f>IFERROR(R266/$R$320,"")</f>
        <v/>
      </c>
      <c r="Z266" s="774" t="n"/>
      <c r="AA266" s="457">
        <f>R266*U266</f>
        <v/>
      </c>
      <c r="AB266" s="774" t="n"/>
      <c r="AC266" s="457">
        <f>R266*W266</f>
        <v/>
      </c>
      <c r="AD266" s="774" t="n"/>
      <c r="AE266" s="794" t="n"/>
      <c r="AF266" s="795" t="n"/>
    </row>
    <row r="267" hidden="1" ht="15" customHeight="1" s="321">
      <c r="B267" s="383" t="n"/>
      <c r="C267" s="783" t="n"/>
      <c r="D267" s="783" t="n"/>
      <c r="E267" s="783" t="n"/>
      <c r="F267" s="783" t="n"/>
      <c r="G267" s="783" t="n"/>
      <c r="H267" s="783" t="n"/>
      <c r="I267" s="783" t="n"/>
      <c r="J267" s="783" t="n"/>
      <c r="K267" s="784" t="n"/>
      <c r="L267" s="842" t="n"/>
      <c r="M267" s="784" t="n"/>
      <c r="N267" s="843" t="n"/>
      <c r="O267" s="784" t="n"/>
      <c r="P267" s="842" t="n"/>
      <c r="Q267" s="784" t="n"/>
      <c r="R267" s="457">
        <f>L267*P267</f>
        <v/>
      </c>
      <c r="S267" s="773" t="n"/>
      <c r="T267" s="774" t="n"/>
      <c r="U267" s="844" t="n"/>
      <c r="V267" s="784" t="n"/>
      <c r="W267" s="845">
        <f>1-U267</f>
        <v/>
      </c>
      <c r="X267" s="774" t="n"/>
      <c r="Y267" s="846">
        <f>IFERROR(R267/$R$320,"")</f>
        <v/>
      </c>
      <c r="Z267" s="774" t="n"/>
      <c r="AA267" s="457">
        <f>R267*U267</f>
        <v/>
      </c>
      <c r="AB267" s="774" t="n"/>
      <c r="AC267" s="457">
        <f>R267*W267</f>
        <v/>
      </c>
      <c r="AD267" s="774" t="n"/>
      <c r="AE267" s="794" t="n"/>
      <c r="AF267" s="795" t="n"/>
    </row>
    <row r="268" hidden="1" ht="15" customHeight="1" s="321">
      <c r="B268" s="383" t="n"/>
      <c r="C268" s="783" t="n"/>
      <c r="D268" s="783" t="n"/>
      <c r="E268" s="783" t="n"/>
      <c r="F268" s="783" t="n"/>
      <c r="G268" s="783" t="n"/>
      <c r="H268" s="783" t="n"/>
      <c r="I268" s="783" t="n"/>
      <c r="J268" s="783" t="n"/>
      <c r="K268" s="784" t="n"/>
      <c r="L268" s="842" t="n"/>
      <c r="M268" s="784" t="n"/>
      <c r="N268" s="843" t="n"/>
      <c r="O268" s="784" t="n"/>
      <c r="P268" s="842" t="n"/>
      <c r="Q268" s="784" t="n"/>
      <c r="R268" s="457">
        <f>L268*P268</f>
        <v/>
      </c>
      <c r="S268" s="773" t="n"/>
      <c r="T268" s="774" t="n"/>
      <c r="U268" s="844" t="n"/>
      <c r="V268" s="784" t="n"/>
      <c r="W268" s="845">
        <f>1-U268</f>
        <v/>
      </c>
      <c r="X268" s="774" t="n"/>
      <c r="Y268" s="846">
        <f>IFERROR(R268/$R$320,"")</f>
        <v/>
      </c>
      <c r="Z268" s="774" t="n"/>
      <c r="AA268" s="457">
        <f>R268*U268</f>
        <v/>
      </c>
      <c r="AB268" s="774" t="n"/>
      <c r="AC268" s="457">
        <f>R268*W268</f>
        <v/>
      </c>
      <c r="AD268" s="774" t="n"/>
      <c r="AE268" s="794" t="n"/>
      <c r="AF268" s="795" t="n"/>
    </row>
    <row r="269" hidden="1" ht="15" customHeight="1" s="321">
      <c r="B269" s="383" t="n"/>
      <c r="C269" s="783" t="n"/>
      <c r="D269" s="783" t="n"/>
      <c r="E269" s="783" t="n"/>
      <c r="F269" s="783" t="n"/>
      <c r="G269" s="783" t="n"/>
      <c r="H269" s="783" t="n"/>
      <c r="I269" s="783" t="n"/>
      <c r="J269" s="783" t="n"/>
      <c r="K269" s="784" t="n"/>
      <c r="L269" s="842" t="n"/>
      <c r="M269" s="784" t="n"/>
      <c r="N269" s="843" t="n"/>
      <c r="O269" s="784" t="n"/>
      <c r="P269" s="842" t="n"/>
      <c r="Q269" s="784" t="n"/>
      <c r="R269" s="457">
        <f>L269*P269</f>
        <v/>
      </c>
      <c r="S269" s="773" t="n"/>
      <c r="T269" s="774" t="n"/>
      <c r="U269" s="844" t="n"/>
      <c r="V269" s="784" t="n"/>
      <c r="W269" s="845">
        <f>1-U269</f>
        <v/>
      </c>
      <c r="X269" s="774" t="n"/>
      <c r="Y269" s="846">
        <f>IFERROR(R269/$R$320,"")</f>
        <v/>
      </c>
      <c r="Z269" s="774" t="n"/>
      <c r="AA269" s="457">
        <f>R269*U269</f>
        <v/>
      </c>
      <c r="AB269" s="774" t="n"/>
      <c r="AC269" s="457">
        <f>R269*W269</f>
        <v/>
      </c>
      <c r="AD269" s="774" t="n"/>
      <c r="AE269" s="794" t="n"/>
      <c r="AF269" s="795" t="n"/>
    </row>
    <row r="270" hidden="1" ht="15" customHeight="1" s="321">
      <c r="B270" s="383" t="n"/>
      <c r="C270" s="783" t="n"/>
      <c r="D270" s="783" t="n"/>
      <c r="E270" s="783" t="n"/>
      <c r="F270" s="783" t="n"/>
      <c r="G270" s="783" t="n"/>
      <c r="H270" s="783" t="n"/>
      <c r="I270" s="783" t="n"/>
      <c r="J270" s="783" t="n"/>
      <c r="K270" s="784" t="n"/>
      <c r="L270" s="842" t="n"/>
      <c r="M270" s="784" t="n"/>
      <c r="N270" s="843" t="n"/>
      <c r="O270" s="784" t="n"/>
      <c r="P270" s="842" t="n"/>
      <c r="Q270" s="784" t="n"/>
      <c r="R270" s="457">
        <f>L270*P270</f>
        <v/>
      </c>
      <c r="S270" s="773" t="n"/>
      <c r="T270" s="774" t="n"/>
      <c r="U270" s="844" t="n"/>
      <c r="V270" s="784" t="n"/>
      <c r="W270" s="845">
        <f>1-U270</f>
        <v/>
      </c>
      <c r="X270" s="774" t="n"/>
      <c r="Y270" s="846">
        <f>IFERROR(R270/$R$320,"")</f>
        <v/>
      </c>
      <c r="Z270" s="774" t="n"/>
      <c r="AA270" s="457">
        <f>R270*U270</f>
        <v/>
      </c>
      <c r="AB270" s="774" t="n"/>
      <c r="AC270" s="457">
        <f>R270*W270</f>
        <v/>
      </c>
      <c r="AD270" s="774" t="n"/>
      <c r="AE270" s="794" t="n"/>
      <c r="AF270" s="795" t="n"/>
    </row>
    <row r="271" hidden="1" ht="15" customHeight="1" s="321">
      <c r="B271" s="383" t="n"/>
      <c r="C271" s="783" t="n"/>
      <c r="D271" s="783" t="n"/>
      <c r="E271" s="783" t="n"/>
      <c r="F271" s="783" t="n"/>
      <c r="G271" s="783" t="n"/>
      <c r="H271" s="783" t="n"/>
      <c r="I271" s="783" t="n"/>
      <c r="J271" s="783" t="n"/>
      <c r="K271" s="784" t="n"/>
      <c r="L271" s="842" t="n"/>
      <c r="M271" s="784" t="n"/>
      <c r="N271" s="843" t="n"/>
      <c r="O271" s="784" t="n"/>
      <c r="P271" s="842" t="n"/>
      <c r="Q271" s="784" t="n"/>
      <c r="R271" s="457">
        <f>L271*P271</f>
        <v/>
      </c>
      <c r="S271" s="773" t="n"/>
      <c r="T271" s="774" t="n"/>
      <c r="U271" s="844" t="n"/>
      <c r="V271" s="784" t="n"/>
      <c r="W271" s="845">
        <f>1-U271</f>
        <v/>
      </c>
      <c r="X271" s="774" t="n"/>
      <c r="Y271" s="846">
        <f>IFERROR(R271/$R$320,"")</f>
        <v/>
      </c>
      <c r="Z271" s="774" t="n"/>
      <c r="AA271" s="457">
        <f>R271*U271</f>
        <v/>
      </c>
      <c r="AB271" s="774" t="n"/>
      <c r="AC271" s="457">
        <f>R271*W271</f>
        <v/>
      </c>
      <c r="AD271" s="774" t="n"/>
      <c r="AE271" s="794" t="n"/>
      <c r="AF271" s="795" t="n"/>
    </row>
    <row r="272" hidden="1" ht="15" customHeight="1" s="321">
      <c r="B272" s="383" t="n"/>
      <c r="C272" s="783" t="n"/>
      <c r="D272" s="783" t="n"/>
      <c r="E272" s="783" t="n"/>
      <c r="F272" s="783" t="n"/>
      <c r="G272" s="783" t="n"/>
      <c r="H272" s="783" t="n"/>
      <c r="I272" s="783" t="n"/>
      <c r="J272" s="783" t="n"/>
      <c r="K272" s="784" t="n"/>
      <c r="L272" s="842" t="n"/>
      <c r="M272" s="784" t="n"/>
      <c r="N272" s="843" t="n"/>
      <c r="O272" s="784" t="n"/>
      <c r="P272" s="842" t="n"/>
      <c r="Q272" s="784" t="n"/>
      <c r="R272" s="457">
        <f>L272*P272</f>
        <v/>
      </c>
      <c r="S272" s="773" t="n"/>
      <c r="T272" s="774" t="n"/>
      <c r="U272" s="844" t="n"/>
      <c r="V272" s="784" t="n"/>
      <c r="W272" s="845">
        <f>1-U272</f>
        <v/>
      </c>
      <c r="X272" s="774" t="n"/>
      <c r="Y272" s="846">
        <f>IFERROR(R272/$R$320,"")</f>
        <v/>
      </c>
      <c r="Z272" s="774" t="n"/>
      <c r="AA272" s="457">
        <f>R272*U272</f>
        <v/>
      </c>
      <c r="AB272" s="774" t="n"/>
      <c r="AC272" s="457">
        <f>R272*W272</f>
        <v/>
      </c>
      <c r="AD272" s="774" t="n"/>
      <c r="AE272" s="794" t="n"/>
      <c r="AF272" s="795" t="n"/>
    </row>
    <row r="273" hidden="1" ht="15" customHeight="1" s="321">
      <c r="B273" s="383" t="n"/>
      <c r="C273" s="783" t="n"/>
      <c r="D273" s="783" t="n"/>
      <c r="E273" s="783" t="n"/>
      <c r="F273" s="783" t="n"/>
      <c r="G273" s="783" t="n"/>
      <c r="H273" s="783" t="n"/>
      <c r="I273" s="783" t="n"/>
      <c r="J273" s="783" t="n"/>
      <c r="K273" s="784" t="n"/>
      <c r="L273" s="842" t="n"/>
      <c r="M273" s="784" t="n"/>
      <c r="N273" s="843" t="n"/>
      <c r="O273" s="784" t="n"/>
      <c r="P273" s="842" t="n"/>
      <c r="Q273" s="784" t="n"/>
      <c r="R273" s="457">
        <f>L273*P273</f>
        <v/>
      </c>
      <c r="S273" s="773" t="n"/>
      <c r="T273" s="774" t="n"/>
      <c r="U273" s="844" t="n"/>
      <c r="V273" s="784" t="n"/>
      <c r="W273" s="845">
        <f>1-U273</f>
        <v/>
      </c>
      <c r="X273" s="774" t="n"/>
      <c r="Y273" s="846">
        <f>IFERROR(R273/$R$320,"")</f>
        <v/>
      </c>
      <c r="Z273" s="774" t="n"/>
      <c r="AA273" s="457">
        <f>R273*U273</f>
        <v/>
      </c>
      <c r="AB273" s="774" t="n"/>
      <c r="AC273" s="457">
        <f>R273*W273</f>
        <v/>
      </c>
      <c r="AD273" s="774" t="n"/>
      <c r="AE273" s="794" t="n"/>
      <c r="AF273" s="795" t="n"/>
    </row>
    <row r="274" hidden="1" ht="15" customHeight="1" s="321">
      <c r="B274" s="383" t="n"/>
      <c r="C274" s="783" t="n"/>
      <c r="D274" s="783" t="n"/>
      <c r="E274" s="783" t="n"/>
      <c r="F274" s="783" t="n"/>
      <c r="G274" s="783" t="n"/>
      <c r="H274" s="783" t="n"/>
      <c r="I274" s="783" t="n"/>
      <c r="J274" s="783" t="n"/>
      <c r="K274" s="784" t="n"/>
      <c r="L274" s="842" t="n"/>
      <c r="M274" s="784" t="n"/>
      <c r="N274" s="843" t="n"/>
      <c r="O274" s="784" t="n"/>
      <c r="P274" s="842" t="n"/>
      <c r="Q274" s="784" t="n"/>
      <c r="R274" s="457">
        <f>L274*P274</f>
        <v/>
      </c>
      <c r="S274" s="773" t="n"/>
      <c r="T274" s="774" t="n"/>
      <c r="U274" s="844" t="n"/>
      <c r="V274" s="784" t="n"/>
      <c r="W274" s="845">
        <f>1-U274</f>
        <v/>
      </c>
      <c r="X274" s="774" t="n"/>
      <c r="Y274" s="846">
        <f>IFERROR(R274/$R$320,"")</f>
        <v/>
      </c>
      <c r="Z274" s="774" t="n"/>
      <c r="AA274" s="457">
        <f>R274*U274</f>
        <v/>
      </c>
      <c r="AB274" s="774" t="n"/>
      <c r="AC274" s="457">
        <f>R274*W274</f>
        <v/>
      </c>
      <c r="AD274" s="774" t="n"/>
      <c r="AE274" s="794" t="n"/>
      <c r="AF274" s="795" t="n"/>
    </row>
    <row r="275" hidden="1" ht="15" customHeight="1" s="321">
      <c r="B275" s="383" t="n"/>
      <c r="C275" s="783" t="n"/>
      <c r="D275" s="783" t="n"/>
      <c r="E275" s="783" t="n"/>
      <c r="F275" s="783" t="n"/>
      <c r="G275" s="783" t="n"/>
      <c r="H275" s="783" t="n"/>
      <c r="I275" s="783" t="n"/>
      <c r="J275" s="783" t="n"/>
      <c r="K275" s="784" t="n"/>
      <c r="L275" s="842" t="n"/>
      <c r="M275" s="784" t="n"/>
      <c r="N275" s="843" t="n"/>
      <c r="O275" s="784" t="n"/>
      <c r="P275" s="842" t="n"/>
      <c r="Q275" s="784" t="n"/>
      <c r="R275" s="457">
        <f>L275*P275</f>
        <v/>
      </c>
      <c r="S275" s="773" t="n"/>
      <c r="T275" s="774" t="n"/>
      <c r="U275" s="844" t="n"/>
      <c r="V275" s="784" t="n"/>
      <c r="W275" s="845">
        <f>1-U275</f>
        <v/>
      </c>
      <c r="X275" s="774" t="n"/>
      <c r="Y275" s="846">
        <f>IFERROR(R275/$R$320,"")</f>
        <v/>
      </c>
      <c r="Z275" s="774" t="n"/>
      <c r="AA275" s="457">
        <f>R275*U275</f>
        <v/>
      </c>
      <c r="AB275" s="774" t="n"/>
      <c r="AC275" s="457">
        <f>R275*W275</f>
        <v/>
      </c>
      <c r="AD275" s="774" t="n"/>
      <c r="AE275" s="794" t="n"/>
      <c r="AF275" s="795" t="n"/>
    </row>
    <row r="276" hidden="1" ht="15" customHeight="1" s="321">
      <c r="B276" s="383" t="n"/>
      <c r="C276" s="783" t="n"/>
      <c r="D276" s="783" t="n"/>
      <c r="E276" s="783" t="n"/>
      <c r="F276" s="783" t="n"/>
      <c r="G276" s="783" t="n"/>
      <c r="H276" s="783" t="n"/>
      <c r="I276" s="783" t="n"/>
      <c r="J276" s="783" t="n"/>
      <c r="K276" s="784" t="n"/>
      <c r="L276" s="842" t="n"/>
      <c r="M276" s="784" t="n"/>
      <c r="N276" s="843" t="n"/>
      <c r="O276" s="784" t="n"/>
      <c r="P276" s="842" t="n"/>
      <c r="Q276" s="784" t="n"/>
      <c r="R276" s="457">
        <f>L276*P276</f>
        <v/>
      </c>
      <c r="S276" s="773" t="n"/>
      <c r="T276" s="774" t="n"/>
      <c r="U276" s="844" t="n"/>
      <c r="V276" s="784" t="n"/>
      <c r="W276" s="845">
        <f>1-U276</f>
        <v/>
      </c>
      <c r="X276" s="774" t="n"/>
      <c r="Y276" s="846">
        <f>IFERROR(R276/$R$320,"")</f>
        <v/>
      </c>
      <c r="Z276" s="774" t="n"/>
      <c r="AA276" s="457">
        <f>R276*U276</f>
        <v/>
      </c>
      <c r="AB276" s="774" t="n"/>
      <c r="AC276" s="457">
        <f>R276*W276</f>
        <v/>
      </c>
      <c r="AD276" s="774" t="n"/>
      <c r="AE276" s="794" t="n"/>
      <c r="AF276" s="795" t="n"/>
    </row>
    <row r="277" hidden="1" ht="15" customHeight="1" s="321">
      <c r="B277" s="383" t="n"/>
      <c r="C277" s="783" t="n"/>
      <c r="D277" s="783" t="n"/>
      <c r="E277" s="783" t="n"/>
      <c r="F277" s="783" t="n"/>
      <c r="G277" s="783" t="n"/>
      <c r="H277" s="783" t="n"/>
      <c r="I277" s="783" t="n"/>
      <c r="J277" s="783" t="n"/>
      <c r="K277" s="784" t="n"/>
      <c r="L277" s="842" t="n"/>
      <c r="M277" s="784" t="n"/>
      <c r="N277" s="843" t="n"/>
      <c r="O277" s="784" t="n"/>
      <c r="P277" s="842" t="n"/>
      <c r="Q277" s="784" t="n"/>
      <c r="R277" s="457">
        <f>L277*P277</f>
        <v/>
      </c>
      <c r="S277" s="773" t="n"/>
      <c r="T277" s="774" t="n"/>
      <c r="U277" s="844" t="n"/>
      <c r="V277" s="784" t="n"/>
      <c r="W277" s="845">
        <f>1-U277</f>
        <v/>
      </c>
      <c r="X277" s="774" t="n"/>
      <c r="Y277" s="846">
        <f>IFERROR(R277/$R$320,"")</f>
        <v/>
      </c>
      <c r="Z277" s="774" t="n"/>
      <c r="AA277" s="457">
        <f>R277*U277</f>
        <v/>
      </c>
      <c r="AB277" s="774" t="n"/>
      <c r="AC277" s="457">
        <f>R277*W277</f>
        <v/>
      </c>
      <c r="AD277" s="774" t="n"/>
      <c r="AE277" s="818" t="n"/>
      <c r="AF277" s="849" t="n"/>
    </row>
    <row r="278" ht="15" customHeight="1" s="321">
      <c r="B278" s="379" t="inlineStr">
        <is>
          <t xml:space="preserve">2-Direkt İşçilik Giderleri </t>
        </is>
      </c>
      <c r="C278" s="773" t="n"/>
      <c r="D278" s="773" t="n"/>
      <c r="E278" s="773" t="n"/>
      <c r="F278" s="773" t="n"/>
      <c r="G278" s="773" t="n"/>
      <c r="H278" s="773" t="n"/>
      <c r="I278" s="773" t="n"/>
      <c r="J278" s="773" t="n"/>
      <c r="K278" s="774" t="n"/>
      <c r="L278" s="829" t="n"/>
      <c r="M278" s="774" t="n"/>
      <c r="N278" s="830" t="n"/>
      <c r="O278" s="774" t="n"/>
      <c r="P278" s="829" t="n"/>
      <c r="Q278" s="774" t="n"/>
      <c r="R278" s="831">
        <f>SUM(R279:T288)</f>
        <v/>
      </c>
      <c r="S278" s="773" t="n"/>
      <c r="T278" s="774" t="n"/>
      <c r="U278" s="850" t="n"/>
      <c r="V278" s="774" t="n"/>
      <c r="W278" s="850" t="n"/>
      <c r="X278" s="774" t="n"/>
      <c r="Y278" s="833">
        <f>IFERROR(R278/$R$320,"")</f>
        <v/>
      </c>
      <c r="Z278" s="774" t="n"/>
      <c r="AA278" s="831">
        <f>SUM(AA279:AB288)</f>
        <v/>
      </c>
      <c r="AB278" s="774" t="n"/>
      <c r="AC278" s="831">
        <f>SUM(AC279:AD288)</f>
        <v/>
      </c>
      <c r="AD278" s="774" t="n"/>
      <c r="AE278" s="834" t="n"/>
      <c r="AF278" s="835" t="n"/>
    </row>
    <row r="279" ht="15" customHeight="1" s="321">
      <c r="B279" s="383" t="inlineStr">
        <is>
          <t>Kümes bakıcısı (daimi işçi, SGK işveren payı dâhil)</t>
        </is>
      </c>
      <c r="C279" s="783" t="n"/>
      <c r="D279" s="783" t="n"/>
      <c r="E279" s="783" t="n"/>
      <c r="F279" s="783" t="n"/>
      <c r="G279" s="783" t="n"/>
      <c r="H279" s="783" t="n"/>
      <c r="I279" s="783" t="n"/>
      <c r="J279" s="783" t="n"/>
      <c r="K279" s="784" t="n"/>
      <c r="L279" s="842" t="n">
        <v>2</v>
      </c>
      <c r="M279" s="784" t="n"/>
      <c r="N279" s="843" t="inlineStr">
        <is>
          <t>kişi</t>
        </is>
      </c>
      <c r="O279" s="784" t="n"/>
      <c r="P279" s="842" t="n">
        <v>780000</v>
      </c>
      <c r="Q279" s="784" t="n"/>
      <c r="R279" s="457">
        <f>L279*P279</f>
        <v/>
      </c>
      <c r="S279" s="773" t="n"/>
      <c r="T279" s="774" t="n"/>
      <c r="U279" s="844" t="n">
        <v>1</v>
      </c>
      <c r="V279" s="784" t="n"/>
      <c r="W279" s="845">
        <f>1-U279</f>
        <v/>
      </c>
      <c r="X279" s="774" t="n"/>
      <c r="Y279" s="846">
        <f>IFERROR(R279/$R$320,"")</f>
        <v/>
      </c>
      <c r="Z279" s="774" t="n"/>
      <c r="AA279" s="457">
        <f>R279*U279</f>
        <v/>
      </c>
      <c r="AB279" s="774" t="n"/>
      <c r="AC279" s="457">
        <f>R279*W279</f>
        <v/>
      </c>
      <c r="AD279" s="774" t="n"/>
      <c r="AE279" s="841">
        <f>IFERROR(R279/$R$320,"")</f>
        <v/>
      </c>
      <c r="AF279" s="835" t="n"/>
    </row>
    <row r="280" hidden="1" ht="15" customHeight="1" s="321">
      <c r="B280" s="383" t="n"/>
      <c r="C280" s="783" t="n"/>
      <c r="D280" s="783" t="n"/>
      <c r="E280" s="783" t="n"/>
      <c r="F280" s="783" t="n"/>
      <c r="G280" s="783" t="n"/>
      <c r="H280" s="783" t="n"/>
      <c r="I280" s="783" t="n"/>
      <c r="J280" s="783" t="n"/>
      <c r="K280" s="784" t="n"/>
      <c r="L280" s="842" t="n"/>
      <c r="M280" s="784" t="n"/>
      <c r="N280" s="843" t="n"/>
      <c r="O280" s="784" t="n"/>
      <c r="P280" s="842" t="n"/>
      <c r="Q280" s="784" t="n"/>
      <c r="R280" s="457">
        <f>L280*P280</f>
        <v/>
      </c>
      <c r="S280" s="773" t="n"/>
      <c r="T280" s="774" t="n"/>
      <c r="U280" s="844" t="n"/>
      <c r="V280" s="784" t="n"/>
      <c r="W280" s="845">
        <f>1-U280</f>
        <v/>
      </c>
      <c r="X280" s="774" t="n"/>
      <c r="Y280" s="846">
        <f>IFERROR(R280/$R$320,"")</f>
        <v/>
      </c>
      <c r="Z280" s="774" t="n"/>
      <c r="AA280" s="457">
        <f>R280*U280</f>
        <v/>
      </c>
      <c r="AB280" s="774" t="n"/>
      <c r="AC280" s="457">
        <f>R280*W280</f>
        <v/>
      </c>
      <c r="AD280" s="774" t="n"/>
      <c r="AE280" s="841">
        <f>IFERROR(R280/$R$320,"")</f>
        <v/>
      </c>
      <c r="AF280" s="835" t="n"/>
    </row>
    <row r="281" hidden="1" ht="15" customHeight="1" s="321">
      <c r="B281" s="383" t="n"/>
      <c r="C281" s="783" t="n"/>
      <c r="D281" s="783" t="n"/>
      <c r="E281" s="783" t="n"/>
      <c r="F281" s="783" t="n"/>
      <c r="G281" s="783" t="n"/>
      <c r="H281" s="783" t="n"/>
      <c r="I281" s="783" t="n"/>
      <c r="J281" s="783" t="n"/>
      <c r="K281" s="784" t="n"/>
      <c r="L281" s="842" t="n"/>
      <c r="M281" s="784" t="n"/>
      <c r="N281" s="843" t="n"/>
      <c r="O281" s="784" t="n"/>
      <c r="P281" s="842" t="n"/>
      <c r="Q281" s="784" t="n"/>
      <c r="R281" s="457">
        <f>L281*P281</f>
        <v/>
      </c>
      <c r="S281" s="773" t="n"/>
      <c r="T281" s="774" t="n"/>
      <c r="U281" s="844" t="n"/>
      <c r="V281" s="784" t="n"/>
      <c r="W281" s="845">
        <f>1-U281</f>
        <v/>
      </c>
      <c r="X281" s="774" t="n"/>
      <c r="Y281" s="846">
        <f>IFERROR(R281/$R$320,"")</f>
        <v/>
      </c>
      <c r="Z281" s="774" t="n"/>
      <c r="AA281" s="457">
        <f>R281*U281</f>
        <v/>
      </c>
      <c r="AB281" s="774" t="n"/>
      <c r="AC281" s="457">
        <f>R281*W281</f>
        <v/>
      </c>
      <c r="AD281" s="774" t="n"/>
      <c r="AE281" s="841">
        <f>IFERROR(R281/$R$320,"")</f>
        <v/>
      </c>
      <c r="AF281" s="835" t="n"/>
    </row>
    <row r="282" hidden="1" ht="15" customHeight="1" s="321">
      <c r="B282" s="383" t="n"/>
      <c r="C282" s="783" t="n"/>
      <c r="D282" s="783" t="n"/>
      <c r="E282" s="783" t="n"/>
      <c r="F282" s="783" t="n"/>
      <c r="G282" s="783" t="n"/>
      <c r="H282" s="783" t="n"/>
      <c r="I282" s="783" t="n"/>
      <c r="J282" s="783" t="n"/>
      <c r="K282" s="784" t="n"/>
      <c r="L282" s="842" t="n"/>
      <c r="M282" s="784" t="n"/>
      <c r="N282" s="843" t="n"/>
      <c r="O282" s="784" t="n"/>
      <c r="P282" s="842" t="n"/>
      <c r="Q282" s="784" t="n"/>
      <c r="R282" s="457">
        <f>L282*P282</f>
        <v/>
      </c>
      <c r="S282" s="773" t="n"/>
      <c r="T282" s="774" t="n"/>
      <c r="U282" s="844" t="n"/>
      <c r="V282" s="784" t="n"/>
      <c r="W282" s="845">
        <f>1-U282</f>
        <v/>
      </c>
      <c r="X282" s="774" t="n"/>
      <c r="Y282" s="846">
        <f>IFERROR(R282/$R$320,"")</f>
        <v/>
      </c>
      <c r="Z282" s="774" t="n"/>
      <c r="AA282" s="457">
        <f>R282*U282</f>
        <v/>
      </c>
      <c r="AB282" s="774" t="n"/>
      <c r="AC282" s="457">
        <f>R282*W282</f>
        <v/>
      </c>
      <c r="AD282" s="774" t="n"/>
      <c r="AE282" s="841">
        <f>IFERROR(R282/$R$320,"")</f>
        <v/>
      </c>
      <c r="AF282" s="835" t="n"/>
    </row>
    <row r="283" hidden="1" ht="15" customHeight="1" s="321">
      <c r="B283" s="383" t="n"/>
      <c r="C283" s="783" t="n"/>
      <c r="D283" s="783" t="n"/>
      <c r="E283" s="783" t="n"/>
      <c r="F283" s="783" t="n"/>
      <c r="G283" s="783" t="n"/>
      <c r="H283" s="783" t="n"/>
      <c r="I283" s="783" t="n"/>
      <c r="J283" s="783" t="n"/>
      <c r="K283" s="784" t="n"/>
      <c r="L283" s="842" t="n"/>
      <c r="M283" s="784" t="n"/>
      <c r="N283" s="843" t="n"/>
      <c r="O283" s="784" t="n"/>
      <c r="P283" s="842" t="n"/>
      <c r="Q283" s="784" t="n"/>
      <c r="R283" s="457">
        <f>L283*P283</f>
        <v/>
      </c>
      <c r="S283" s="773" t="n"/>
      <c r="T283" s="774" t="n"/>
      <c r="U283" s="844" t="n"/>
      <c r="V283" s="784" t="n"/>
      <c r="W283" s="845">
        <f>1-U283</f>
        <v/>
      </c>
      <c r="X283" s="774" t="n"/>
      <c r="Y283" s="846">
        <f>IFERROR(R283/$R$320,"")</f>
        <v/>
      </c>
      <c r="Z283" s="774" t="n"/>
      <c r="AA283" s="457">
        <f>R283*U283</f>
        <v/>
      </c>
      <c r="AB283" s="774" t="n"/>
      <c r="AC283" s="457">
        <f>R283*W283</f>
        <v/>
      </c>
      <c r="AD283" s="774" t="n"/>
      <c r="AE283" s="841">
        <f>IFERROR(R283/$R$320,"")</f>
        <v/>
      </c>
      <c r="AF283" s="835" t="n"/>
    </row>
    <row r="284" hidden="1" ht="15" customHeight="1" s="321">
      <c r="B284" s="383" t="n"/>
      <c r="C284" s="783" t="n"/>
      <c r="D284" s="783" t="n"/>
      <c r="E284" s="783" t="n"/>
      <c r="F284" s="783" t="n"/>
      <c r="G284" s="783" t="n"/>
      <c r="H284" s="783" t="n"/>
      <c r="I284" s="783" t="n"/>
      <c r="J284" s="783" t="n"/>
      <c r="K284" s="784" t="n"/>
      <c r="L284" s="842" t="n"/>
      <c r="M284" s="784" t="n"/>
      <c r="N284" s="843" t="n"/>
      <c r="O284" s="784" t="n"/>
      <c r="P284" s="842" t="n"/>
      <c r="Q284" s="784" t="n"/>
      <c r="R284" s="457">
        <f>L284*P284</f>
        <v/>
      </c>
      <c r="S284" s="773" t="n"/>
      <c r="T284" s="774" t="n"/>
      <c r="U284" s="844" t="n"/>
      <c r="V284" s="784" t="n"/>
      <c r="W284" s="845">
        <f>1-U284</f>
        <v/>
      </c>
      <c r="X284" s="774" t="n"/>
      <c r="Y284" s="846">
        <f>IFERROR(R284/$R$320,"")</f>
        <v/>
      </c>
      <c r="Z284" s="774" t="n"/>
      <c r="AA284" s="457">
        <f>R284*U284</f>
        <v/>
      </c>
      <c r="AB284" s="774" t="n"/>
      <c r="AC284" s="457">
        <f>R284*W284</f>
        <v/>
      </c>
      <c r="AD284" s="774" t="n"/>
      <c r="AE284" s="841">
        <f>IFERROR(R284/$R$320,"")</f>
        <v/>
      </c>
      <c r="AF284" s="835" t="n"/>
    </row>
    <row r="285" hidden="1" ht="15" customHeight="1" s="321">
      <c r="B285" s="383" t="n"/>
      <c r="C285" s="783" t="n"/>
      <c r="D285" s="783" t="n"/>
      <c r="E285" s="783" t="n"/>
      <c r="F285" s="783" t="n"/>
      <c r="G285" s="783" t="n"/>
      <c r="H285" s="783" t="n"/>
      <c r="I285" s="783" t="n"/>
      <c r="J285" s="783" t="n"/>
      <c r="K285" s="784" t="n"/>
      <c r="L285" s="842" t="n"/>
      <c r="M285" s="784" t="n"/>
      <c r="N285" s="843" t="n"/>
      <c r="O285" s="784" t="n"/>
      <c r="P285" s="842" t="n"/>
      <c r="Q285" s="784" t="n"/>
      <c r="R285" s="457">
        <f>L285*P285</f>
        <v/>
      </c>
      <c r="S285" s="773" t="n"/>
      <c r="T285" s="774" t="n"/>
      <c r="U285" s="844" t="n"/>
      <c r="V285" s="784" t="n"/>
      <c r="W285" s="845">
        <f>1-U285</f>
        <v/>
      </c>
      <c r="X285" s="774" t="n"/>
      <c r="Y285" s="846">
        <f>IFERROR(R285/$R$320,"")</f>
        <v/>
      </c>
      <c r="Z285" s="774" t="n"/>
      <c r="AA285" s="457">
        <f>R285*U285</f>
        <v/>
      </c>
      <c r="AB285" s="774" t="n"/>
      <c r="AC285" s="457">
        <f>R285*W285</f>
        <v/>
      </c>
      <c r="AD285" s="774" t="n"/>
      <c r="AE285" s="841">
        <f>IFERROR(R285/$R$320,"")</f>
        <v/>
      </c>
      <c r="AF285" s="835" t="n"/>
    </row>
    <row r="286" hidden="1" ht="15" customHeight="1" s="321">
      <c r="B286" s="383" t="n"/>
      <c r="C286" s="783" t="n"/>
      <c r="D286" s="783" t="n"/>
      <c r="E286" s="783" t="n"/>
      <c r="F286" s="783" t="n"/>
      <c r="G286" s="783" t="n"/>
      <c r="H286" s="783" t="n"/>
      <c r="I286" s="783" t="n"/>
      <c r="J286" s="783" t="n"/>
      <c r="K286" s="784" t="n"/>
      <c r="L286" s="842" t="n"/>
      <c r="M286" s="784" t="n"/>
      <c r="N286" s="843" t="n"/>
      <c r="O286" s="784" t="n"/>
      <c r="P286" s="842" t="n"/>
      <c r="Q286" s="784" t="n"/>
      <c r="R286" s="457">
        <f>L286*P286</f>
        <v/>
      </c>
      <c r="S286" s="773" t="n"/>
      <c r="T286" s="774" t="n"/>
      <c r="U286" s="844" t="n"/>
      <c r="V286" s="784" t="n"/>
      <c r="W286" s="845">
        <f>1-U286</f>
        <v/>
      </c>
      <c r="X286" s="774" t="n"/>
      <c r="Y286" s="846">
        <f>IFERROR(R286/$R$320,"")</f>
        <v/>
      </c>
      <c r="Z286" s="774" t="n"/>
      <c r="AA286" s="457">
        <f>R286*U286</f>
        <v/>
      </c>
      <c r="AB286" s="774" t="n"/>
      <c r="AC286" s="457">
        <f>R286*W286</f>
        <v/>
      </c>
      <c r="AD286" s="774" t="n"/>
      <c r="AE286" s="841">
        <f>IFERROR(R286/$R$320,"")</f>
        <v/>
      </c>
      <c r="AF286" s="835" t="n"/>
    </row>
    <row r="287" hidden="1" ht="15" customHeight="1" s="321">
      <c r="B287" s="383" t="n"/>
      <c r="C287" s="783" t="n"/>
      <c r="D287" s="783" t="n"/>
      <c r="E287" s="783" t="n"/>
      <c r="F287" s="783" t="n"/>
      <c r="G287" s="783" t="n"/>
      <c r="H287" s="783" t="n"/>
      <c r="I287" s="783" t="n"/>
      <c r="J287" s="783" t="n"/>
      <c r="K287" s="784" t="n"/>
      <c r="L287" s="842" t="n"/>
      <c r="M287" s="784" t="n"/>
      <c r="N287" s="843" t="n"/>
      <c r="O287" s="784" t="n"/>
      <c r="P287" s="842" t="n"/>
      <c r="Q287" s="784" t="n"/>
      <c r="R287" s="457">
        <f>L287*P287</f>
        <v/>
      </c>
      <c r="S287" s="773" t="n"/>
      <c r="T287" s="774" t="n"/>
      <c r="U287" s="844" t="n"/>
      <c r="V287" s="784" t="n"/>
      <c r="W287" s="845">
        <f>1-U287</f>
        <v/>
      </c>
      <c r="X287" s="774" t="n"/>
      <c r="Y287" s="846">
        <f>IFERROR(R287/$R$320,"")</f>
        <v/>
      </c>
      <c r="Z287" s="774" t="n"/>
      <c r="AA287" s="457">
        <f>R287*U287</f>
        <v/>
      </c>
      <c r="AB287" s="774" t="n"/>
      <c r="AC287" s="457">
        <f>R287*W287</f>
        <v/>
      </c>
      <c r="AD287" s="774" t="n"/>
      <c r="AE287" s="841">
        <f>IFERROR(R287/$R$320,"")</f>
        <v/>
      </c>
      <c r="AF287" s="835" t="n"/>
    </row>
    <row r="288" hidden="1" ht="15" customHeight="1" s="321">
      <c r="B288" s="383" t="n"/>
      <c r="C288" s="783" t="n"/>
      <c r="D288" s="783" t="n"/>
      <c r="E288" s="783" t="n"/>
      <c r="F288" s="783" t="n"/>
      <c r="G288" s="783" t="n"/>
      <c r="H288" s="783" t="n"/>
      <c r="I288" s="783" t="n"/>
      <c r="J288" s="783" t="n"/>
      <c r="K288" s="784" t="n"/>
      <c r="L288" s="842" t="n"/>
      <c r="M288" s="784" t="n"/>
      <c r="N288" s="843" t="n"/>
      <c r="O288" s="784" t="n"/>
      <c r="P288" s="842" t="n"/>
      <c r="Q288" s="784" t="n"/>
      <c r="R288" s="457">
        <f>L288*P288</f>
        <v/>
      </c>
      <c r="S288" s="773" t="n"/>
      <c r="T288" s="774" t="n"/>
      <c r="U288" s="844" t="n"/>
      <c r="V288" s="784" t="n"/>
      <c r="W288" s="845">
        <f>1-U288</f>
        <v/>
      </c>
      <c r="X288" s="774" t="n"/>
      <c r="Y288" s="846">
        <f>IFERROR(R288/$R$320,"")</f>
        <v/>
      </c>
      <c r="Z288" s="774" t="n"/>
      <c r="AA288" s="457">
        <f>R288*U288</f>
        <v/>
      </c>
      <c r="AB288" s="774" t="n"/>
      <c r="AC288" s="457">
        <f>R288*W288</f>
        <v/>
      </c>
      <c r="AD288" s="774" t="n"/>
      <c r="AE288" s="841">
        <f>IFERROR(R288/$R$320,"")</f>
        <v/>
      </c>
      <c r="AF288" s="835" t="n"/>
    </row>
    <row r="289" ht="15" customHeight="1" s="321">
      <c r="B289" s="379" t="inlineStr">
        <is>
          <t>3-Genel Üretim Giderleri</t>
        </is>
      </c>
      <c r="C289" s="773" t="n"/>
      <c r="D289" s="773" t="n"/>
      <c r="E289" s="773" t="n"/>
      <c r="F289" s="773" t="n"/>
      <c r="G289" s="773" t="n"/>
      <c r="H289" s="773" t="n"/>
      <c r="I289" s="773" t="n"/>
      <c r="J289" s="773" t="n"/>
      <c r="K289" s="774" t="n"/>
      <c r="L289" s="829" t="n"/>
      <c r="M289" s="774" t="n"/>
      <c r="N289" s="830" t="n"/>
      <c r="O289" s="774" t="n"/>
      <c r="P289" s="829" t="n"/>
      <c r="Q289" s="774" t="n"/>
      <c r="R289" s="831">
        <f>SUM(R290:T297)</f>
        <v/>
      </c>
      <c r="S289" s="773" t="n"/>
      <c r="T289" s="774" t="n"/>
      <c r="U289" s="850" t="n"/>
      <c r="V289" s="774" t="n"/>
      <c r="W289" s="850" t="n"/>
      <c r="X289" s="774" t="n"/>
      <c r="Y289" s="833">
        <f>IFERROR(R289/$R$320,"")</f>
        <v/>
      </c>
      <c r="Z289" s="774" t="n"/>
      <c r="AA289" s="831">
        <f>SUM(AA290:AB297)</f>
        <v/>
      </c>
      <c r="AB289" s="774" t="n"/>
      <c r="AC289" s="831">
        <f>SUM(AC290:AD297)</f>
        <v/>
      </c>
      <c r="AD289" s="774" t="n"/>
      <c r="AE289" s="834" t="n"/>
      <c r="AF289" s="835" t="n"/>
    </row>
    <row r="290" ht="15" customHeight="1" s="321">
      <c r="B290" s="392" t="inlineStr">
        <is>
          <t>a) Elektrik Giderleri</t>
        </is>
      </c>
      <c r="C290" s="773" t="n"/>
      <c r="D290" s="773" t="n"/>
      <c r="E290" s="773" t="n"/>
      <c r="F290" s="773" t="n"/>
      <c r="G290" s="773" t="n"/>
      <c r="H290" s="773" t="n"/>
      <c r="I290" s="773" t="n"/>
      <c r="J290" s="773" t="n"/>
      <c r="K290" s="774" t="n"/>
      <c r="L290" s="842" t="n">
        <v>226000</v>
      </c>
      <c r="M290" s="784" t="n"/>
      <c r="N290" s="843" t="inlineStr">
        <is>
          <t>kWh</t>
        </is>
      </c>
      <c r="O290" s="784" t="n"/>
      <c r="P290" s="842" t="n">
        <v>3.2</v>
      </c>
      <c r="Q290" s="784" t="n"/>
      <c r="R290" s="457">
        <f>L290*P290</f>
        <v/>
      </c>
      <c r="S290" s="773" t="n"/>
      <c r="T290" s="774" t="n"/>
      <c r="U290" s="844" t="n">
        <v>0.2</v>
      </c>
      <c r="V290" s="784" t="n"/>
      <c r="W290" s="845">
        <f>1-U290</f>
        <v/>
      </c>
      <c r="X290" s="774" t="n"/>
      <c r="Y290" s="846">
        <f>IFERROR(R290/$R$320,"")</f>
        <v/>
      </c>
      <c r="Z290" s="774" t="n"/>
      <c r="AA290" s="457">
        <f>R290*U290</f>
        <v/>
      </c>
      <c r="AB290" s="774" t="n"/>
      <c r="AC290" s="457">
        <f>R290*W290</f>
        <v/>
      </c>
      <c r="AD290" s="774" t="n"/>
      <c r="AE290" s="841">
        <f>IFERROR(R290/$R$320,"")</f>
        <v/>
      </c>
      <c r="AF290" s="835" t="n"/>
    </row>
    <row r="291" ht="15" customHeight="1" s="321">
      <c r="B291" s="392" t="inlineStr">
        <is>
          <t>b) Su, Gaz Giderleri</t>
        </is>
      </c>
      <c r="C291" s="773" t="n"/>
      <c r="D291" s="773" t="n"/>
      <c r="E291" s="773" t="n"/>
      <c r="F291" s="773" t="n"/>
      <c r="G291" s="773" t="n"/>
      <c r="H291" s="773" t="n"/>
      <c r="I291" s="773" t="n"/>
      <c r="J291" s="773" t="n"/>
      <c r="K291" s="774" t="n"/>
      <c r="L291" s="842" t="n">
        <v>1700</v>
      </c>
      <c r="M291" s="784" t="n"/>
      <c r="N291" s="843" t="inlineStr">
        <is>
          <t>m³</t>
        </is>
      </c>
      <c r="O291" s="784" t="n"/>
      <c r="P291" s="842" t="n">
        <v>25</v>
      </c>
      <c r="Q291" s="784" t="n"/>
      <c r="R291" s="457">
        <f>L291*P291</f>
        <v/>
      </c>
      <c r="S291" s="773" t="n"/>
      <c r="T291" s="774" t="n"/>
      <c r="U291" s="844" t="n">
        <v>0.2</v>
      </c>
      <c r="V291" s="784" t="n"/>
      <c r="W291" s="845">
        <f>1-U291</f>
        <v/>
      </c>
      <c r="X291" s="774" t="n"/>
      <c r="Y291" s="846">
        <f>IFERROR(R291/$R$320,"")</f>
        <v/>
      </c>
      <c r="Z291" s="774" t="n"/>
      <c r="AA291" s="457">
        <f>R291*U291</f>
        <v/>
      </c>
      <c r="AB291" s="774" t="n"/>
      <c r="AC291" s="457">
        <f>R291*W291</f>
        <v/>
      </c>
      <c r="AD291" s="774" t="n"/>
      <c r="AE291" s="841">
        <f>IFERROR(R291/$R$320,"")</f>
        <v/>
      </c>
      <c r="AF291" s="835" t="n"/>
    </row>
    <row r="292" ht="15" customHeight="1" s="321">
      <c r="B292" s="392" t="inlineStr">
        <is>
          <t>c) Yakıt Giderleri</t>
        </is>
      </c>
      <c r="C292" s="773" t="n"/>
      <c r="D292" s="773" t="n"/>
      <c r="E292" s="773" t="n"/>
      <c r="F292" s="773" t="n"/>
      <c r="G292" s="773" t="n"/>
      <c r="H292" s="773" t="n"/>
      <c r="I292" s="773" t="n"/>
      <c r="J292" s="773" t="n"/>
      <c r="K292" s="774" t="n"/>
      <c r="L292" s="842" t="n">
        <v>51</v>
      </c>
      <c r="M292" s="784" t="n"/>
      <c r="N292" s="843" t="inlineStr">
        <is>
          <t>ton</t>
        </is>
      </c>
      <c r="O292" s="784" t="n"/>
      <c r="P292" s="842" t="n">
        <v>6500</v>
      </c>
      <c r="Q292" s="784" t="n"/>
      <c r="R292" s="457">
        <f>L292*P292</f>
        <v/>
      </c>
      <c r="S292" s="773" t="n"/>
      <c r="T292" s="774" t="n"/>
      <c r="U292" s="844" t="n">
        <v>0</v>
      </c>
      <c r="V292" s="784" t="n"/>
      <c r="W292" s="845">
        <f>1-U292</f>
        <v/>
      </c>
      <c r="X292" s="774" t="n"/>
      <c r="Y292" s="846">
        <f>IFERROR(R292/$R$320,"")</f>
        <v/>
      </c>
      <c r="Z292" s="774" t="n"/>
      <c r="AA292" s="457">
        <f>R292*U292</f>
        <v/>
      </c>
      <c r="AB292" s="774" t="n"/>
      <c r="AC292" s="457">
        <f>R292*W292</f>
        <v/>
      </c>
      <c r="AD292" s="774" t="n"/>
      <c r="AE292" s="841">
        <f>IFERROR(R292/$R$320,"")</f>
        <v/>
      </c>
      <c r="AF292" s="835" t="n"/>
    </row>
    <row r="293" ht="15" customHeight="1" s="321">
      <c r="B293" s="392" t="inlineStr">
        <is>
          <t>d) Haberleşme Giderleri</t>
        </is>
      </c>
      <c r="C293" s="773" t="n"/>
      <c r="D293" s="773" t="n"/>
      <c r="E293" s="773" t="n"/>
      <c r="F293" s="773" t="n"/>
      <c r="G293" s="773" t="n"/>
      <c r="H293" s="773" t="n"/>
      <c r="I293" s="773" t="n"/>
      <c r="J293" s="773" t="n"/>
      <c r="K293" s="774" t="n"/>
      <c r="L293" s="842" t="n"/>
      <c r="M293" s="784" t="n"/>
      <c r="N293" s="843" t="n"/>
      <c r="O293" s="784" t="n"/>
      <c r="P293" s="842" t="n"/>
      <c r="Q293" s="784" t="n"/>
      <c r="R293" s="457">
        <f>L293*P293</f>
        <v/>
      </c>
      <c r="S293" s="773" t="n"/>
      <c r="T293" s="774" t="n"/>
      <c r="U293" s="844" t="n"/>
      <c r="V293" s="784" t="n"/>
      <c r="W293" s="845">
        <f>1-U293</f>
        <v/>
      </c>
      <c r="X293" s="774" t="n"/>
      <c r="Y293" s="846">
        <f>IFERROR(R293/$R$320,"")</f>
        <v/>
      </c>
      <c r="Z293" s="774" t="n"/>
      <c r="AA293" s="457">
        <f>R293*U293</f>
        <v/>
      </c>
      <c r="AB293" s="774" t="n"/>
      <c r="AC293" s="457">
        <f>R293*W293</f>
        <v/>
      </c>
      <c r="AD293" s="774" t="n"/>
      <c r="AE293" s="841">
        <f>IFERROR(R293/$R$320,"")</f>
        <v/>
      </c>
      <c r="AF293" s="835" t="n"/>
    </row>
    <row r="294" ht="15" customHeight="1" s="321">
      <c r="B294" s="392" t="inlineStr">
        <is>
          <t xml:space="preserve">e) Bakım Onarım Giderleri </t>
        </is>
      </c>
      <c r="C294" s="773" t="n"/>
      <c r="D294" s="773" t="n"/>
      <c r="E294" s="773" t="n"/>
      <c r="F294" s="773" t="n"/>
      <c r="G294" s="773" t="n"/>
      <c r="H294" s="773" t="n"/>
      <c r="I294" s="773" t="n"/>
      <c r="J294" s="773" t="n"/>
      <c r="K294" s="774" t="n"/>
      <c r="L294" s="842" t="n">
        <v>1</v>
      </c>
      <c r="M294" s="784" t="n"/>
      <c r="N294" s="843" t="inlineStr">
        <is>
          <t>yıl</t>
        </is>
      </c>
      <c r="O294" s="784" t="n"/>
      <c r="P294" s="842" t="n">
        <v>251611.31</v>
      </c>
      <c r="Q294" s="784" t="n"/>
      <c r="R294" s="457">
        <f>L294*P294</f>
        <v/>
      </c>
      <c r="S294" s="773" t="n"/>
      <c r="T294" s="774" t="n"/>
      <c r="U294" s="844" t="n">
        <v>1</v>
      </c>
      <c r="V294" s="784" t="n"/>
      <c r="W294" s="845">
        <f>1-U294</f>
        <v/>
      </c>
      <c r="X294" s="774" t="n"/>
      <c r="Y294" s="846">
        <f>IFERROR(R294/$R$320,"")</f>
        <v/>
      </c>
      <c r="Z294" s="774" t="n"/>
      <c r="AA294" s="457">
        <f>R294*U294</f>
        <v/>
      </c>
      <c r="AB294" s="774" t="n"/>
      <c r="AC294" s="457">
        <f>R294*W294</f>
        <v/>
      </c>
      <c r="AD294" s="774" t="n"/>
      <c r="AE294" s="841">
        <f>IFERROR(R294/$R$320,"")</f>
        <v/>
      </c>
      <c r="AF294" s="835" t="n"/>
    </row>
    <row r="295" ht="15" customHeight="1" s="321">
      <c r="B295" s="392" t="inlineStr">
        <is>
          <t>f) Sigorta Giderleri</t>
        </is>
      </c>
      <c r="C295" s="773" t="n"/>
      <c r="D295" s="773" t="n"/>
      <c r="E295" s="773" t="n"/>
      <c r="F295" s="773" t="n"/>
      <c r="G295" s="773" t="n"/>
      <c r="H295" s="773" t="n"/>
      <c r="I295" s="773" t="n"/>
      <c r="J295" s="773" t="n"/>
      <c r="K295" s="774" t="n"/>
      <c r="L295" s="842" t="n"/>
      <c r="M295" s="784" t="n"/>
      <c r="N295" s="843" t="n"/>
      <c r="O295" s="784" t="n"/>
      <c r="P295" s="842" t="n"/>
      <c r="Q295" s="784" t="n"/>
      <c r="R295" s="457">
        <f>L295*P295</f>
        <v/>
      </c>
      <c r="S295" s="773" t="n"/>
      <c r="T295" s="774" t="n"/>
      <c r="U295" s="844" t="n"/>
      <c r="V295" s="784" t="n"/>
      <c r="W295" s="845">
        <f>1-U295</f>
        <v/>
      </c>
      <c r="X295" s="774" t="n"/>
      <c r="Y295" s="846">
        <f>IFERROR(R295/$R$320,"")</f>
        <v/>
      </c>
      <c r="Z295" s="774" t="n"/>
      <c r="AA295" s="457">
        <f>R295*U295</f>
        <v/>
      </c>
      <c r="AB295" s="774" t="n"/>
      <c r="AC295" s="457">
        <f>R295*W295</f>
        <v/>
      </c>
      <c r="AD295" s="774" t="n"/>
      <c r="AE295" s="841">
        <f>IFERROR(R295/$R$320,"")</f>
        <v/>
      </c>
      <c r="AF295" s="835" t="n"/>
    </row>
    <row r="296" ht="15" customHeight="1" s="321">
      <c r="B296" s="392" t="inlineStr">
        <is>
          <t>g) Kira Giderleri</t>
        </is>
      </c>
      <c r="C296" s="773" t="n"/>
      <c r="D296" s="773" t="n"/>
      <c r="E296" s="773" t="n"/>
      <c r="F296" s="773" t="n"/>
      <c r="G296" s="773" t="n"/>
      <c r="H296" s="773" t="n"/>
      <c r="I296" s="773" t="n"/>
      <c r="J296" s="773" t="n"/>
      <c r="K296" s="774" t="n"/>
      <c r="L296" s="842" t="n"/>
      <c r="M296" s="784" t="n"/>
      <c r="N296" s="843" t="n"/>
      <c r="O296" s="784" t="n"/>
      <c r="P296" s="842" t="n"/>
      <c r="Q296" s="784" t="n"/>
      <c r="R296" s="457">
        <f>L296*P296</f>
        <v/>
      </c>
      <c r="S296" s="773" t="n"/>
      <c r="T296" s="774" t="n"/>
      <c r="U296" s="844" t="n"/>
      <c r="V296" s="784" t="n"/>
      <c r="W296" s="845">
        <f>1-U296</f>
        <v/>
      </c>
      <c r="X296" s="774" t="n"/>
      <c r="Y296" s="846">
        <f>IFERROR(R296/$R$320,"")</f>
        <v/>
      </c>
      <c r="Z296" s="774" t="n"/>
      <c r="AA296" s="457">
        <f>R296*U296</f>
        <v/>
      </c>
      <c r="AB296" s="774" t="n"/>
      <c r="AC296" s="457">
        <f>R296*W296</f>
        <v/>
      </c>
      <c r="AD296" s="774" t="n"/>
      <c r="AE296" s="841">
        <f>IFERROR(R296/$R$320,"")</f>
        <v/>
      </c>
      <c r="AF296" s="835" t="n"/>
    </row>
    <row r="297" ht="15" customHeight="1" s="321">
      <c r="B297" s="392" t="inlineStr">
        <is>
          <t>h) Diğer Giderler</t>
        </is>
      </c>
      <c r="C297" s="773" t="n"/>
      <c r="D297" s="773" t="n"/>
      <c r="E297" s="773" t="n"/>
      <c r="F297" s="773" t="n"/>
      <c r="G297" s="773" t="n"/>
      <c r="H297" s="773" t="n"/>
      <c r="I297" s="773" t="n"/>
      <c r="J297" s="773" t="n"/>
      <c r="K297" s="774" t="n"/>
      <c r="L297" s="842" t="n"/>
      <c r="M297" s="784" t="n"/>
      <c r="N297" s="843" t="n"/>
      <c r="O297" s="784" t="n"/>
      <c r="P297" s="842" t="n"/>
      <c r="Q297" s="784" t="n"/>
      <c r="R297" s="457">
        <f>L297*P297</f>
        <v/>
      </c>
      <c r="S297" s="773" t="n"/>
      <c r="T297" s="774" t="n"/>
      <c r="U297" s="844" t="n"/>
      <c r="V297" s="784" t="n"/>
      <c r="W297" s="845">
        <f>1-U297</f>
        <v/>
      </c>
      <c r="X297" s="774" t="n"/>
      <c r="Y297" s="846">
        <f>IFERROR(R297/$R$320,"")</f>
        <v/>
      </c>
      <c r="Z297" s="774" t="n"/>
      <c r="AA297" s="457">
        <f>R297*U297</f>
        <v/>
      </c>
      <c r="AB297" s="774" t="n"/>
      <c r="AC297" s="457">
        <f>R297*W297</f>
        <v/>
      </c>
      <c r="AD297" s="774" t="n"/>
      <c r="AE297" s="841">
        <f>IFERROR(R297/$R$320,"")</f>
        <v/>
      </c>
      <c r="AF297" s="835" t="n"/>
    </row>
    <row r="298" ht="15" customHeight="1" s="321">
      <c r="B298" s="379" t="inlineStr">
        <is>
          <t>4 - Genel Yönetim Giderleri</t>
        </is>
      </c>
      <c r="C298" s="773" t="n"/>
      <c r="D298" s="773" t="n"/>
      <c r="E298" s="773" t="n"/>
      <c r="F298" s="773" t="n"/>
      <c r="G298" s="773" t="n"/>
      <c r="H298" s="773" t="n"/>
      <c r="I298" s="773" t="n"/>
      <c r="J298" s="773" t="n"/>
      <c r="K298" s="774" t="n"/>
      <c r="L298" s="829" t="n"/>
      <c r="M298" s="774" t="n"/>
      <c r="N298" s="830" t="n"/>
      <c r="O298" s="774" t="n"/>
      <c r="P298" s="829" t="n"/>
      <c r="Q298" s="774" t="n"/>
      <c r="R298" s="831">
        <f>SUM(R299:T307)</f>
        <v/>
      </c>
      <c r="S298" s="773" t="n"/>
      <c r="T298" s="774" t="n"/>
      <c r="U298" s="850" t="n"/>
      <c r="V298" s="774" t="n"/>
      <c r="W298" s="850" t="n"/>
      <c r="X298" s="774" t="n"/>
      <c r="Y298" s="833">
        <f>IFERROR(R298/$R$320,"")</f>
        <v/>
      </c>
      <c r="Z298" s="774" t="n"/>
      <c r="AA298" s="831">
        <f>SUM(AA299:AB307)</f>
        <v/>
      </c>
      <c r="AB298" s="774" t="n"/>
      <c r="AC298" s="831">
        <f>SUM(AC299:AD307)</f>
        <v/>
      </c>
      <c r="AD298" s="774" t="n"/>
      <c r="AE298" s="834" t="n"/>
      <c r="AF298" s="835" t="n"/>
    </row>
    <row r="299" ht="15" customHeight="1" s="321">
      <c r="B299" s="392" t="inlineStr">
        <is>
          <t>a) Personel Giderleri</t>
        </is>
      </c>
      <c r="C299" s="773" t="n"/>
      <c r="D299" s="773" t="n"/>
      <c r="E299" s="773" t="n"/>
      <c r="F299" s="773" t="n"/>
      <c r="G299" s="773" t="n"/>
      <c r="H299" s="773" t="n"/>
      <c r="I299" s="773" t="n"/>
      <c r="J299" s="773" t="n"/>
      <c r="K299" s="774" t="n"/>
      <c r="L299" s="842" t="n"/>
      <c r="M299" s="784" t="n"/>
      <c r="N299" s="843" t="n"/>
      <c r="O299" s="784" t="n"/>
      <c r="P299" s="842" t="n"/>
      <c r="Q299" s="784" t="n"/>
      <c r="R299" s="457">
        <f>L299*P299</f>
        <v/>
      </c>
      <c r="S299" s="773" t="n"/>
      <c r="T299" s="774" t="n"/>
      <c r="U299" s="844" t="n"/>
      <c r="V299" s="784" t="n"/>
      <c r="W299" s="845">
        <f>1-U299</f>
        <v/>
      </c>
      <c r="X299" s="774" t="n"/>
      <c r="Y299" s="846">
        <f>IFERROR(R299/$R$320,"")</f>
        <v/>
      </c>
      <c r="Z299" s="774" t="n"/>
      <c r="AA299" s="457">
        <f>R299*U299</f>
        <v/>
      </c>
      <c r="AB299" s="774" t="n"/>
      <c r="AC299" s="457">
        <f>R299*W299</f>
        <v/>
      </c>
      <c r="AD299" s="774" t="n"/>
      <c r="AE299" s="841">
        <f>IFERROR(R299/$R$320,"")</f>
        <v/>
      </c>
      <c r="AF299" s="835" t="n"/>
    </row>
    <row r="300" ht="15" customHeight="1" s="321">
      <c r="B300" s="392" t="inlineStr">
        <is>
          <t>b) Elektrik Giderleri</t>
        </is>
      </c>
      <c r="C300" s="773" t="n"/>
      <c r="D300" s="773" t="n"/>
      <c r="E300" s="773" t="n"/>
      <c r="F300" s="773" t="n"/>
      <c r="G300" s="773" t="n"/>
      <c r="H300" s="773" t="n"/>
      <c r="I300" s="773" t="n"/>
      <c r="J300" s="773" t="n"/>
      <c r="K300" s="774" t="n"/>
      <c r="L300" s="842" t="n"/>
      <c r="M300" s="784" t="n"/>
      <c r="N300" s="843" t="n"/>
      <c r="O300" s="784" t="n"/>
      <c r="P300" s="842" t="n"/>
      <c r="Q300" s="784" t="n"/>
      <c r="R300" s="457">
        <f>L300*P300</f>
        <v/>
      </c>
      <c r="S300" s="773" t="n"/>
      <c r="T300" s="774" t="n"/>
      <c r="U300" s="844" t="n"/>
      <c r="V300" s="784" t="n"/>
      <c r="W300" s="845">
        <f>1-U300</f>
        <v/>
      </c>
      <c r="X300" s="774" t="n"/>
      <c r="Y300" s="846">
        <f>IFERROR(R300/$R$320,"")</f>
        <v/>
      </c>
      <c r="Z300" s="774" t="n"/>
      <c r="AA300" s="457">
        <f>R300*U300</f>
        <v/>
      </c>
      <c r="AB300" s="774" t="n"/>
      <c r="AC300" s="457">
        <f>R300*W300</f>
        <v/>
      </c>
      <c r="AD300" s="774" t="n"/>
      <c r="AE300" s="841">
        <f>IFERROR(R300/$R$320,"")</f>
        <v/>
      </c>
      <c r="AF300" s="835" t="n"/>
    </row>
    <row r="301" ht="15" customHeight="1" s="321">
      <c r="B301" s="392" t="inlineStr">
        <is>
          <t>c) Su, Gaz Giderleri</t>
        </is>
      </c>
      <c r="C301" s="773" t="n"/>
      <c r="D301" s="773" t="n"/>
      <c r="E301" s="773" t="n"/>
      <c r="F301" s="773" t="n"/>
      <c r="G301" s="773" t="n"/>
      <c r="H301" s="773" t="n"/>
      <c r="I301" s="773" t="n"/>
      <c r="J301" s="773" t="n"/>
      <c r="K301" s="774" t="n"/>
      <c r="L301" s="842" t="n"/>
      <c r="M301" s="784" t="n"/>
      <c r="N301" s="843" t="n"/>
      <c r="O301" s="784" t="n"/>
      <c r="P301" s="842" t="n"/>
      <c r="Q301" s="784" t="n"/>
      <c r="R301" s="457">
        <f>L301*P301</f>
        <v/>
      </c>
      <c r="S301" s="773" t="n"/>
      <c r="T301" s="774" t="n"/>
      <c r="U301" s="844" t="n"/>
      <c r="V301" s="784" t="n"/>
      <c r="W301" s="845">
        <f>1-U301</f>
        <v/>
      </c>
      <c r="X301" s="774" t="n"/>
      <c r="Y301" s="846">
        <f>IFERROR(R301/$R$320,"")</f>
        <v/>
      </c>
      <c r="Z301" s="774" t="n"/>
      <c r="AA301" s="457">
        <f>R301*U301</f>
        <v/>
      </c>
      <c r="AB301" s="774" t="n"/>
      <c r="AC301" s="457">
        <f>R301*W301</f>
        <v/>
      </c>
      <c r="AD301" s="774" t="n"/>
      <c r="AE301" s="841">
        <f>IFERROR(R301/$R$320,"")</f>
        <v/>
      </c>
      <c r="AF301" s="835" t="n"/>
    </row>
    <row r="302" ht="15" customHeight="1" s="321">
      <c r="B302" s="392" t="inlineStr">
        <is>
          <t>d) Yakıt Giderleri</t>
        </is>
      </c>
      <c r="C302" s="773" t="n"/>
      <c r="D302" s="773" t="n"/>
      <c r="E302" s="773" t="n"/>
      <c r="F302" s="773" t="n"/>
      <c r="G302" s="773" t="n"/>
      <c r="H302" s="773" t="n"/>
      <c r="I302" s="773" t="n"/>
      <c r="J302" s="773" t="n"/>
      <c r="K302" s="774" t="n"/>
      <c r="L302" s="842" t="n"/>
      <c r="M302" s="784" t="n"/>
      <c r="N302" s="843" t="n"/>
      <c r="O302" s="784" t="n"/>
      <c r="P302" s="842" t="n"/>
      <c r="Q302" s="784" t="n"/>
      <c r="R302" s="457">
        <f>L302*P302</f>
        <v/>
      </c>
      <c r="S302" s="773" t="n"/>
      <c r="T302" s="774" t="n"/>
      <c r="U302" s="844" t="n"/>
      <c r="V302" s="784" t="n"/>
      <c r="W302" s="845">
        <f>1-U302</f>
        <v/>
      </c>
      <c r="X302" s="774" t="n"/>
      <c r="Y302" s="846">
        <f>IFERROR(R302/$R$320,"")</f>
        <v/>
      </c>
      <c r="Z302" s="774" t="n"/>
      <c r="AA302" s="457">
        <f>R302*U302</f>
        <v/>
      </c>
      <c r="AB302" s="774" t="n"/>
      <c r="AC302" s="457">
        <f>R302*W302</f>
        <v/>
      </c>
      <c r="AD302" s="774" t="n"/>
      <c r="AE302" s="841">
        <f>IFERROR(R302/$R$320,"")</f>
        <v/>
      </c>
      <c r="AF302" s="835" t="n"/>
    </row>
    <row r="303" ht="15" customHeight="1" s="321">
      <c r="B303" s="392" t="inlineStr">
        <is>
          <t>e) Haberleşme Giderleri</t>
        </is>
      </c>
      <c r="C303" s="773" t="n"/>
      <c r="D303" s="773" t="n"/>
      <c r="E303" s="773" t="n"/>
      <c r="F303" s="773" t="n"/>
      <c r="G303" s="773" t="n"/>
      <c r="H303" s="773" t="n"/>
      <c r="I303" s="773" t="n"/>
      <c r="J303" s="773" t="n"/>
      <c r="K303" s="774" t="n"/>
      <c r="L303" s="842" t="n">
        <v>1</v>
      </c>
      <c r="M303" s="784" t="n"/>
      <c r="N303" s="843" t="inlineStr">
        <is>
          <t>yıl</t>
        </is>
      </c>
      <c r="O303" s="784" t="n"/>
      <c r="P303" s="842" t="n">
        <v>24000</v>
      </c>
      <c r="Q303" s="784" t="n"/>
      <c r="R303" s="457">
        <f>L303*P303</f>
        <v/>
      </c>
      <c r="S303" s="773" t="n"/>
      <c r="T303" s="774" t="n"/>
      <c r="U303" s="844" t="n">
        <v>1</v>
      </c>
      <c r="V303" s="784" t="n"/>
      <c r="W303" s="845">
        <f>1-U303</f>
        <v/>
      </c>
      <c r="X303" s="774" t="n"/>
      <c r="Y303" s="846">
        <f>IFERROR(R303/$R$320,"")</f>
        <v/>
      </c>
      <c r="Z303" s="774" t="n"/>
      <c r="AA303" s="457">
        <f>R303*U303</f>
        <v/>
      </c>
      <c r="AB303" s="774" t="n"/>
      <c r="AC303" s="457">
        <f>R303*W303</f>
        <v/>
      </c>
      <c r="AD303" s="774" t="n"/>
      <c r="AE303" s="841">
        <f>IFERROR(R303/$R$320,"")</f>
        <v/>
      </c>
      <c r="AF303" s="835" t="n"/>
    </row>
    <row r="304" ht="15" customHeight="1" s="321">
      <c r="B304" s="392" t="inlineStr">
        <is>
          <t>f) Bakım Onarım Giderleri</t>
        </is>
      </c>
      <c r="C304" s="773" t="n"/>
      <c r="D304" s="773" t="n"/>
      <c r="E304" s="773" t="n"/>
      <c r="F304" s="773" t="n"/>
      <c r="G304" s="773" t="n"/>
      <c r="H304" s="773" t="n"/>
      <c r="I304" s="773" t="n"/>
      <c r="J304" s="773" t="n"/>
      <c r="K304" s="774" t="n"/>
      <c r="L304" s="842" t="n"/>
      <c r="M304" s="784" t="n"/>
      <c r="N304" s="843" t="n"/>
      <c r="O304" s="784" t="n"/>
      <c r="P304" s="842" t="n"/>
      <c r="Q304" s="784" t="n"/>
      <c r="R304" s="457">
        <f>L304*P304</f>
        <v/>
      </c>
      <c r="S304" s="773" t="n"/>
      <c r="T304" s="774" t="n"/>
      <c r="U304" s="844" t="n"/>
      <c r="V304" s="784" t="n"/>
      <c r="W304" s="845">
        <f>1-U304</f>
        <v/>
      </c>
      <c r="X304" s="774" t="n"/>
      <c r="Y304" s="846">
        <f>IFERROR(R304/$R$320,"")</f>
        <v/>
      </c>
      <c r="Z304" s="774" t="n"/>
      <c r="AA304" s="457">
        <f>R304*U304</f>
        <v/>
      </c>
      <c r="AB304" s="774" t="n"/>
      <c r="AC304" s="457">
        <f>R304*W304</f>
        <v/>
      </c>
      <c r="AD304" s="774" t="n"/>
      <c r="AE304" s="841">
        <f>IFERROR(R304/$R$320,"")</f>
        <v/>
      </c>
      <c r="AF304" s="835" t="n"/>
    </row>
    <row r="305" ht="15" customHeight="1" s="321">
      <c r="B305" s="392" t="inlineStr">
        <is>
          <t>g) Sigorta Giderleri</t>
        </is>
      </c>
      <c r="C305" s="773" t="n"/>
      <c r="D305" s="773" t="n"/>
      <c r="E305" s="773" t="n"/>
      <c r="F305" s="773" t="n"/>
      <c r="G305" s="773" t="n"/>
      <c r="H305" s="773" t="n"/>
      <c r="I305" s="773" t="n"/>
      <c r="J305" s="773" t="n"/>
      <c r="K305" s="774" t="n"/>
      <c r="L305" s="842" t="n">
        <v>1</v>
      </c>
      <c r="M305" s="784" t="n"/>
      <c r="N305" s="843" t="inlineStr">
        <is>
          <t>yıl</t>
        </is>
      </c>
      <c r="O305" s="784" t="n"/>
      <c r="P305" s="842" t="n">
        <v>75483.39</v>
      </c>
      <c r="Q305" s="784" t="n"/>
      <c r="R305" s="457">
        <f>L305*P305</f>
        <v/>
      </c>
      <c r="S305" s="773" t="n"/>
      <c r="T305" s="774" t="n"/>
      <c r="U305" s="844" t="n">
        <v>1</v>
      </c>
      <c r="V305" s="784" t="n"/>
      <c r="W305" s="845">
        <f>1-U305</f>
        <v/>
      </c>
      <c r="X305" s="774" t="n"/>
      <c r="Y305" s="846">
        <f>IFERROR(R305/$R$320,"")</f>
        <v/>
      </c>
      <c r="Z305" s="774" t="n"/>
      <c r="AA305" s="457">
        <f>R305*U305</f>
        <v/>
      </c>
      <c r="AB305" s="774" t="n"/>
      <c r="AC305" s="457">
        <f>R305*W305</f>
        <v/>
      </c>
      <c r="AD305" s="774" t="n"/>
      <c r="AE305" s="841">
        <f>IFERROR(R305/$R$320,"")</f>
        <v/>
      </c>
      <c r="AF305" s="835" t="n"/>
    </row>
    <row r="306" ht="15" customHeight="1" s="321">
      <c r="B306" s="392" t="inlineStr">
        <is>
          <t>h) Kira Giderleri</t>
        </is>
      </c>
      <c r="C306" s="773" t="n"/>
      <c r="D306" s="773" t="n"/>
      <c r="E306" s="773" t="n"/>
      <c r="F306" s="773" t="n"/>
      <c r="G306" s="773" t="n"/>
      <c r="H306" s="773" t="n"/>
      <c r="I306" s="773" t="n"/>
      <c r="J306" s="773" t="n"/>
      <c r="K306" s="774" t="n"/>
      <c r="L306" s="842" t="n"/>
      <c r="M306" s="784" t="n"/>
      <c r="N306" s="843" t="n"/>
      <c r="O306" s="784" t="n"/>
      <c r="P306" s="842" t="n"/>
      <c r="Q306" s="784" t="n"/>
      <c r="R306" s="457">
        <f>L306*P306</f>
        <v/>
      </c>
      <c r="S306" s="773" t="n"/>
      <c r="T306" s="774" t="n"/>
      <c r="U306" s="844" t="n"/>
      <c r="V306" s="784" t="n"/>
      <c r="W306" s="845">
        <f>1-U306</f>
        <v/>
      </c>
      <c r="X306" s="774" t="n"/>
      <c r="Y306" s="846">
        <f>IFERROR(R306/$R$320,"")</f>
        <v/>
      </c>
      <c r="Z306" s="774" t="n"/>
      <c r="AA306" s="457">
        <f>R306*U306</f>
        <v/>
      </c>
      <c r="AB306" s="774" t="n"/>
      <c r="AC306" s="457">
        <f>R306*W306</f>
        <v/>
      </c>
      <c r="AD306" s="774" t="n"/>
      <c r="AE306" s="841">
        <f>IFERROR(R306/$R$320,"")</f>
        <v/>
      </c>
      <c r="AF306" s="835" t="n"/>
    </row>
    <row r="307" ht="15" customHeight="1" s="321">
      <c r="B307" s="392" t="inlineStr">
        <is>
          <t>i) Diğer Giderler</t>
        </is>
      </c>
      <c r="C307" s="773" t="n"/>
      <c r="D307" s="773" t="n"/>
      <c r="E307" s="773" t="n"/>
      <c r="F307" s="773" t="n"/>
      <c r="G307" s="773" t="n"/>
      <c r="H307" s="773" t="n"/>
      <c r="I307" s="773" t="n"/>
      <c r="J307" s="773" t="n"/>
      <c r="K307" s="774" t="n"/>
      <c r="L307" s="842" t="n">
        <v>1</v>
      </c>
      <c r="M307" s="784" t="n"/>
      <c r="N307" s="843" t="inlineStr">
        <is>
          <t>yıl</t>
        </is>
      </c>
      <c r="O307" s="784" t="n"/>
      <c r="P307" s="842" t="n">
        <v>156000</v>
      </c>
      <c r="Q307" s="784" t="n"/>
      <c r="R307" s="457">
        <f>L307*P307</f>
        <v/>
      </c>
      <c r="S307" s="773" t="n"/>
      <c r="T307" s="774" t="n"/>
      <c r="U307" s="844" t="n">
        <v>1</v>
      </c>
      <c r="V307" s="784" t="n"/>
      <c r="W307" s="845">
        <f>1-U307</f>
        <v/>
      </c>
      <c r="X307" s="774" t="n"/>
      <c r="Y307" s="846">
        <f>IFERROR(R307/$R$320,"")</f>
        <v/>
      </c>
      <c r="Z307" s="774" t="n"/>
      <c r="AA307" s="457">
        <f>R307*U307</f>
        <v/>
      </c>
      <c r="AB307" s="774" t="n"/>
      <c r="AC307" s="457">
        <f>R307*W307</f>
        <v/>
      </c>
      <c r="AD307" s="774" t="n"/>
      <c r="AE307" s="841">
        <f>IFERROR(R307/$R$320,"")</f>
        <v/>
      </c>
      <c r="AF307" s="835" t="n"/>
    </row>
    <row r="308" ht="15" customHeight="1" s="321">
      <c r="B308" s="379" t="inlineStr">
        <is>
          <t>5 - Beklenebilecek Farklar</t>
        </is>
      </c>
      <c r="C308" s="773" t="n"/>
      <c r="D308" s="773" t="n"/>
      <c r="E308" s="773" t="n"/>
      <c r="F308" s="773" t="n"/>
      <c r="G308" s="773" t="n"/>
      <c r="H308" s="773" t="n"/>
      <c r="I308" s="773" t="n"/>
      <c r="J308" s="773" t="n"/>
      <c r="K308" s="774" t="n"/>
      <c r="L308" s="851" t="n"/>
      <c r="M308" s="784" t="n"/>
      <c r="N308" s="852" t="n"/>
      <c r="O308" s="784" t="n"/>
      <c r="P308" s="851" t="n"/>
      <c r="Q308" s="784" t="n"/>
      <c r="R308" s="831">
        <f>L308*P308</f>
        <v/>
      </c>
      <c r="S308" s="773" t="n"/>
      <c r="T308" s="774" t="n"/>
      <c r="U308" s="844" t="n"/>
      <c r="V308" s="784" t="n"/>
      <c r="W308" s="853">
        <f>1-U308</f>
        <v/>
      </c>
      <c r="X308" s="774" t="n"/>
      <c r="Y308" s="833">
        <f>IFERROR(R308/$R$320,"")</f>
        <v/>
      </c>
      <c r="Z308" s="774" t="n"/>
      <c r="AA308" s="831">
        <f>R308*U308</f>
        <v/>
      </c>
      <c r="AB308" s="774" t="n"/>
      <c r="AC308" s="831">
        <f>R308*W308</f>
        <v/>
      </c>
      <c r="AD308" s="774" t="n"/>
      <c r="AE308" s="841">
        <f>IFERROR(R308/$R$320,"")</f>
        <v/>
      </c>
      <c r="AF308" s="835" t="n"/>
    </row>
    <row r="309" ht="17.45" customHeight="1" s="321">
      <c r="B309" s="213" t="inlineStr">
        <is>
          <t>TOPLAM ÜRETİM GİDERLERİ (1+2+3+4+5)</t>
        </is>
      </c>
      <c r="C309" s="773" t="n"/>
      <c r="D309" s="773" t="n"/>
      <c r="E309" s="773" t="n"/>
      <c r="F309" s="773" t="n"/>
      <c r="G309" s="773" t="n"/>
      <c r="H309" s="773" t="n"/>
      <c r="I309" s="773" t="n"/>
      <c r="J309" s="773" t="n"/>
      <c r="K309" s="774" t="n"/>
      <c r="L309" s="854" t="n"/>
      <c r="M309" s="774" t="n"/>
      <c r="N309" s="855" t="n"/>
      <c r="O309" s="774" t="n"/>
      <c r="P309" s="854" t="n"/>
      <c r="Q309" s="774" t="n"/>
      <c r="R309" s="856">
        <f>R184+R278+R289+R298+R308</f>
        <v/>
      </c>
      <c r="S309" s="773" t="n"/>
      <c r="T309" s="774" t="n"/>
      <c r="U309" s="857" t="n"/>
      <c r="V309" s="774" t="n"/>
      <c r="W309" s="857" t="n"/>
      <c r="X309" s="774" t="n"/>
      <c r="Y309" s="858">
        <f>IFERROR(R309/$R$320,"")</f>
        <v/>
      </c>
      <c r="Z309" s="774" t="n"/>
      <c r="AA309" s="856">
        <f>AA184+AA278+AA289+AA298+AA308</f>
        <v/>
      </c>
      <c r="AB309" s="774" t="n"/>
      <c r="AC309" s="856">
        <f>AC184+AC278+AC289+AC298+AC308</f>
        <v/>
      </c>
      <c r="AD309" s="774" t="n"/>
      <c r="AE309" s="859" t="n"/>
      <c r="AF309" s="835" t="n"/>
    </row>
    <row r="310" ht="15" customHeight="1" s="321">
      <c r="B310" s="379" t="inlineStr">
        <is>
          <t>6 - Pazarlama, Satış ve Dağıtım Giderleri</t>
        </is>
      </c>
      <c r="C310" s="773" t="n"/>
      <c r="D310" s="773" t="n"/>
      <c r="E310" s="773" t="n"/>
      <c r="F310" s="773" t="n"/>
      <c r="G310" s="773" t="n"/>
      <c r="H310" s="773" t="n"/>
      <c r="I310" s="773" t="n"/>
      <c r="J310" s="773" t="n"/>
      <c r="K310" s="774" t="n"/>
      <c r="L310" s="829" t="n"/>
      <c r="M310" s="774" t="n"/>
      <c r="N310" s="830" t="n"/>
      <c r="O310" s="774" t="n"/>
      <c r="P310" s="829" t="n"/>
      <c r="Q310" s="774" t="n"/>
      <c r="R310" s="831">
        <f>SUM(R311:T319)</f>
        <v/>
      </c>
      <c r="S310" s="773" t="n"/>
      <c r="T310" s="774" t="n"/>
      <c r="U310" s="850" t="n"/>
      <c r="V310" s="774" t="n"/>
      <c r="W310" s="850" t="n"/>
      <c r="X310" s="774" t="n"/>
      <c r="Y310" s="833">
        <f>IFERROR(R310/$R$320,"")</f>
        <v/>
      </c>
      <c r="Z310" s="774" t="n"/>
      <c r="AA310" s="831">
        <f>SUM(AA311:AB319)</f>
        <v/>
      </c>
      <c r="AB310" s="774" t="n"/>
      <c r="AC310" s="831">
        <f>SUM(AC311:AD319)</f>
        <v/>
      </c>
      <c r="AD310" s="774" t="n"/>
      <c r="AE310" s="834" t="n"/>
      <c r="AF310" s="835" t="n"/>
    </row>
    <row r="311" ht="15" customHeight="1" s="321">
      <c r="B311" s="392" t="inlineStr">
        <is>
          <t>a) Personel Giderleri</t>
        </is>
      </c>
      <c r="C311" s="773" t="n"/>
      <c r="D311" s="773" t="n"/>
      <c r="E311" s="773" t="n"/>
      <c r="F311" s="773" t="n"/>
      <c r="G311" s="773" t="n"/>
      <c r="H311" s="773" t="n"/>
      <c r="I311" s="773" t="n"/>
      <c r="J311" s="773" t="n"/>
      <c r="K311" s="774" t="n"/>
      <c r="L311" s="842" t="n"/>
      <c r="M311" s="784" t="n"/>
      <c r="N311" s="843" t="n"/>
      <c r="O311" s="784" t="n"/>
      <c r="P311" s="842" t="n"/>
      <c r="Q311" s="784" t="n"/>
      <c r="R311" s="457">
        <f>L311*P311</f>
        <v/>
      </c>
      <c r="S311" s="773" t="n"/>
      <c r="T311" s="774" t="n"/>
      <c r="U311" s="844" t="n"/>
      <c r="V311" s="784" t="n"/>
      <c r="W311" s="845">
        <f>1-U311</f>
        <v/>
      </c>
      <c r="X311" s="774" t="n"/>
      <c r="Y311" s="846">
        <f>IFERROR(R311/$R$320,"")</f>
        <v/>
      </c>
      <c r="Z311" s="774" t="n"/>
      <c r="AA311" s="457">
        <f>R311*U311</f>
        <v/>
      </c>
      <c r="AB311" s="774" t="n"/>
      <c r="AC311" s="457">
        <f>R311*W311</f>
        <v/>
      </c>
      <c r="AD311" s="774" t="n"/>
      <c r="AE311" s="841">
        <f>IFERROR(R311/$R$320,"")</f>
        <v/>
      </c>
      <c r="AF311" s="835" t="n"/>
    </row>
    <row r="312" ht="15" customHeight="1" s="321">
      <c r="B312" s="392" t="inlineStr">
        <is>
          <t>b) Elektrik Giderleri</t>
        </is>
      </c>
      <c r="C312" s="773" t="n"/>
      <c r="D312" s="773" t="n"/>
      <c r="E312" s="773" t="n"/>
      <c r="F312" s="773" t="n"/>
      <c r="G312" s="773" t="n"/>
      <c r="H312" s="773" t="n"/>
      <c r="I312" s="773" t="n"/>
      <c r="J312" s="773" t="n"/>
      <c r="K312" s="774" t="n"/>
      <c r="L312" s="842" t="n"/>
      <c r="M312" s="784" t="n"/>
      <c r="N312" s="843" t="n"/>
      <c r="O312" s="784" t="n"/>
      <c r="P312" s="842" t="n"/>
      <c r="Q312" s="784" t="n"/>
      <c r="R312" s="457">
        <f>L312*P312</f>
        <v/>
      </c>
      <c r="S312" s="773" t="n"/>
      <c r="T312" s="774" t="n"/>
      <c r="U312" s="844" t="n"/>
      <c r="V312" s="784" t="n"/>
      <c r="W312" s="845">
        <f>1-U312</f>
        <v/>
      </c>
      <c r="X312" s="774" t="n"/>
      <c r="Y312" s="846">
        <f>IFERROR(R312/$R$320,"")</f>
        <v/>
      </c>
      <c r="Z312" s="774" t="n"/>
      <c r="AA312" s="457">
        <f>R312*U312</f>
        <v/>
      </c>
      <c r="AB312" s="774" t="n"/>
      <c r="AC312" s="457">
        <f>R312*W312</f>
        <v/>
      </c>
      <c r="AD312" s="774" t="n"/>
      <c r="AE312" s="841">
        <f>IFERROR(R312/$R$320,"")</f>
        <v/>
      </c>
      <c r="AF312" s="835" t="n"/>
    </row>
    <row r="313" ht="15" customHeight="1" s="321">
      <c r="B313" s="392" t="inlineStr">
        <is>
          <t>c) Su ve Gaz Giderleri</t>
        </is>
      </c>
      <c r="C313" s="773" t="n"/>
      <c r="D313" s="773" t="n"/>
      <c r="E313" s="773" t="n"/>
      <c r="F313" s="773" t="n"/>
      <c r="G313" s="773" t="n"/>
      <c r="H313" s="773" t="n"/>
      <c r="I313" s="773" t="n"/>
      <c r="J313" s="773" t="n"/>
      <c r="K313" s="774" t="n"/>
      <c r="L313" s="842" t="n"/>
      <c r="M313" s="784" t="n"/>
      <c r="N313" s="843" t="n"/>
      <c r="O313" s="784" t="n"/>
      <c r="P313" s="842" t="n"/>
      <c r="Q313" s="784" t="n"/>
      <c r="R313" s="457">
        <f>L313*P313</f>
        <v/>
      </c>
      <c r="S313" s="773" t="n"/>
      <c r="T313" s="774" t="n"/>
      <c r="U313" s="844" t="n"/>
      <c r="V313" s="784" t="n"/>
      <c r="W313" s="845">
        <f>1-U313</f>
        <v/>
      </c>
      <c r="X313" s="774" t="n"/>
      <c r="Y313" s="846">
        <f>IFERROR(R313/$R$320,"")</f>
        <v/>
      </c>
      <c r="Z313" s="774" t="n"/>
      <c r="AA313" s="457">
        <f>R313*U313</f>
        <v/>
      </c>
      <c r="AB313" s="774" t="n"/>
      <c r="AC313" s="457">
        <f>R313*W313</f>
        <v/>
      </c>
      <c r="AD313" s="774" t="n"/>
      <c r="AE313" s="841">
        <f>IFERROR(R313/$R$320,"")</f>
        <v/>
      </c>
      <c r="AF313" s="835" t="n"/>
    </row>
    <row r="314" ht="15" customHeight="1" s="321">
      <c r="B314" s="392" t="inlineStr">
        <is>
          <t>d) Yakıt Giderleri</t>
        </is>
      </c>
      <c r="C314" s="773" t="n"/>
      <c r="D314" s="773" t="n"/>
      <c r="E314" s="773" t="n"/>
      <c r="F314" s="773" t="n"/>
      <c r="G314" s="773" t="n"/>
      <c r="H314" s="773" t="n"/>
      <c r="I314" s="773" t="n"/>
      <c r="J314" s="773" t="n"/>
      <c r="K314" s="774" t="n"/>
      <c r="L314" s="842" t="n"/>
      <c r="M314" s="784" t="n"/>
      <c r="N314" s="843" t="n"/>
      <c r="O314" s="784" t="n"/>
      <c r="P314" s="842" t="n"/>
      <c r="Q314" s="784" t="n"/>
      <c r="R314" s="457">
        <f>L314*P314</f>
        <v/>
      </c>
      <c r="S314" s="773" t="n"/>
      <c r="T314" s="774" t="n"/>
      <c r="U314" s="844" t="n"/>
      <c r="V314" s="784" t="n"/>
      <c r="W314" s="845">
        <f>1-U314</f>
        <v/>
      </c>
      <c r="X314" s="774" t="n"/>
      <c r="Y314" s="846">
        <f>IFERROR(R314/$R$320,"")</f>
        <v/>
      </c>
      <c r="Z314" s="774" t="n"/>
      <c r="AA314" s="457">
        <f>R314*U314</f>
        <v/>
      </c>
      <c r="AB314" s="774" t="n"/>
      <c r="AC314" s="457">
        <f>R314*W314</f>
        <v/>
      </c>
      <c r="AD314" s="774" t="n"/>
      <c r="AE314" s="841">
        <f>IFERROR(R314/$R$320,"")</f>
        <v/>
      </c>
      <c r="AF314" s="835" t="n"/>
    </row>
    <row r="315" ht="15" customHeight="1" s="321">
      <c r="B315" s="392" t="inlineStr">
        <is>
          <t>e) Haberleşme Giderleri</t>
        </is>
      </c>
      <c r="C315" s="773" t="n"/>
      <c r="D315" s="773" t="n"/>
      <c r="E315" s="773" t="n"/>
      <c r="F315" s="773" t="n"/>
      <c r="G315" s="773" t="n"/>
      <c r="H315" s="773" t="n"/>
      <c r="I315" s="773" t="n"/>
      <c r="J315" s="773" t="n"/>
      <c r="K315" s="774" t="n"/>
      <c r="L315" s="842" t="n"/>
      <c r="M315" s="784" t="n"/>
      <c r="N315" s="843" t="n"/>
      <c r="O315" s="784" t="n"/>
      <c r="P315" s="842" t="n"/>
      <c r="Q315" s="784" t="n"/>
      <c r="R315" s="457">
        <f>L315*P315</f>
        <v/>
      </c>
      <c r="S315" s="773" t="n"/>
      <c r="T315" s="774" t="n"/>
      <c r="U315" s="844" t="n"/>
      <c r="V315" s="784" t="n"/>
      <c r="W315" s="845">
        <f>1-U315</f>
        <v/>
      </c>
      <c r="X315" s="774" t="n"/>
      <c r="Y315" s="846">
        <f>IFERROR(R315/$R$320,"")</f>
        <v/>
      </c>
      <c r="Z315" s="774" t="n"/>
      <c r="AA315" s="457">
        <f>R315*U315</f>
        <v/>
      </c>
      <c r="AB315" s="774" t="n"/>
      <c r="AC315" s="457">
        <f>R315*W315</f>
        <v/>
      </c>
      <c r="AD315" s="774" t="n"/>
      <c r="AE315" s="841">
        <f>IFERROR(R315/$R$320,"")</f>
        <v/>
      </c>
      <c r="AF315" s="835" t="n"/>
    </row>
    <row r="316" ht="15" customHeight="1" s="321">
      <c r="B316" s="392" t="inlineStr">
        <is>
          <t>f)  Bakım Onarım Giderleri</t>
        </is>
      </c>
      <c r="C316" s="773" t="n"/>
      <c r="D316" s="773" t="n"/>
      <c r="E316" s="773" t="n"/>
      <c r="F316" s="773" t="n"/>
      <c r="G316" s="773" t="n"/>
      <c r="H316" s="773" t="n"/>
      <c r="I316" s="773" t="n"/>
      <c r="J316" s="773" t="n"/>
      <c r="K316" s="774" t="n"/>
      <c r="L316" s="842" t="n"/>
      <c r="M316" s="784" t="n"/>
      <c r="N316" s="843" t="n"/>
      <c r="O316" s="784" t="n"/>
      <c r="P316" s="842" t="n"/>
      <c r="Q316" s="784" t="n"/>
      <c r="R316" s="457">
        <f>L316*P316</f>
        <v/>
      </c>
      <c r="S316" s="773" t="n"/>
      <c r="T316" s="774" t="n"/>
      <c r="U316" s="844" t="n"/>
      <c r="V316" s="784" t="n"/>
      <c r="W316" s="845">
        <f>1-U316</f>
        <v/>
      </c>
      <c r="X316" s="774" t="n"/>
      <c r="Y316" s="846">
        <f>IFERROR(R316/$R$320,"")</f>
        <v/>
      </c>
      <c r="Z316" s="774" t="n"/>
      <c r="AA316" s="457">
        <f>R316*U316</f>
        <v/>
      </c>
      <c r="AB316" s="774" t="n"/>
      <c r="AC316" s="457">
        <f>R316*W316</f>
        <v/>
      </c>
      <c r="AD316" s="774" t="n"/>
      <c r="AE316" s="841">
        <f>IFERROR(R316/$R$320,"")</f>
        <v/>
      </c>
      <c r="AF316" s="835" t="n"/>
    </row>
    <row r="317" ht="15" customHeight="1" s="321">
      <c r="B317" s="392" t="inlineStr">
        <is>
          <t>g) Sigorta Giderleri</t>
        </is>
      </c>
      <c r="C317" s="773" t="n"/>
      <c r="D317" s="773" t="n"/>
      <c r="E317" s="773" t="n"/>
      <c r="F317" s="773" t="n"/>
      <c r="G317" s="773" t="n"/>
      <c r="H317" s="773" t="n"/>
      <c r="I317" s="773" t="n"/>
      <c r="J317" s="773" t="n"/>
      <c r="K317" s="774" t="n"/>
      <c r="L317" s="842" t="n"/>
      <c r="M317" s="784" t="n"/>
      <c r="N317" s="843" t="n"/>
      <c r="O317" s="784" t="n"/>
      <c r="P317" s="842" t="n"/>
      <c r="Q317" s="784" t="n"/>
      <c r="R317" s="457">
        <f>L317*P317</f>
        <v/>
      </c>
      <c r="S317" s="773" t="n"/>
      <c r="T317" s="774" t="n"/>
      <c r="U317" s="844" t="n"/>
      <c r="V317" s="784" t="n"/>
      <c r="W317" s="845">
        <f>1-U317</f>
        <v/>
      </c>
      <c r="X317" s="774" t="n"/>
      <c r="Y317" s="846">
        <f>IFERROR(R317/$R$320,"")</f>
        <v/>
      </c>
      <c r="Z317" s="774" t="n"/>
      <c r="AA317" s="457">
        <f>R317*U317</f>
        <v/>
      </c>
      <c r="AB317" s="774" t="n"/>
      <c r="AC317" s="457">
        <f>R317*W317</f>
        <v/>
      </c>
      <c r="AD317" s="774" t="n"/>
      <c r="AE317" s="841">
        <f>IFERROR(R317/$R$320,"")</f>
        <v/>
      </c>
      <c r="AF317" s="835" t="n"/>
    </row>
    <row r="318" ht="15" customHeight="1" s="321">
      <c r="B318" s="392" t="inlineStr">
        <is>
          <t>h) Kira Giderleri</t>
        </is>
      </c>
      <c r="C318" s="773" t="n"/>
      <c r="D318" s="773" t="n"/>
      <c r="E318" s="773" t="n"/>
      <c r="F318" s="773" t="n"/>
      <c r="G318" s="773" t="n"/>
      <c r="H318" s="773" t="n"/>
      <c r="I318" s="773" t="n"/>
      <c r="J318" s="773" t="n"/>
      <c r="K318" s="774" t="n"/>
      <c r="L318" s="842" t="n"/>
      <c r="M318" s="784" t="n"/>
      <c r="N318" s="843" t="n"/>
      <c r="O318" s="784" t="n"/>
      <c r="P318" s="842" t="n"/>
      <c r="Q318" s="784" t="n"/>
      <c r="R318" s="457">
        <f>L318*P318</f>
        <v/>
      </c>
      <c r="S318" s="773" t="n"/>
      <c r="T318" s="774" t="n"/>
      <c r="U318" s="844" t="n"/>
      <c r="V318" s="784" t="n"/>
      <c r="W318" s="845">
        <f>1-U318</f>
        <v/>
      </c>
      <c r="X318" s="774" t="n"/>
      <c r="Y318" s="846">
        <f>IFERROR(R318/$R$320,"")</f>
        <v/>
      </c>
      <c r="Z318" s="774" t="n"/>
      <c r="AA318" s="457">
        <f>R318*U318</f>
        <v/>
      </c>
      <c r="AB318" s="774" t="n"/>
      <c r="AC318" s="457">
        <f>R318*W318</f>
        <v/>
      </c>
      <c r="AD318" s="774" t="n"/>
      <c r="AE318" s="841">
        <f>IFERROR(R318/$R$320,"")</f>
        <v/>
      </c>
      <c r="AF318" s="835" t="n"/>
    </row>
    <row r="319" ht="15" customHeight="1" s="321">
      <c r="B319" s="392" t="inlineStr">
        <is>
          <t>i) Diğer Giderler</t>
        </is>
      </c>
      <c r="C319" s="773" t="n"/>
      <c r="D319" s="773" t="n"/>
      <c r="E319" s="773" t="n"/>
      <c r="F319" s="773" t="n"/>
      <c r="G319" s="773" t="n"/>
      <c r="H319" s="773" t="n"/>
      <c r="I319" s="773" t="n"/>
      <c r="J319" s="773" t="n"/>
      <c r="K319" s="774" t="n"/>
      <c r="L319" s="842" t="n"/>
      <c r="M319" s="784" t="n"/>
      <c r="N319" s="843" t="n"/>
      <c r="O319" s="784" t="n"/>
      <c r="P319" s="842" t="n"/>
      <c r="Q319" s="784" t="n"/>
      <c r="R319" s="457">
        <f>L319*P319</f>
        <v/>
      </c>
      <c r="S319" s="773" t="n"/>
      <c r="T319" s="774" t="n"/>
      <c r="U319" s="844" t="n"/>
      <c r="V319" s="784" t="n"/>
      <c r="W319" s="845">
        <f>1-U319</f>
        <v/>
      </c>
      <c r="X319" s="774" t="n"/>
      <c r="Y319" s="846">
        <f>IFERROR(R319/$R$320,"")</f>
        <v/>
      </c>
      <c r="Z319" s="774" t="n"/>
      <c r="AA319" s="457">
        <f>R319*U319</f>
        <v/>
      </c>
      <c r="AB319" s="774" t="n"/>
      <c r="AC319" s="457">
        <f>R319*W319</f>
        <v/>
      </c>
      <c r="AD319" s="774" t="n"/>
      <c r="AE319" s="841">
        <f>IFERROR(R319/$R$320,"")</f>
        <v/>
      </c>
      <c r="AF319" s="835" t="n"/>
    </row>
    <row r="320" ht="19.15" customHeight="1" s="321" thickBot="1">
      <c r="B320" s="395" t="inlineStr">
        <is>
          <t>TOPLAM İŞLETME GİDERLERİ (1+2+3+4+5+6)</t>
        </is>
      </c>
      <c r="C320" s="787" t="n"/>
      <c r="D320" s="787" t="n"/>
      <c r="E320" s="787" t="n"/>
      <c r="F320" s="787" t="n"/>
      <c r="G320" s="787" t="n"/>
      <c r="H320" s="787" t="n"/>
      <c r="I320" s="787" t="n"/>
      <c r="J320" s="787" t="n"/>
      <c r="K320" s="788" t="n"/>
      <c r="L320" s="860" t="n"/>
      <c r="M320" s="788" t="n"/>
      <c r="N320" s="861" t="n"/>
      <c r="O320" s="788" t="n"/>
      <c r="P320" s="860" t="n"/>
      <c r="Q320" s="788" t="n"/>
      <c r="R320" s="862">
        <f>R184+R278+R289+R298+R308+R310</f>
        <v/>
      </c>
      <c r="S320" s="787" t="n"/>
      <c r="T320" s="788" t="n"/>
      <c r="U320" s="863" t="n"/>
      <c r="V320" s="788" t="n"/>
      <c r="W320" s="863" t="n"/>
      <c r="X320" s="788" t="n"/>
      <c r="Y320" s="864">
        <f>IFERROR(R320/$R$320,"")</f>
        <v/>
      </c>
      <c r="Z320" s="788" t="n"/>
      <c r="AA320" s="862">
        <f>AA184+AA278+AA289+AA298+AA308+AA310</f>
        <v/>
      </c>
      <c r="AB320" s="788" t="n"/>
      <c r="AC320" s="862">
        <f>AC184+AC278+AC289+AC298+AC308+AC310</f>
        <v/>
      </c>
      <c r="AD320" s="788" t="n"/>
      <c r="AE320" s="865" t="n"/>
      <c r="AF320" s="866" t="n"/>
    </row>
    <row r="322" ht="13.5" customHeight="1" s="321" thickBot="1"/>
    <row r="323" ht="18.6" customHeight="1" s="321" thickBot="1">
      <c r="B323" s="769" t="inlineStr">
        <is>
          <t>İŞLETME SERMAYESİ İHTİYACI (TAM KAPASİTEDE)</t>
        </is>
      </c>
      <c r="C323" s="767" t="n"/>
      <c r="D323" s="767" t="n"/>
      <c r="E323" s="767" t="n"/>
      <c r="F323" s="767" t="n"/>
      <c r="G323" s="767" t="n"/>
      <c r="H323" s="767" t="n"/>
      <c r="I323" s="767" t="n"/>
      <c r="J323" s="767" t="n"/>
      <c r="K323" s="767" t="n"/>
      <c r="L323" s="767" t="n"/>
      <c r="M323" s="767" t="n"/>
      <c r="N323" s="767" t="n"/>
      <c r="O323" s="767" t="n"/>
      <c r="P323" s="767" t="n"/>
      <c r="Q323" s="767" t="n"/>
      <c r="R323" s="767" t="n"/>
      <c r="S323" s="767" t="n"/>
      <c r="T323" s="767" t="n"/>
      <c r="U323" s="767" t="n"/>
      <c r="V323" s="767" t="n"/>
      <c r="W323" s="767" t="n"/>
      <c r="X323" s="768" t="n"/>
    </row>
    <row r="324" ht="68.45" customHeight="1" s="321">
      <c r="B324" s="867" t="inlineStr">
        <is>
          <t>UNSURLAR</t>
        </is>
      </c>
      <c r="C324" s="780" t="n"/>
      <c r="D324" s="780" t="n"/>
      <c r="E324" s="780" t="n"/>
      <c r="F324" s="780" t="n"/>
      <c r="G324" s="780" t="n"/>
      <c r="H324" s="780" t="n"/>
      <c r="I324" s="780" t="n"/>
      <c r="J324" s="781" t="n"/>
      <c r="K324" s="259" t="inlineStr">
        <is>
          <t>Süre (Gün)</t>
        </is>
      </c>
      <c r="L324" s="781" t="n"/>
      <c r="M324" s="259" t="inlineStr">
        <is>
          <t>Yıllık Tutar (Sabit)</t>
        </is>
      </c>
      <c r="N324" s="781" t="n"/>
      <c r="O324" s="259" t="inlineStr">
        <is>
          <t>Yıllık Tutar (Değişken)</t>
        </is>
      </c>
      <c r="P324" s="781" t="n"/>
      <c r="Q324" s="259" t="inlineStr">
        <is>
          <t>İşletme  Sermayesi Tutarı (Sabit) (a)</t>
        </is>
      </c>
      <c r="R324" s="781" t="n"/>
      <c r="S324" s="259" t="inlineStr">
        <is>
          <t>İşletme  Sermayesi
Tutarı (Değişken) (b)</t>
        </is>
      </c>
      <c r="T324" s="781" t="n"/>
      <c r="U324" s="259" t="inlineStr">
        <is>
          <t>Toplam (a+b)</t>
        </is>
      </c>
      <c r="V324" s="781" t="n"/>
      <c r="W324" s="868" t="inlineStr">
        <is>
          <t>Mevcut Durum</t>
        </is>
      </c>
      <c r="X324" s="869" t="n"/>
    </row>
    <row r="325" ht="19.5" customHeight="1" s="321">
      <c r="B325" s="870" t="inlineStr">
        <is>
          <t>A. Hammadde, Malzeme ve Yakıt  Stoğu</t>
        </is>
      </c>
      <c r="C325" s="773" t="n"/>
      <c r="D325" s="773" t="n"/>
      <c r="E325" s="773" t="n"/>
      <c r="F325" s="773" t="n"/>
      <c r="G325" s="773" t="n"/>
      <c r="H325" s="773" t="n"/>
      <c r="I325" s="773" t="n"/>
      <c r="J325" s="774" t="n"/>
      <c r="K325" s="252" t="n"/>
      <c r="L325" s="774" t="n"/>
      <c r="M325" s="252" t="n"/>
      <c r="N325" s="774" t="n"/>
      <c r="O325" s="252" t="n"/>
      <c r="P325" s="774" t="n"/>
      <c r="Q325" s="250">
        <f>SUM(Q326:R329)</f>
        <v/>
      </c>
      <c r="R325" s="774" t="n"/>
      <c r="S325" s="250">
        <f>SUM(S326:T329)</f>
        <v/>
      </c>
      <c r="T325" s="774" t="n"/>
      <c r="U325" s="250">
        <f>Q325+S325</f>
        <v/>
      </c>
      <c r="V325" s="774" t="n"/>
      <c r="W325" s="250">
        <f>SUM(W326:X329)</f>
        <v/>
      </c>
      <c r="X325" s="774" t="n"/>
    </row>
    <row r="326" ht="16.9" customHeight="1" s="321">
      <c r="B326" s="871" t="inlineStr">
        <is>
          <t>A1. Hammade Stoğu</t>
        </is>
      </c>
      <c r="C326" s="773" t="n"/>
      <c r="D326" s="773" t="n"/>
      <c r="E326" s="773" t="n"/>
      <c r="F326" s="773" t="n"/>
      <c r="G326" s="773" t="n"/>
      <c r="H326" s="773" t="n"/>
      <c r="I326" s="773" t="n"/>
      <c r="J326" s="774" t="n"/>
      <c r="K326" s="130" t="n">
        <v>30</v>
      </c>
      <c r="L326" s="784" t="n"/>
      <c r="M326" s="130">
        <f>IF($K326&gt;0,AA185,0)</f>
        <v/>
      </c>
      <c r="N326" s="784" t="n"/>
      <c r="O326" s="130">
        <f>IF($K326&gt;0,AC185,0)</f>
        <v/>
      </c>
      <c r="P326" s="784" t="n"/>
      <c r="Q326" s="243">
        <f>M326*K326/360</f>
        <v/>
      </c>
      <c r="R326" s="774" t="n"/>
      <c r="S326" s="243">
        <f>O326*K326/360</f>
        <v/>
      </c>
      <c r="T326" s="774" t="n"/>
      <c r="U326" s="243">
        <f>Q326+S326</f>
        <v/>
      </c>
      <c r="V326" s="774" t="n"/>
      <c r="W326" s="130" t="n"/>
      <c r="X326" s="784" t="n"/>
    </row>
    <row r="327" ht="16.9" customHeight="1" s="321">
      <c r="B327" s="871" t="inlineStr">
        <is>
          <t>A2. Yardımcı Madde Stoğu</t>
        </is>
      </c>
      <c r="C327" s="773" t="n"/>
      <c r="D327" s="773" t="n"/>
      <c r="E327" s="773" t="n"/>
      <c r="F327" s="773" t="n"/>
      <c r="G327" s="773" t="n"/>
      <c r="H327" s="773" t="n"/>
      <c r="I327" s="773" t="n"/>
      <c r="J327" s="774" t="n"/>
      <c r="K327" s="266" t="n"/>
      <c r="L327" s="784" t="n"/>
      <c r="M327" s="130">
        <f>IF($K327&gt;0,AA226,0)</f>
        <v/>
      </c>
      <c r="N327" s="784" t="n"/>
      <c r="O327" s="130">
        <f>IF($K327&gt;0,AC226,0)</f>
        <v/>
      </c>
      <c r="P327" s="784" t="n"/>
      <c r="Q327" s="243">
        <f>M327*K327/360</f>
        <v/>
      </c>
      <c r="R327" s="774" t="n"/>
      <c r="S327" s="243">
        <f>O327*K327/360</f>
        <v/>
      </c>
      <c r="T327" s="774" t="n"/>
      <c r="U327" s="243">
        <f>Q327+S327</f>
        <v/>
      </c>
      <c r="V327" s="774" t="n"/>
      <c r="W327" s="130" t="n"/>
      <c r="X327" s="784" t="n"/>
    </row>
    <row r="328" ht="16.9" customHeight="1" s="321">
      <c r="B328" s="871" t="inlineStr">
        <is>
          <t>A3. İşletme Malzemesi Stoğu</t>
        </is>
      </c>
      <c r="C328" s="773" t="n"/>
      <c r="D328" s="773" t="n"/>
      <c r="E328" s="773" t="n"/>
      <c r="F328" s="773" t="n"/>
      <c r="G328" s="773" t="n"/>
      <c r="H328" s="773" t="n"/>
      <c r="I328" s="773" t="n"/>
      <c r="J328" s="774" t="n"/>
      <c r="K328" s="130" t="n"/>
      <c r="L328" s="784" t="n"/>
      <c r="M328" s="130">
        <f>IF($K328&gt;0,AA252,0)</f>
        <v/>
      </c>
      <c r="N328" s="784" t="n"/>
      <c r="O328" s="130">
        <f>IF($K328&gt;0,AC252,0)</f>
        <v/>
      </c>
      <c r="P328" s="784" t="n"/>
      <c r="Q328" s="243">
        <f>M328*K328/360</f>
        <v/>
      </c>
      <c r="R328" s="774" t="n"/>
      <c r="S328" s="243">
        <f>O328*K328/360</f>
        <v/>
      </c>
      <c r="T328" s="774" t="n"/>
      <c r="U328" s="243">
        <f>Q328+S328</f>
        <v/>
      </c>
      <c r="V328" s="774" t="n"/>
      <c r="W328" s="130" t="n"/>
      <c r="X328" s="784" t="n"/>
    </row>
    <row r="329" ht="16.9" customHeight="1" s="321">
      <c r="B329" s="871" t="inlineStr">
        <is>
          <t>A4. Yakıt Stoğu</t>
        </is>
      </c>
      <c r="C329" s="773" t="n"/>
      <c r="D329" s="773" t="n"/>
      <c r="E329" s="773" t="n"/>
      <c r="F329" s="773" t="n"/>
      <c r="G329" s="773" t="n"/>
      <c r="H329" s="773" t="n"/>
      <c r="I329" s="773" t="n"/>
      <c r="J329" s="774" t="n"/>
      <c r="K329" s="130" t="n">
        <v>30</v>
      </c>
      <c r="L329" s="784" t="n"/>
      <c r="M329" s="130">
        <f>IF($K329&gt;0,AA292+AA302+AA314,0)</f>
        <v/>
      </c>
      <c r="N329" s="784" t="n"/>
      <c r="O329" s="130">
        <f>IF($K329&gt;0,AC292+AC302+AC314,0)</f>
        <v/>
      </c>
      <c r="P329" s="784" t="n"/>
      <c r="Q329" s="243">
        <f>M329*K329/360</f>
        <v/>
      </c>
      <c r="R329" s="774" t="n"/>
      <c r="S329" s="243">
        <f>O329*K329/360</f>
        <v/>
      </c>
      <c r="T329" s="774" t="n"/>
      <c r="U329" s="243">
        <f>Q329+S329</f>
        <v/>
      </c>
      <c r="V329" s="774" t="n"/>
      <c r="W329" s="130" t="n"/>
      <c r="X329" s="784" t="n"/>
    </row>
    <row r="330" ht="16.9" customHeight="1" s="321">
      <c r="B330" s="872" t="inlineStr">
        <is>
          <t xml:space="preserve"> B. Mamul ve Yarımamul Stoğu</t>
        </is>
      </c>
      <c r="C330" s="773" t="n"/>
      <c r="D330" s="773" t="n"/>
      <c r="E330" s="773" t="n"/>
      <c r="F330" s="773" t="n"/>
      <c r="G330" s="773" t="n"/>
      <c r="H330" s="773" t="n"/>
      <c r="I330" s="773" t="n"/>
      <c r="J330" s="774" t="n"/>
      <c r="K330" s="252" t="n"/>
      <c r="L330" s="774" t="n"/>
      <c r="M330" s="252" t="n"/>
      <c r="N330" s="774" t="n"/>
      <c r="O330" s="252" t="n"/>
      <c r="P330" s="774" t="n"/>
      <c r="Q330" s="250">
        <f>SUM(Q331:R332)</f>
        <v/>
      </c>
      <c r="R330" s="774" t="n"/>
      <c r="S330" s="250">
        <f>SUM(S331:T332)</f>
        <v/>
      </c>
      <c r="T330" s="774" t="n"/>
      <c r="U330" s="250">
        <f>SUM(U331:V332)</f>
        <v/>
      </c>
      <c r="V330" s="774" t="n"/>
      <c r="W330" s="250">
        <f>SUM(W331:X332)</f>
        <v/>
      </c>
      <c r="X330" s="774" t="n"/>
    </row>
    <row r="331" ht="16.9" customHeight="1" s="321">
      <c r="B331" s="871" t="inlineStr">
        <is>
          <t>B1.  Mamul Stoğu</t>
        </is>
      </c>
      <c r="C331" s="773" t="n"/>
      <c r="D331" s="773" t="n"/>
      <c r="E331" s="773" t="n"/>
      <c r="F331" s="773" t="n"/>
      <c r="G331" s="773" t="n"/>
      <c r="H331" s="773" t="n"/>
      <c r="I331" s="773" t="n"/>
      <c r="J331" s="774" t="n"/>
      <c r="K331" s="130" t="n"/>
      <c r="L331" s="784" t="n"/>
      <c r="M331" s="130">
        <f>IF($K331&gt;0,AA309,0)</f>
        <v/>
      </c>
      <c r="N331" s="784" t="n"/>
      <c r="O331" s="130">
        <f>IF($K331&gt;0,AC309,0)</f>
        <v/>
      </c>
      <c r="P331" s="784" t="n"/>
      <c r="Q331" s="243">
        <f>M331*K331/360</f>
        <v/>
      </c>
      <c r="R331" s="774" t="n"/>
      <c r="S331" s="243">
        <f>O331*K331/360</f>
        <v/>
      </c>
      <c r="T331" s="774" t="n"/>
      <c r="U331" s="243">
        <f>Q331+S331</f>
        <v/>
      </c>
      <c r="V331" s="774" t="n"/>
      <c r="W331" s="130" t="n"/>
      <c r="X331" s="784" t="n"/>
    </row>
    <row r="332" ht="16.9" customHeight="1" s="321">
      <c r="B332" s="871" t="inlineStr">
        <is>
          <t>B2. Yarı Mamul Stoğu</t>
        </is>
      </c>
      <c r="C332" s="773" t="n"/>
      <c r="D332" s="773" t="n"/>
      <c r="E332" s="773" t="n"/>
      <c r="F332" s="773" t="n"/>
      <c r="G332" s="773" t="n"/>
      <c r="H332" s="773" t="n"/>
      <c r="I332" s="773" t="n"/>
      <c r="J332" s="774" t="n"/>
      <c r="K332" s="130" t="n"/>
      <c r="L332" s="784" t="n"/>
      <c r="M332" s="130">
        <f>IF($K332&gt;0,AA309,0)</f>
        <v/>
      </c>
      <c r="N332" s="784" t="n"/>
      <c r="O332" s="130">
        <f>IF($K332&gt;0,AC309,0)</f>
        <v/>
      </c>
      <c r="P332" s="784" t="n"/>
      <c r="Q332" s="243">
        <f>M332*K332/360</f>
        <v/>
      </c>
      <c r="R332" s="774" t="n"/>
      <c r="S332" s="243">
        <f>O332*K332/360</f>
        <v/>
      </c>
      <c r="T332" s="774" t="n"/>
      <c r="U332" s="243">
        <f>Q332+S332</f>
        <v/>
      </c>
      <c r="V332" s="774" t="n"/>
      <c r="W332" s="130" t="n"/>
      <c r="X332" s="784" t="n"/>
    </row>
    <row r="333" ht="16.9" customHeight="1" s="321">
      <c r="B333" s="872" t="inlineStr">
        <is>
          <t xml:space="preserve"> C. Nakit İhtiyacı</t>
        </is>
      </c>
      <c r="C333" s="773" t="n"/>
      <c r="D333" s="773" t="n"/>
      <c r="E333" s="773" t="n"/>
      <c r="F333" s="773" t="n"/>
      <c r="G333" s="773" t="n"/>
      <c r="H333" s="773" t="n"/>
      <c r="I333" s="773" t="n"/>
      <c r="J333" s="774" t="n"/>
      <c r="K333" s="252" t="n"/>
      <c r="L333" s="774" t="n"/>
      <c r="M333" s="252" t="n"/>
      <c r="N333" s="774" t="n"/>
      <c r="O333" s="252" t="n"/>
      <c r="P333" s="774" t="n"/>
      <c r="Q333" s="250">
        <f>SUM(Q334:R336)</f>
        <v/>
      </c>
      <c r="R333" s="774" t="n"/>
      <c r="S333" s="250">
        <f>SUM(S334:T336)</f>
        <v/>
      </c>
      <c r="T333" s="774" t="n"/>
      <c r="U333" s="250">
        <f>SUM(U334:V336)</f>
        <v/>
      </c>
      <c r="V333" s="774" t="n"/>
      <c r="W333" s="250">
        <f>SUM(W334:X336)</f>
        <v/>
      </c>
      <c r="X333" s="774" t="n"/>
    </row>
    <row r="334" ht="16.9" customHeight="1" s="321">
      <c r="B334" s="871" t="inlineStr">
        <is>
          <t>C1. Elektrik, Su, Gaz Giderleri</t>
        </is>
      </c>
      <c r="C334" s="773" t="n"/>
      <c r="D334" s="773" t="n"/>
      <c r="E334" s="773" t="n"/>
      <c r="F334" s="773" t="n"/>
      <c r="G334" s="773" t="n"/>
      <c r="H334" s="773" t="n"/>
      <c r="I334" s="773" t="n"/>
      <c r="J334" s="774" t="n"/>
      <c r="K334" s="130" t="n">
        <v>30</v>
      </c>
      <c r="L334" s="784" t="n"/>
      <c r="M334" s="130">
        <f>IF($K334&gt;0,AA290+AA291+AA300+AA301+AA312+AA313,0)</f>
        <v/>
      </c>
      <c r="N334" s="784" t="n"/>
      <c r="O334" s="130">
        <f>IF($K334&gt;0,AC290+AC291+AC300+AC301+AC312+AC313,0)</f>
        <v/>
      </c>
      <c r="P334" s="784" t="n"/>
      <c r="Q334" s="243">
        <f>M334*K334/360</f>
        <v/>
      </c>
      <c r="R334" s="774" t="n"/>
      <c r="S334" s="243">
        <f>O334*K334/360</f>
        <v/>
      </c>
      <c r="T334" s="774" t="n"/>
      <c r="U334" s="243">
        <f>Q334+S334</f>
        <v/>
      </c>
      <c r="V334" s="774" t="n"/>
      <c r="W334" s="130" t="n"/>
      <c r="X334" s="784" t="n"/>
    </row>
    <row r="335" ht="16.9" customHeight="1" s="321">
      <c r="B335" s="871" t="inlineStr">
        <is>
          <t xml:space="preserve">C2. Personel Giderleri </t>
        </is>
      </c>
      <c r="C335" s="773" t="n"/>
      <c r="D335" s="773" t="n"/>
      <c r="E335" s="773" t="n"/>
      <c r="F335" s="773" t="n"/>
      <c r="G335" s="773" t="n"/>
      <c r="H335" s="773" t="n"/>
      <c r="I335" s="773" t="n"/>
      <c r="J335" s="774" t="n"/>
      <c r="K335" s="130" t="n">
        <v>30</v>
      </c>
      <c r="L335" s="784" t="n"/>
      <c r="M335" s="130">
        <f>IF($K335&gt;0,AA278+AA299+AA311,0)</f>
        <v/>
      </c>
      <c r="N335" s="784" t="n"/>
      <c r="O335" s="130">
        <f>IF($K335&gt;0,AC278+AC299+AC311,0)</f>
        <v/>
      </c>
      <c r="P335" s="784" t="n"/>
      <c r="Q335" s="243">
        <f>M335*K335/360</f>
        <v/>
      </c>
      <c r="R335" s="774" t="n"/>
      <c r="S335" s="243">
        <f>O335*K335/360</f>
        <v/>
      </c>
      <c r="T335" s="774" t="n"/>
      <c r="U335" s="243">
        <f>Q335+S335</f>
        <v/>
      </c>
      <c r="V335" s="774" t="n"/>
      <c r="W335" s="130" t="n"/>
      <c r="X335" s="784" t="n"/>
    </row>
    <row r="336" ht="16.9" customHeight="1" s="321">
      <c r="B336" s="871" t="inlineStr">
        <is>
          <t xml:space="preserve">C3. Diğer Nakit İhtiyacı  </t>
        </is>
      </c>
      <c r="C336" s="773" t="n"/>
      <c r="D336" s="773" t="n"/>
      <c r="E336" s="773" t="n"/>
      <c r="F336" s="773" t="n"/>
      <c r="G336" s="773" t="n"/>
      <c r="H336" s="773" t="n"/>
      <c r="I336" s="773" t="n"/>
      <c r="J336" s="774" t="n"/>
      <c r="K336" s="130" t="n">
        <v>30</v>
      </c>
      <c r="L336" s="784" t="n"/>
      <c r="M336" s="130">
        <f>IF($K336&gt;0,AA293+AA294+AA295+AA296+AA297+AA303+AA304+AA305+AA306+AA307+AA315+AA316+AA317+AA318+AA319,0)</f>
        <v/>
      </c>
      <c r="N336" s="784" t="n"/>
      <c r="O336" s="130">
        <f>IF($K336&gt;0,AC293+AC294+AC295+AC296+AC297+AC303+AC304+AC305+AC306+AC307+AC315+AC316+AC317+AC318+AC319,0)</f>
        <v/>
      </c>
      <c r="P336" s="784" t="n"/>
      <c r="Q336" s="243">
        <f>M336*K336/360</f>
        <v/>
      </c>
      <c r="R336" s="774" t="n"/>
      <c r="S336" s="243">
        <f>O336*K336/360</f>
        <v/>
      </c>
      <c r="T336" s="774" t="n"/>
      <c r="U336" s="243">
        <f>Q336+S336</f>
        <v/>
      </c>
      <c r="V336" s="774" t="n"/>
      <c r="W336" s="130" t="n"/>
      <c r="X336" s="784" t="n"/>
    </row>
    <row r="337" ht="16.9" customHeight="1" s="321">
      <c r="B337" s="872" t="inlineStr">
        <is>
          <t xml:space="preserve">  D. Vadeli Satışlar</t>
        </is>
      </c>
      <c r="C337" s="773" t="n"/>
      <c r="D337" s="773" t="n"/>
      <c r="E337" s="773" t="n"/>
      <c r="F337" s="773" t="n"/>
      <c r="G337" s="773" t="n"/>
      <c r="H337" s="773" t="n"/>
      <c r="I337" s="773" t="n"/>
      <c r="J337" s="774" t="n"/>
      <c r="K337" s="130" t="n">
        <v>30</v>
      </c>
      <c r="L337" s="784" t="n"/>
      <c r="M337" s="130">
        <f>IF($K337&gt;0,AA320,0)</f>
        <v/>
      </c>
      <c r="N337" s="784" t="n"/>
      <c r="O337" s="130">
        <f>IF($K337&gt;0,AC320,0)</f>
        <v/>
      </c>
      <c r="P337" s="784" t="n"/>
      <c r="Q337" s="250">
        <f>M337*K337/360</f>
        <v/>
      </c>
      <c r="R337" s="774" t="n"/>
      <c r="S337" s="250">
        <f>O337*K337/360</f>
        <v/>
      </c>
      <c r="T337" s="774" t="n"/>
      <c r="U337" s="250">
        <f>Q337+S337</f>
        <v/>
      </c>
      <c r="V337" s="774" t="n"/>
      <c r="W337" s="130" t="n"/>
      <c r="X337" s="784" t="n"/>
    </row>
    <row r="338" ht="16.9" customHeight="1" s="321">
      <c r="B338" s="872" t="inlineStr">
        <is>
          <t xml:space="preserve">  E. Vadeli Alışlar</t>
        </is>
      </c>
      <c r="C338" s="773" t="n"/>
      <c r="D338" s="773" t="n"/>
      <c r="E338" s="773" t="n"/>
      <c r="F338" s="773" t="n"/>
      <c r="G338" s="773" t="n"/>
      <c r="H338" s="773" t="n"/>
      <c r="I338" s="773" t="n"/>
      <c r="J338" s="774" t="n"/>
      <c r="K338" s="252" t="n"/>
      <c r="L338" s="774" t="n"/>
      <c r="M338" s="252" t="n"/>
      <c r="N338" s="774" t="n"/>
      <c r="O338" s="252" t="n"/>
      <c r="P338" s="774" t="n"/>
      <c r="Q338" s="250">
        <f>SUM(Q339:R348)</f>
        <v/>
      </c>
      <c r="R338" s="774" t="n"/>
      <c r="S338" s="250">
        <f>SUM(S339:T348)</f>
        <v/>
      </c>
      <c r="T338" s="774" t="n"/>
      <c r="U338" s="250">
        <f>SUM(U339:V348)</f>
        <v/>
      </c>
      <c r="V338" s="774" t="n"/>
      <c r="W338" s="250">
        <f>SUM(W339:X348)</f>
        <v/>
      </c>
      <c r="X338" s="774" t="n"/>
    </row>
    <row r="339" ht="16.9" customHeight="1" s="321">
      <c r="B339" s="873" t="inlineStr">
        <is>
          <t xml:space="preserve"> E1. Hammadde</t>
        </is>
      </c>
      <c r="C339" s="783" t="n"/>
      <c r="D339" s="783" t="n"/>
      <c r="E339" s="783" t="n"/>
      <c r="F339" s="783" t="n"/>
      <c r="G339" s="783" t="n"/>
      <c r="H339" s="783" t="n"/>
      <c r="I339" s="783" t="n"/>
      <c r="J339" s="784" t="n"/>
      <c r="K339" s="130" t="n"/>
      <c r="L339" s="784" t="n"/>
      <c r="M339" s="130" t="n"/>
      <c r="N339" s="784" t="n"/>
      <c r="O339" s="130" t="n"/>
      <c r="P339" s="784" t="n"/>
      <c r="Q339" s="243">
        <f>M339*K339/360</f>
        <v/>
      </c>
      <c r="R339" s="774" t="n"/>
      <c r="S339" s="243">
        <f>O339*K339/360</f>
        <v/>
      </c>
      <c r="T339" s="774" t="n"/>
      <c r="U339" s="243">
        <f>Q339+S339</f>
        <v/>
      </c>
      <c r="V339" s="774" t="n"/>
      <c r="W339" s="130" t="n"/>
      <c r="X339" s="784" t="n"/>
    </row>
    <row r="340" hidden="1" ht="16.9" customHeight="1" s="321">
      <c r="B340" s="825" t="n"/>
      <c r="C340" s="783" t="n"/>
      <c r="D340" s="783" t="n"/>
      <c r="E340" s="783" t="n"/>
      <c r="F340" s="783" t="n"/>
      <c r="G340" s="783" t="n"/>
      <c r="H340" s="783" t="n"/>
      <c r="I340" s="783" t="n"/>
      <c r="J340" s="784" t="n"/>
      <c r="K340" s="130" t="n"/>
      <c r="L340" s="784" t="n"/>
      <c r="M340" s="130" t="n"/>
      <c r="N340" s="784" t="n"/>
      <c r="O340" s="130" t="n"/>
      <c r="P340" s="784" t="n"/>
      <c r="Q340" s="243">
        <f>M340*K340/360</f>
        <v/>
      </c>
      <c r="R340" s="774" t="n"/>
      <c r="S340" s="243">
        <f>O340*K340/360</f>
        <v/>
      </c>
      <c r="T340" s="774" t="n"/>
      <c r="U340" s="243">
        <f>Q340+S340</f>
        <v/>
      </c>
      <c r="V340" s="774" t="n"/>
      <c r="W340" s="130" t="n"/>
      <c r="X340" s="784" t="n"/>
    </row>
    <row r="341" hidden="1" ht="16.9" customHeight="1" s="321">
      <c r="B341" s="825" t="n"/>
      <c r="C341" s="783" t="n"/>
      <c r="D341" s="783" t="n"/>
      <c r="E341" s="783" t="n"/>
      <c r="F341" s="783" t="n"/>
      <c r="G341" s="783" t="n"/>
      <c r="H341" s="783" t="n"/>
      <c r="I341" s="783" t="n"/>
      <c r="J341" s="784" t="n"/>
      <c r="K341" s="130" t="n"/>
      <c r="L341" s="784" t="n"/>
      <c r="M341" s="130" t="n"/>
      <c r="N341" s="784" t="n"/>
      <c r="O341" s="130" t="n"/>
      <c r="P341" s="784" t="n"/>
      <c r="Q341" s="243">
        <f>M341*K341/360</f>
        <v/>
      </c>
      <c r="R341" s="774" t="n"/>
      <c r="S341" s="243">
        <f>O341*K341/360</f>
        <v/>
      </c>
      <c r="T341" s="774" t="n"/>
      <c r="U341" s="243">
        <f>Q341+S341</f>
        <v/>
      </c>
      <c r="V341" s="774" t="n"/>
      <c r="W341" s="130" t="n"/>
      <c r="X341" s="784" t="n"/>
    </row>
    <row r="342" hidden="1" ht="16.9" customHeight="1" s="321">
      <c r="B342" s="825" t="n"/>
      <c r="C342" s="783" t="n"/>
      <c r="D342" s="783" t="n"/>
      <c r="E342" s="783" t="n"/>
      <c r="F342" s="783" t="n"/>
      <c r="G342" s="783" t="n"/>
      <c r="H342" s="783" t="n"/>
      <c r="I342" s="783" t="n"/>
      <c r="J342" s="784" t="n"/>
      <c r="K342" s="130" t="n"/>
      <c r="L342" s="784" t="n"/>
      <c r="M342" s="130" t="n"/>
      <c r="N342" s="784" t="n"/>
      <c r="O342" s="130" t="n"/>
      <c r="P342" s="784" t="n"/>
      <c r="Q342" s="243">
        <f>M342*K342/360</f>
        <v/>
      </c>
      <c r="R342" s="774" t="n"/>
      <c r="S342" s="243">
        <f>O342*K342/360</f>
        <v/>
      </c>
      <c r="T342" s="774" t="n"/>
      <c r="U342" s="243">
        <f>Q342+S342</f>
        <v/>
      </c>
      <c r="V342" s="774" t="n"/>
      <c r="W342" s="130" t="n"/>
      <c r="X342" s="784" t="n"/>
    </row>
    <row r="343" hidden="1" ht="16.9" customHeight="1" s="321">
      <c r="B343" s="825" t="n"/>
      <c r="C343" s="783" t="n"/>
      <c r="D343" s="783" t="n"/>
      <c r="E343" s="783" t="n"/>
      <c r="F343" s="783" t="n"/>
      <c r="G343" s="783" t="n"/>
      <c r="H343" s="783" t="n"/>
      <c r="I343" s="783" t="n"/>
      <c r="J343" s="784" t="n"/>
      <c r="K343" s="130" t="n"/>
      <c r="L343" s="784" t="n"/>
      <c r="M343" s="130" t="n"/>
      <c r="N343" s="784" t="n"/>
      <c r="O343" s="130" t="n"/>
      <c r="P343" s="784" t="n"/>
      <c r="Q343" s="243">
        <f>M343*K343/360</f>
        <v/>
      </c>
      <c r="R343" s="774" t="n"/>
      <c r="S343" s="243">
        <f>O343*K343/360</f>
        <v/>
      </c>
      <c r="T343" s="774" t="n"/>
      <c r="U343" s="243">
        <f>Q343+S343</f>
        <v/>
      </c>
      <c r="V343" s="774" t="n"/>
      <c r="W343" s="130" t="n"/>
      <c r="X343" s="784" t="n"/>
    </row>
    <row r="344" hidden="1" ht="16.9" customHeight="1" s="321">
      <c r="B344" s="825" t="n"/>
      <c r="C344" s="783" t="n"/>
      <c r="D344" s="783" t="n"/>
      <c r="E344" s="783" t="n"/>
      <c r="F344" s="783" t="n"/>
      <c r="G344" s="783" t="n"/>
      <c r="H344" s="783" t="n"/>
      <c r="I344" s="783" t="n"/>
      <c r="J344" s="784" t="n"/>
      <c r="K344" s="130" t="n"/>
      <c r="L344" s="784" t="n"/>
      <c r="M344" s="130" t="n"/>
      <c r="N344" s="784" t="n"/>
      <c r="O344" s="130" t="n"/>
      <c r="P344" s="784" t="n"/>
      <c r="Q344" s="243">
        <f>M344*K344/360</f>
        <v/>
      </c>
      <c r="R344" s="774" t="n"/>
      <c r="S344" s="243">
        <f>O344*K344/360</f>
        <v/>
      </c>
      <c r="T344" s="774" t="n"/>
      <c r="U344" s="243">
        <f>Q344+S344</f>
        <v/>
      </c>
      <c r="V344" s="774" t="n"/>
      <c r="W344" s="130" t="n"/>
      <c r="X344" s="784" t="n"/>
    </row>
    <row r="345" hidden="1" ht="16.9" customHeight="1" s="321">
      <c r="B345" s="825" t="n"/>
      <c r="C345" s="783" t="n"/>
      <c r="D345" s="783" t="n"/>
      <c r="E345" s="783" t="n"/>
      <c r="F345" s="783" t="n"/>
      <c r="G345" s="783" t="n"/>
      <c r="H345" s="783" t="n"/>
      <c r="I345" s="783" t="n"/>
      <c r="J345" s="784" t="n"/>
      <c r="K345" s="130" t="n"/>
      <c r="L345" s="784" t="n"/>
      <c r="M345" s="130" t="n"/>
      <c r="N345" s="784" t="n"/>
      <c r="O345" s="130" t="n"/>
      <c r="P345" s="784" t="n"/>
      <c r="Q345" s="243">
        <f>M345*K345/360</f>
        <v/>
      </c>
      <c r="R345" s="774" t="n"/>
      <c r="S345" s="243">
        <f>O345*K345/360</f>
        <v/>
      </c>
      <c r="T345" s="774" t="n"/>
      <c r="U345" s="243">
        <f>Q345+S345</f>
        <v/>
      </c>
      <c r="V345" s="774" t="n"/>
      <c r="W345" s="130" t="n"/>
      <c r="X345" s="784" t="n"/>
    </row>
    <row r="346" hidden="1" ht="16.9" customHeight="1" s="321">
      <c r="B346" s="825" t="n"/>
      <c r="C346" s="783" t="n"/>
      <c r="D346" s="783" t="n"/>
      <c r="E346" s="783" t="n"/>
      <c r="F346" s="783" t="n"/>
      <c r="G346" s="783" t="n"/>
      <c r="H346" s="783" t="n"/>
      <c r="I346" s="783" t="n"/>
      <c r="J346" s="784" t="n"/>
      <c r="K346" s="130" t="n"/>
      <c r="L346" s="784" t="n"/>
      <c r="M346" s="130" t="n"/>
      <c r="N346" s="784" t="n"/>
      <c r="O346" s="130" t="n"/>
      <c r="P346" s="784" t="n"/>
      <c r="Q346" s="243">
        <f>M346*K346/360</f>
        <v/>
      </c>
      <c r="R346" s="774" t="n"/>
      <c r="S346" s="243">
        <f>O346*K346/360</f>
        <v/>
      </c>
      <c r="T346" s="774" t="n"/>
      <c r="U346" s="243">
        <f>Q346+S346</f>
        <v/>
      </c>
      <c r="V346" s="774" t="n"/>
      <c r="W346" s="130" t="n"/>
      <c r="X346" s="784" t="n"/>
    </row>
    <row r="347" hidden="1" ht="16.9" customHeight="1" s="321">
      <c r="B347" s="825" t="n"/>
      <c r="C347" s="783" t="n"/>
      <c r="D347" s="783" t="n"/>
      <c r="E347" s="783" t="n"/>
      <c r="F347" s="783" t="n"/>
      <c r="G347" s="783" t="n"/>
      <c r="H347" s="783" t="n"/>
      <c r="I347" s="783" t="n"/>
      <c r="J347" s="784" t="n"/>
      <c r="K347" s="130" t="n"/>
      <c r="L347" s="784" t="n"/>
      <c r="M347" s="130" t="n"/>
      <c r="N347" s="784" t="n"/>
      <c r="O347" s="130" t="n"/>
      <c r="P347" s="784" t="n"/>
      <c r="Q347" s="243">
        <f>M347*K347/360</f>
        <v/>
      </c>
      <c r="R347" s="774" t="n"/>
      <c r="S347" s="243">
        <f>O347*K347/360</f>
        <v/>
      </c>
      <c r="T347" s="774" t="n"/>
      <c r="U347" s="243">
        <f>Q347+S347</f>
        <v/>
      </c>
      <c r="V347" s="774" t="n"/>
      <c r="W347" s="130" t="n"/>
      <c r="X347" s="784" t="n"/>
    </row>
    <row r="348" hidden="1" ht="16.9" customHeight="1" s="321">
      <c r="B348" s="825" t="n"/>
      <c r="C348" s="783" t="n"/>
      <c r="D348" s="783" t="n"/>
      <c r="E348" s="783" t="n"/>
      <c r="F348" s="783" t="n"/>
      <c r="G348" s="783" t="n"/>
      <c r="H348" s="783" t="n"/>
      <c r="I348" s="783" t="n"/>
      <c r="J348" s="784" t="n"/>
      <c r="K348" s="130" t="n"/>
      <c r="L348" s="784" t="n"/>
      <c r="M348" s="130" t="n"/>
      <c r="N348" s="784" t="n"/>
      <c r="O348" s="130" t="n"/>
      <c r="P348" s="784" t="n"/>
      <c r="Q348" s="243">
        <f>M348*K348/360</f>
        <v/>
      </c>
      <c r="R348" s="774" t="n"/>
      <c r="S348" s="243">
        <f>O348*K348/360</f>
        <v/>
      </c>
      <c r="T348" s="774" t="n"/>
      <c r="U348" s="243">
        <f>Q348+S348</f>
        <v/>
      </c>
      <c r="V348" s="774" t="n"/>
      <c r="W348" s="130" t="n"/>
      <c r="X348" s="784" t="n"/>
    </row>
    <row r="349" ht="23.25" customHeight="1" s="321" thickBot="1">
      <c r="B349" s="874" t="inlineStr">
        <is>
          <t>Tam Kapasitede Toplam İşletme Sermayesi İhtiyacı</t>
        </is>
      </c>
      <c r="C349" s="787" t="n"/>
      <c r="D349" s="787" t="n"/>
      <c r="E349" s="787" t="n"/>
      <c r="F349" s="787" t="n"/>
      <c r="G349" s="787" t="n"/>
      <c r="H349" s="787" t="n"/>
      <c r="I349" s="787" t="n"/>
      <c r="J349" s="787" t="n"/>
      <c r="K349" s="787" t="n"/>
      <c r="L349" s="787" t="n"/>
      <c r="M349" s="787" t="n"/>
      <c r="N349" s="787" t="n"/>
      <c r="O349" s="787" t="n"/>
      <c r="P349" s="788" t="n"/>
      <c r="Q349" s="241">
        <f>Q325+Q330+Q333+Q337-Q338</f>
        <v/>
      </c>
      <c r="R349" s="788" t="n"/>
      <c r="S349" s="241">
        <f>S325+S330+S333+S337-S338</f>
        <v/>
      </c>
      <c r="T349" s="788" t="n"/>
      <c r="U349" s="241">
        <f>U325+U330+U333+U337-U338</f>
        <v/>
      </c>
      <c r="V349" s="788" t="n"/>
      <c r="W349" s="241">
        <f>W325+W330+W333+W337-W338</f>
        <v/>
      </c>
      <c r="X349" s="788" t="n"/>
    </row>
    <row r="350" ht="16.9" customHeight="1" s="321">
      <c r="B350" s="28" t="n"/>
      <c r="C350" s="28" t="n"/>
      <c r="D350" s="28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9" t="n"/>
      <c r="R350" s="29" t="n"/>
      <c r="S350" s="29" t="n"/>
      <c r="T350" s="29" t="n"/>
      <c r="U350" s="29" t="n"/>
      <c r="V350" s="29" t="n"/>
    </row>
    <row r="351" ht="16.9" customHeight="1" s="321">
      <c r="B351" s="28" t="n"/>
      <c r="C351" s="28" t="n"/>
      <c r="D351" s="28" t="n"/>
      <c r="E351" s="28" t="n"/>
      <c r="F351" s="28" t="n"/>
      <c r="G351" s="28" t="n"/>
      <c r="H351" s="28" t="n"/>
      <c r="I351" s="28" t="n"/>
      <c r="J351" s="28" t="n"/>
      <c r="K351" s="28" t="n"/>
      <c r="L351" s="28" t="n"/>
      <c r="M351" s="28" t="n"/>
      <c r="N351" s="28" t="n"/>
      <c r="O351" s="28" t="n"/>
      <c r="P351" s="28" t="n"/>
      <c r="Q351" s="29" t="n"/>
      <c r="R351" s="29" t="n"/>
      <c r="S351" s="29" t="n"/>
      <c r="T351" s="29" t="n"/>
      <c r="U351" s="29" t="n"/>
      <c r="V351" s="29" t="n"/>
    </row>
    <row r="352" ht="16.9" customHeight="1" s="321" thickBot="1">
      <c r="B352" s="28" t="n"/>
      <c r="C352" s="28" t="n"/>
      <c r="D352" s="28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9" t="n"/>
      <c r="R352" s="29" t="n"/>
      <c r="S352" s="29" t="n"/>
      <c r="T352" s="29" t="n"/>
      <c r="U352" s="29" t="n"/>
      <c r="V352" s="29" t="n"/>
    </row>
    <row r="353" ht="32.45" customHeight="1" s="321" thickBot="1">
      <c r="B353" s="269" t="inlineStr">
        <is>
          <t>ÜRETİM GİDERLERİ
(Mevcut Durum)</t>
        </is>
      </c>
      <c r="C353" s="767" t="n"/>
      <c r="D353" s="767" t="n"/>
      <c r="E353" s="767" t="n"/>
      <c r="F353" s="767" t="n"/>
      <c r="G353" s="767" t="n"/>
      <c r="H353" s="767" t="n"/>
      <c r="I353" s="767" t="n"/>
      <c r="J353" s="767" t="n"/>
      <c r="K353" s="767" t="n"/>
      <c r="L353" s="813" t="n"/>
      <c r="M353" s="28" t="n"/>
      <c r="N353" s="875" t="inlineStr">
        <is>
          <t>GENEL YÖNETİM GİDERLERİ
(Mevcut Durum)</t>
        </is>
      </c>
      <c r="O353" s="767" t="n"/>
      <c r="P353" s="767" t="n"/>
      <c r="Q353" s="767" t="n"/>
      <c r="R353" s="767" t="n"/>
      <c r="S353" s="767" t="n"/>
      <c r="T353" s="767" t="n"/>
      <c r="U353" s="768" t="n"/>
      <c r="V353" s="20" t="n"/>
      <c r="W353" s="875" t="inlineStr">
        <is>
          <t>PAZARLAMA GİDERLERİ
(Mevcut Durum)</t>
        </is>
      </c>
      <c r="X353" s="767" t="n"/>
      <c r="Y353" s="767" t="n"/>
      <c r="Z353" s="767" t="n"/>
      <c r="AA353" s="767" t="n"/>
      <c r="AB353" s="767" t="n"/>
      <c r="AC353" s="767" t="n"/>
      <c r="AD353" s="768" t="n"/>
    </row>
    <row r="354" ht="19.5" customHeight="1" s="321">
      <c r="B354" s="268" t="inlineStr">
        <is>
          <t>Gider Unsurları</t>
        </is>
      </c>
      <c r="C354" s="780" t="n"/>
      <c r="D354" s="780" t="n"/>
      <c r="E354" s="780" t="n"/>
      <c r="F354" s="780" t="n"/>
      <c r="G354" s="780" t="n"/>
      <c r="H354" s="780" t="n"/>
      <c r="I354" s="781" t="n"/>
      <c r="J354" s="149" t="inlineStr">
        <is>
          <t>Tutar (TL)</t>
        </is>
      </c>
      <c r="K354" s="780" t="n"/>
      <c r="L354" s="781" t="n"/>
      <c r="M354" s="28" t="n"/>
      <c r="N354" s="268" t="inlineStr">
        <is>
          <t>Gider Unsurları</t>
        </is>
      </c>
      <c r="O354" s="780" t="n"/>
      <c r="P354" s="780" t="n"/>
      <c r="Q354" s="780" t="n"/>
      <c r="R354" s="780" t="n"/>
      <c r="S354" s="781" t="n"/>
      <c r="T354" s="150" t="inlineStr">
        <is>
          <t>Tutar (TL)</t>
        </is>
      </c>
      <c r="U354" s="869" t="n"/>
      <c r="V354" s="29" t="n"/>
      <c r="W354" s="268" t="inlineStr">
        <is>
          <t>Gider Unsurları</t>
        </is>
      </c>
      <c r="X354" s="780" t="n"/>
      <c r="Y354" s="780" t="n"/>
      <c r="Z354" s="780" t="n"/>
      <c r="AA354" s="780" t="n"/>
      <c r="AB354" s="781" t="n"/>
      <c r="AC354" s="150" t="inlineStr">
        <is>
          <t>Tutar (TL)</t>
        </is>
      </c>
      <c r="AD354" s="869" t="n"/>
    </row>
    <row r="355" ht="16.9" customHeight="1" s="321">
      <c r="B355" s="876" t="inlineStr">
        <is>
          <t>1-Direkt İlk Madde ve Malzeme</t>
        </is>
      </c>
      <c r="C355" s="773" t="n"/>
      <c r="D355" s="773" t="n"/>
      <c r="E355" s="773" t="n"/>
      <c r="F355" s="773" t="n"/>
      <c r="G355" s="773" t="n"/>
      <c r="H355" s="773" t="n"/>
      <c r="I355" s="774" t="n"/>
      <c r="J355" s="877">
        <f>SUM(J356:L358)</f>
        <v/>
      </c>
      <c r="K355" s="773" t="n"/>
      <c r="L355" s="835" t="n"/>
      <c r="M355" s="28" t="n"/>
      <c r="N355" s="878" t="inlineStr">
        <is>
          <t>a) Personel Giderleri</t>
        </is>
      </c>
      <c r="O355" s="773" t="n"/>
      <c r="P355" s="773" t="n"/>
      <c r="Q355" s="773" t="n"/>
      <c r="R355" s="773" t="n"/>
      <c r="S355" s="774" t="n"/>
      <c r="T355" s="879" t="n"/>
      <c r="U355" s="816" t="n"/>
      <c r="V355" s="29" t="n"/>
      <c r="W355" s="878" t="inlineStr">
        <is>
          <t>a) Personel Giderleri</t>
        </is>
      </c>
      <c r="X355" s="773" t="n"/>
      <c r="Y355" s="773" t="n"/>
      <c r="Z355" s="773" t="n"/>
      <c r="AA355" s="773" t="n"/>
      <c r="AB355" s="774" t="n"/>
      <c r="AC355" s="879" t="n"/>
      <c r="AD355" s="816" t="n"/>
    </row>
    <row r="356" ht="16.9" customHeight="1" s="321">
      <c r="B356" s="197" t="inlineStr">
        <is>
          <t>a) İlk Madde Kullanımı</t>
        </is>
      </c>
      <c r="C356" s="773" t="n"/>
      <c r="D356" s="773" t="n"/>
      <c r="E356" s="773" t="n"/>
      <c r="F356" s="773" t="n"/>
      <c r="G356" s="773" t="n"/>
      <c r="H356" s="773" t="n"/>
      <c r="I356" s="773" t="n"/>
      <c r="J356" s="145" t="n"/>
      <c r="K356" s="783" t="n"/>
      <c r="L356" s="816" t="n"/>
      <c r="M356" s="28" t="n"/>
      <c r="N356" s="878" t="inlineStr">
        <is>
          <t>b) Elektrik Giderleri</t>
        </is>
      </c>
      <c r="O356" s="773" t="n"/>
      <c r="P356" s="773" t="n"/>
      <c r="Q356" s="773" t="n"/>
      <c r="R356" s="773" t="n"/>
      <c r="S356" s="774" t="n"/>
      <c r="T356" s="879" t="n"/>
      <c r="U356" s="816" t="n"/>
      <c r="V356" s="29" t="n"/>
      <c r="W356" s="878" t="inlineStr">
        <is>
          <t>b) Elektrik Giderleri</t>
        </is>
      </c>
      <c r="X356" s="773" t="n"/>
      <c r="Y356" s="773" t="n"/>
      <c r="Z356" s="773" t="n"/>
      <c r="AA356" s="773" t="n"/>
      <c r="AB356" s="774" t="n"/>
      <c r="AC356" s="879" t="n"/>
      <c r="AD356" s="816" t="n"/>
    </row>
    <row r="357" ht="16.9" customHeight="1" s="321">
      <c r="B357" s="197" t="inlineStr">
        <is>
          <t>b) Yardımcı Madde</t>
        </is>
      </c>
      <c r="C357" s="773" t="n"/>
      <c r="D357" s="773" t="n"/>
      <c r="E357" s="773" t="n"/>
      <c r="F357" s="773" t="n"/>
      <c r="G357" s="773" t="n"/>
      <c r="H357" s="773" t="n"/>
      <c r="I357" s="773" t="n"/>
      <c r="J357" s="145" t="n"/>
      <c r="K357" s="783" t="n"/>
      <c r="L357" s="816" t="n"/>
      <c r="M357" s="28" t="n"/>
      <c r="N357" s="878" t="inlineStr">
        <is>
          <t>c) Su, Gaz Giderleri</t>
        </is>
      </c>
      <c r="O357" s="773" t="n"/>
      <c r="P357" s="773" t="n"/>
      <c r="Q357" s="773" t="n"/>
      <c r="R357" s="773" t="n"/>
      <c r="S357" s="774" t="n"/>
      <c r="T357" s="879" t="n"/>
      <c r="U357" s="816" t="n"/>
      <c r="V357" s="29" t="n"/>
      <c r="W357" s="878" t="inlineStr">
        <is>
          <t>c) Su ve Gaz Giderleri</t>
        </is>
      </c>
      <c r="X357" s="773" t="n"/>
      <c r="Y357" s="773" t="n"/>
      <c r="Z357" s="773" t="n"/>
      <c r="AA357" s="773" t="n"/>
      <c r="AB357" s="774" t="n"/>
      <c r="AC357" s="879" t="n"/>
      <c r="AD357" s="816" t="n"/>
    </row>
    <row r="358" ht="16.9" customHeight="1" s="321">
      <c r="B358" s="197" t="inlineStr">
        <is>
          <t>c) İşletme Malzemesi Kullanımı</t>
        </is>
      </c>
      <c r="C358" s="773" t="n"/>
      <c r="D358" s="773" t="n"/>
      <c r="E358" s="773" t="n"/>
      <c r="F358" s="773" t="n"/>
      <c r="G358" s="773" t="n"/>
      <c r="H358" s="773" t="n"/>
      <c r="I358" s="773" t="n"/>
      <c r="J358" s="145" t="n"/>
      <c r="K358" s="783" t="n"/>
      <c r="L358" s="816" t="n"/>
      <c r="N358" s="878" t="inlineStr">
        <is>
          <t>d) Yakıt Giderleri</t>
        </is>
      </c>
      <c r="O358" s="773" t="n"/>
      <c r="P358" s="773" t="n"/>
      <c r="Q358" s="773" t="n"/>
      <c r="R358" s="773" t="n"/>
      <c r="S358" s="774" t="n"/>
      <c r="T358" s="879" t="n"/>
      <c r="U358" s="816" t="n"/>
      <c r="W358" s="878" t="inlineStr">
        <is>
          <t>d) Yakıt Giderleri</t>
        </is>
      </c>
      <c r="X358" s="773" t="n"/>
      <c r="Y358" s="773" t="n"/>
      <c r="Z358" s="773" t="n"/>
      <c r="AA358" s="773" t="n"/>
      <c r="AB358" s="774" t="n"/>
      <c r="AC358" s="879" t="n"/>
      <c r="AD358" s="816" t="n"/>
    </row>
    <row r="359" ht="19.15" customHeight="1" s="321">
      <c r="B359" s="876" t="inlineStr">
        <is>
          <t xml:space="preserve">2-Direkt İşçilik Giderleri </t>
        </is>
      </c>
      <c r="C359" s="773" t="n"/>
      <c r="D359" s="773" t="n"/>
      <c r="E359" s="773" t="n"/>
      <c r="F359" s="773" t="n"/>
      <c r="G359" s="773" t="n"/>
      <c r="H359" s="773" t="n"/>
      <c r="I359" s="774" t="n"/>
      <c r="J359" s="880" t="n"/>
      <c r="K359" s="783" t="n"/>
      <c r="L359" s="816" t="n"/>
      <c r="N359" s="878" t="inlineStr">
        <is>
          <t>e) Haberleşme Giderleri</t>
        </is>
      </c>
      <c r="O359" s="773" t="n"/>
      <c r="P359" s="773" t="n"/>
      <c r="Q359" s="773" t="n"/>
      <c r="R359" s="773" t="n"/>
      <c r="S359" s="774" t="n"/>
      <c r="T359" s="879" t="n"/>
      <c r="U359" s="816" t="n"/>
      <c r="W359" s="878" t="inlineStr">
        <is>
          <t>e) Haberleşme Giderleri</t>
        </is>
      </c>
      <c r="X359" s="773" t="n"/>
      <c r="Y359" s="773" t="n"/>
      <c r="Z359" s="773" t="n"/>
      <c r="AA359" s="773" t="n"/>
      <c r="AB359" s="774" t="n"/>
      <c r="AC359" s="879" t="n"/>
      <c r="AD359" s="816" t="n"/>
    </row>
    <row r="360" ht="16.9" customHeight="1" s="321">
      <c r="B360" s="876" t="inlineStr">
        <is>
          <t>3-Genel Üretim Giderleri</t>
        </is>
      </c>
      <c r="C360" s="773" t="n"/>
      <c r="D360" s="773" t="n"/>
      <c r="E360" s="773" t="n"/>
      <c r="F360" s="773" t="n"/>
      <c r="G360" s="773" t="n"/>
      <c r="H360" s="773" t="n"/>
      <c r="I360" s="774" t="n"/>
      <c r="J360" s="877">
        <f>SUM(J361:L368)</f>
        <v/>
      </c>
      <c r="K360" s="773" t="n"/>
      <c r="L360" s="835" t="n"/>
      <c r="N360" s="878" t="inlineStr">
        <is>
          <t>f) Bakım Onarım Giderleri</t>
        </is>
      </c>
      <c r="O360" s="773" t="n"/>
      <c r="P360" s="773" t="n"/>
      <c r="Q360" s="773" t="n"/>
      <c r="R360" s="773" t="n"/>
      <c r="S360" s="774" t="n"/>
      <c r="T360" s="879" t="n"/>
      <c r="U360" s="816" t="n"/>
      <c r="W360" s="878" t="inlineStr">
        <is>
          <t>f)  Bakım Onarım Giderleri</t>
        </is>
      </c>
      <c r="X360" s="773" t="n"/>
      <c r="Y360" s="773" t="n"/>
      <c r="Z360" s="773" t="n"/>
      <c r="AA360" s="773" t="n"/>
      <c r="AB360" s="774" t="n"/>
      <c r="AC360" s="879" t="n"/>
      <c r="AD360" s="816" t="n"/>
    </row>
    <row r="361" ht="16.9" customHeight="1" s="321">
      <c r="B361" s="197" t="inlineStr">
        <is>
          <t>a) Elektrik Giderleri</t>
        </is>
      </c>
      <c r="C361" s="773" t="n"/>
      <c r="D361" s="773" t="n"/>
      <c r="E361" s="773" t="n"/>
      <c r="F361" s="773" t="n"/>
      <c r="G361" s="773" t="n"/>
      <c r="H361" s="773" t="n"/>
      <c r="I361" s="773" t="n"/>
      <c r="J361" s="145" t="n"/>
      <c r="K361" s="783" t="n"/>
      <c r="L361" s="816" t="n"/>
      <c r="N361" s="878" t="inlineStr">
        <is>
          <t>g) Sigorta Giderleri</t>
        </is>
      </c>
      <c r="O361" s="773" t="n"/>
      <c r="P361" s="773" t="n"/>
      <c r="Q361" s="773" t="n"/>
      <c r="R361" s="773" t="n"/>
      <c r="S361" s="774" t="n"/>
      <c r="T361" s="879" t="n"/>
      <c r="U361" s="816" t="n"/>
      <c r="W361" s="878" t="inlineStr">
        <is>
          <t>g) Sigorta Giderleri</t>
        </is>
      </c>
      <c r="X361" s="773" t="n"/>
      <c r="Y361" s="773" t="n"/>
      <c r="Z361" s="773" t="n"/>
      <c r="AA361" s="773" t="n"/>
      <c r="AB361" s="774" t="n"/>
      <c r="AC361" s="879" t="n"/>
      <c r="AD361" s="816" t="n"/>
    </row>
    <row r="362" ht="16.9" customHeight="1" s="321">
      <c r="B362" s="197" t="inlineStr">
        <is>
          <t>b) Su, Gaz Giderleri</t>
        </is>
      </c>
      <c r="C362" s="773" t="n"/>
      <c r="D362" s="773" t="n"/>
      <c r="E362" s="773" t="n"/>
      <c r="F362" s="773" t="n"/>
      <c r="G362" s="773" t="n"/>
      <c r="H362" s="773" t="n"/>
      <c r="I362" s="773" t="n"/>
      <c r="J362" s="145" t="n"/>
      <c r="K362" s="783" t="n"/>
      <c r="L362" s="816" t="n"/>
      <c r="N362" s="878" t="inlineStr">
        <is>
          <t>h) Kira Giderleri</t>
        </is>
      </c>
      <c r="O362" s="773" t="n"/>
      <c r="P362" s="773" t="n"/>
      <c r="Q362" s="773" t="n"/>
      <c r="R362" s="773" t="n"/>
      <c r="S362" s="774" t="n"/>
      <c r="T362" s="879" t="n"/>
      <c r="U362" s="816" t="n"/>
      <c r="W362" s="878" t="inlineStr">
        <is>
          <t>h) Kira Giderleri</t>
        </is>
      </c>
      <c r="X362" s="773" t="n"/>
      <c r="Y362" s="773" t="n"/>
      <c r="Z362" s="773" t="n"/>
      <c r="AA362" s="773" t="n"/>
      <c r="AB362" s="774" t="n"/>
      <c r="AC362" s="879" t="n"/>
      <c r="AD362" s="816" t="n"/>
    </row>
    <row r="363" ht="16.9" customHeight="1" s="321">
      <c r="B363" s="197" t="inlineStr">
        <is>
          <t>c) Yakıt Giderleri</t>
        </is>
      </c>
      <c r="C363" s="773" t="n"/>
      <c r="D363" s="773" t="n"/>
      <c r="E363" s="773" t="n"/>
      <c r="F363" s="773" t="n"/>
      <c r="G363" s="773" t="n"/>
      <c r="H363" s="773" t="n"/>
      <c r="I363" s="773" t="n"/>
      <c r="J363" s="145" t="n"/>
      <c r="K363" s="783" t="n"/>
      <c r="L363" s="816" t="n"/>
      <c r="N363" s="878" t="inlineStr">
        <is>
          <t>i) Diğer Giderler</t>
        </is>
      </c>
      <c r="O363" s="773" t="n"/>
      <c r="P363" s="773" t="n"/>
      <c r="Q363" s="773" t="n"/>
      <c r="R363" s="773" t="n"/>
      <c r="S363" s="774" t="n"/>
      <c r="T363" s="879" t="n"/>
      <c r="U363" s="816" t="n"/>
      <c r="W363" s="878" t="inlineStr">
        <is>
          <t>i) Diğer Giderler</t>
        </is>
      </c>
      <c r="X363" s="773" t="n"/>
      <c r="Y363" s="773" t="n"/>
      <c r="Z363" s="773" t="n"/>
      <c r="AA363" s="773" t="n"/>
      <c r="AB363" s="774" t="n"/>
      <c r="AC363" s="879" t="n"/>
      <c r="AD363" s="816" t="n"/>
    </row>
    <row r="364" ht="16.9" customHeight="1" s="321" thickBot="1">
      <c r="B364" s="197" t="inlineStr">
        <is>
          <t>d) Haberleşme Giderleri</t>
        </is>
      </c>
      <c r="C364" s="773" t="n"/>
      <c r="D364" s="773" t="n"/>
      <c r="E364" s="773" t="n"/>
      <c r="F364" s="773" t="n"/>
      <c r="G364" s="773" t="n"/>
      <c r="H364" s="773" t="n"/>
      <c r="I364" s="773" t="n"/>
      <c r="J364" s="145" t="n"/>
      <c r="K364" s="783" t="n"/>
      <c r="L364" s="816" t="n"/>
      <c r="N364" s="881" t="inlineStr">
        <is>
          <t>Toplam Genel Yönetim Giderleri</t>
        </is>
      </c>
      <c r="O364" s="787" t="n"/>
      <c r="P364" s="787" t="n"/>
      <c r="Q364" s="787" t="n"/>
      <c r="R364" s="787" t="n"/>
      <c r="S364" s="788" t="n"/>
      <c r="T364" s="882">
        <f>SUM(T355:U363)</f>
        <v/>
      </c>
      <c r="U364" s="866" t="n"/>
      <c r="W364" s="881" t="inlineStr">
        <is>
          <t>Toplam Pazarlama Giderleri</t>
        </is>
      </c>
      <c r="X364" s="787" t="n"/>
      <c r="Y364" s="787" t="n"/>
      <c r="Z364" s="787" t="n"/>
      <c r="AA364" s="787" t="n"/>
      <c r="AB364" s="788" t="n"/>
      <c r="AC364" s="882">
        <f>SUM(AC355:AD363)</f>
        <v/>
      </c>
      <c r="AD364" s="866" t="n"/>
    </row>
    <row r="365" ht="16.9" customHeight="1" s="321">
      <c r="B365" s="197" t="inlineStr">
        <is>
          <t xml:space="preserve">e) Bakım Onarım Giderleri </t>
        </is>
      </c>
      <c r="C365" s="773" t="n"/>
      <c r="D365" s="773" t="n"/>
      <c r="E365" s="773" t="n"/>
      <c r="F365" s="773" t="n"/>
      <c r="G365" s="773" t="n"/>
      <c r="H365" s="773" t="n"/>
      <c r="I365" s="773" t="n"/>
      <c r="J365" s="145" t="n"/>
      <c r="K365" s="783" t="n"/>
      <c r="L365" s="816" t="n"/>
    </row>
    <row r="366" ht="16.9" customHeight="1" s="321">
      <c r="B366" s="197" t="inlineStr">
        <is>
          <t>f) Sigorta Giderleri</t>
        </is>
      </c>
      <c r="C366" s="773" t="n"/>
      <c r="D366" s="773" t="n"/>
      <c r="E366" s="773" t="n"/>
      <c r="F366" s="773" t="n"/>
      <c r="G366" s="773" t="n"/>
      <c r="H366" s="773" t="n"/>
      <c r="I366" s="773" t="n"/>
      <c r="J366" s="145" t="n"/>
      <c r="K366" s="783" t="n"/>
      <c r="L366" s="816" t="n"/>
    </row>
    <row r="367" ht="16.9" customHeight="1" s="321">
      <c r="B367" s="197" t="inlineStr">
        <is>
          <t>g) Kira Giderleri</t>
        </is>
      </c>
      <c r="C367" s="773" t="n"/>
      <c r="D367" s="773" t="n"/>
      <c r="E367" s="773" t="n"/>
      <c r="F367" s="773" t="n"/>
      <c r="G367" s="773" t="n"/>
      <c r="H367" s="773" t="n"/>
      <c r="I367" s="773" t="n"/>
      <c r="J367" s="145" t="n"/>
      <c r="K367" s="783" t="n"/>
      <c r="L367" s="816" t="n"/>
    </row>
    <row r="368" ht="16.9" customHeight="1" s="321">
      <c r="B368" s="197" t="inlineStr">
        <is>
          <t>h) Diğer Giderler</t>
        </is>
      </c>
      <c r="C368" s="773" t="n"/>
      <c r="D368" s="773" t="n"/>
      <c r="E368" s="773" t="n"/>
      <c r="F368" s="773" t="n"/>
      <c r="G368" s="773" t="n"/>
      <c r="H368" s="773" t="n"/>
      <c r="I368" s="773" t="n"/>
      <c r="J368" s="145" t="n"/>
      <c r="K368" s="783" t="n"/>
      <c r="L368" s="816" t="n"/>
    </row>
    <row r="369" ht="16.9" customHeight="1" s="321" thickBot="1">
      <c r="B369" s="474" t="inlineStr">
        <is>
          <t>Toplam Üretim Gİderleri (1+2+3)</t>
        </is>
      </c>
      <c r="C369" s="787" t="n"/>
      <c r="D369" s="787" t="n"/>
      <c r="E369" s="787" t="n"/>
      <c r="F369" s="787" t="n"/>
      <c r="G369" s="787" t="n"/>
      <c r="H369" s="787" t="n"/>
      <c r="I369" s="788" t="n"/>
      <c r="J369" s="477">
        <f>J355+J359+J360</f>
        <v/>
      </c>
      <c r="K369" s="787" t="n"/>
      <c r="L369" s="866" t="n"/>
    </row>
    <row r="372" ht="13.5" customHeight="1" s="321" thickBot="1"/>
    <row r="373" ht="22.5" customHeight="1" s="321">
      <c r="B373" s="238" t="inlineStr">
        <is>
          <t>AMORTİSMAN GİDERLERİ</t>
        </is>
      </c>
      <c r="C373" s="780" t="n"/>
      <c r="D373" s="780" t="n"/>
      <c r="E373" s="780" t="n"/>
      <c r="F373" s="780" t="n"/>
      <c r="G373" s="780" t="n"/>
      <c r="H373" s="780" t="n"/>
      <c r="I373" s="780" t="n"/>
      <c r="J373" s="780" t="n"/>
      <c r="K373" s="780" t="n"/>
      <c r="L373" s="780" t="n"/>
      <c r="M373" s="780" t="n"/>
      <c r="N373" s="780" t="n"/>
      <c r="O373" s="780" t="n"/>
      <c r="P373" s="780" t="n"/>
      <c r="Q373" s="780" t="n"/>
      <c r="R373" s="780" t="n"/>
      <c r="S373" s="780" t="n"/>
      <c r="T373" s="780" t="n"/>
      <c r="U373" s="780" t="n"/>
      <c r="V373" s="780" t="n"/>
      <c r="W373" s="780" t="n"/>
      <c r="X373" s="780" t="n"/>
      <c r="Y373" s="780" t="n"/>
      <c r="Z373" s="780" t="n"/>
      <c r="AA373" s="780" t="n"/>
      <c r="AB373" s="780" t="n"/>
      <c r="AC373" s="780" t="n"/>
      <c r="AD373" s="780" t="n"/>
      <c r="AE373" s="780" t="n"/>
      <c r="AF373" s="780" t="n"/>
      <c r="AG373" s="781" t="n"/>
    </row>
    <row r="374" ht="36.75" customHeight="1" s="321">
      <c r="B374" s="237" t="inlineStr">
        <is>
          <t>Sabit Kıymetler</t>
        </is>
      </c>
      <c r="C374" s="773" t="n"/>
      <c r="D374" s="773" t="n"/>
      <c r="E374" s="774" t="n"/>
      <c r="F374" s="196">
        <f>I35</f>
        <v/>
      </c>
      <c r="G374" s="774" t="n"/>
      <c r="H374" s="196">
        <f>K35</f>
        <v/>
      </c>
      <c r="I374" s="774" t="n"/>
      <c r="J374" s="196">
        <f>M35</f>
        <v/>
      </c>
      <c r="K374" s="774" t="n"/>
      <c r="L374" s="196">
        <f>O35</f>
        <v/>
      </c>
      <c r="M374" s="774" t="n"/>
      <c r="N374" s="196">
        <f>Q35</f>
        <v/>
      </c>
      <c r="O374" s="774" t="n"/>
      <c r="P374" s="196">
        <f>S35</f>
        <v/>
      </c>
      <c r="Q374" s="774" t="n"/>
      <c r="R374" s="196">
        <f>U35</f>
        <v/>
      </c>
      <c r="S374" s="774" t="n"/>
      <c r="T374" s="196">
        <f>W35</f>
        <v/>
      </c>
      <c r="U374" s="774" t="n"/>
      <c r="V374" s="196">
        <f>Y35</f>
        <v/>
      </c>
      <c r="W374" s="774" t="n"/>
      <c r="X374" s="196">
        <f>AA35</f>
        <v/>
      </c>
      <c r="Y374" s="774" t="n"/>
      <c r="Z374" s="196">
        <f>AC35</f>
        <v/>
      </c>
      <c r="AA374" s="774" t="n"/>
      <c r="AB374" s="196" t="inlineStr">
        <is>
          <t>Toplam Amortisman</t>
        </is>
      </c>
      <c r="AC374" s="774" t="n"/>
      <c r="AD374" s="196" t="inlineStr">
        <is>
          <t>Alış Bedeli</t>
        </is>
      </c>
      <c r="AE374" s="774" t="n"/>
      <c r="AF374" s="196" t="inlineStr">
        <is>
          <t>Kalıntı Değer</t>
        </is>
      </c>
      <c r="AG374" s="774" t="n"/>
    </row>
    <row r="375" ht="18" customHeight="1" s="321">
      <c r="B375" s="213" t="inlineStr">
        <is>
          <t xml:space="preserve">Yatırım Kapsamında Alınacak Sabit Kıymetler Amortismanı </t>
        </is>
      </c>
      <c r="C375" s="773" t="n"/>
      <c r="D375" s="773" t="n"/>
      <c r="E375" s="773" t="n"/>
      <c r="F375" s="773" t="n"/>
      <c r="G375" s="773" t="n"/>
      <c r="H375" s="773" t="n"/>
      <c r="I375" s="773" t="n"/>
      <c r="J375" s="773" t="n"/>
      <c r="K375" s="773" t="n"/>
      <c r="L375" s="773" t="n"/>
      <c r="M375" s="773" t="n"/>
      <c r="N375" s="773" t="n"/>
      <c r="O375" s="773" t="n"/>
      <c r="P375" s="773" t="n"/>
      <c r="Q375" s="773" t="n"/>
      <c r="R375" s="773" t="n"/>
      <c r="S375" s="773" t="n"/>
      <c r="T375" s="773" t="n"/>
      <c r="U375" s="773" t="n"/>
      <c r="V375" s="773" t="n"/>
      <c r="W375" s="773" t="n"/>
      <c r="X375" s="773" t="n"/>
      <c r="Y375" s="773" t="n"/>
      <c r="Z375" s="773" t="n"/>
      <c r="AA375" s="773" t="n"/>
      <c r="AB375" s="773" t="n"/>
      <c r="AC375" s="773" t="n"/>
      <c r="AD375" s="773" t="n"/>
      <c r="AE375" s="773" t="n"/>
      <c r="AF375" s="773" t="n"/>
      <c r="AG375" s="774" t="n"/>
    </row>
    <row r="376" ht="16.15" customHeight="1" s="321">
      <c r="B376" s="207" t="inlineStr">
        <is>
          <t>Binalar</t>
        </is>
      </c>
      <c r="C376" s="773" t="n"/>
      <c r="D376" s="773" t="n"/>
      <c r="E376" s="774" t="n"/>
      <c r="F376" s="234" t="n"/>
      <c r="G376" s="805" t="n"/>
      <c r="H376" s="130" t="n">
        <v>431305.67</v>
      </c>
      <c r="I376" s="784" t="n"/>
      <c r="J376" s="130" t="n">
        <v>431305.67</v>
      </c>
      <c r="K376" s="784" t="n"/>
      <c r="L376" s="130" t="n">
        <v>431305.67</v>
      </c>
      <c r="M376" s="784" t="n"/>
      <c r="N376" s="130" t="n">
        <v>431305.67</v>
      </c>
      <c r="O376" s="784" t="n"/>
      <c r="P376" s="130" t="n">
        <v>431305.67</v>
      </c>
      <c r="Q376" s="784" t="n"/>
      <c r="R376" s="130" t="n">
        <v>431305.67</v>
      </c>
      <c r="S376" s="784" t="n"/>
      <c r="T376" s="130" t="n">
        <v>431305.67</v>
      </c>
      <c r="U376" s="784" t="n"/>
      <c r="V376" s="130" t="n">
        <v>431305.67</v>
      </c>
      <c r="W376" s="784" t="n"/>
      <c r="X376" s="130" t="n">
        <v>431305.67</v>
      </c>
      <c r="Y376" s="784" t="n"/>
      <c r="Z376" s="130" t="n">
        <v>431305.67</v>
      </c>
      <c r="AA376" s="784" t="n"/>
      <c r="AB376" s="243">
        <f>SUM(H376:AA376)</f>
        <v/>
      </c>
      <c r="AC376" s="774" t="n"/>
      <c r="AD376" s="130" t="n">
        <v>21565283.59</v>
      </c>
      <c r="AE376" s="784" t="n"/>
      <c r="AF376" s="243">
        <f>AD376-AB376</f>
        <v/>
      </c>
      <c r="AG376" s="774" t="n"/>
    </row>
    <row r="377" ht="16.15" customHeight="1" s="321">
      <c r="B377" s="207" t="inlineStr">
        <is>
          <t>Makine-Ekipman</t>
        </is>
      </c>
      <c r="C377" s="773" t="n"/>
      <c r="D377" s="773" t="n"/>
      <c r="E377" s="774" t="n"/>
      <c r="F377" s="794" t="n"/>
      <c r="G377" s="322" t="n"/>
      <c r="H377" s="130" t="n">
        <v>359584.72</v>
      </c>
      <c r="I377" s="784" t="n"/>
      <c r="J377" s="130" t="n">
        <v>359584.72</v>
      </c>
      <c r="K377" s="784" t="n"/>
      <c r="L377" s="130" t="n">
        <v>359584.72</v>
      </c>
      <c r="M377" s="784" t="n"/>
      <c r="N377" s="130" t="n">
        <v>359584.72</v>
      </c>
      <c r="O377" s="784" t="n"/>
      <c r="P377" s="130" t="n">
        <v>359584.72</v>
      </c>
      <c r="Q377" s="784" t="n"/>
      <c r="R377" s="130" t="n">
        <v>359584.72</v>
      </c>
      <c r="S377" s="784" t="n"/>
      <c r="T377" s="130" t="n">
        <v>359584.72</v>
      </c>
      <c r="U377" s="784" t="n"/>
      <c r="V377" s="130" t="n">
        <v>359584.72</v>
      </c>
      <c r="W377" s="784" t="n"/>
      <c r="X377" s="130" t="n">
        <v>359584.72</v>
      </c>
      <c r="Y377" s="784" t="n"/>
      <c r="Z377" s="130" t="n">
        <v>359584.72</v>
      </c>
      <c r="AA377" s="784" t="n"/>
      <c r="AB377" s="243">
        <f>SUM(H377:AA377)</f>
        <v/>
      </c>
      <c r="AC377" s="774" t="n"/>
      <c r="AD377" s="130" t="n">
        <v>3595847.21</v>
      </c>
      <c r="AE377" s="784" t="n"/>
      <c r="AF377" s="243">
        <f>AD377-AB377</f>
        <v/>
      </c>
      <c r="AG377" s="774" t="n"/>
    </row>
    <row r="378" ht="16.15" customHeight="1" s="321">
      <c r="B378" s="207" t="inlineStr">
        <is>
          <t>Demirbaşlar</t>
        </is>
      </c>
      <c r="C378" s="773" t="n"/>
      <c r="D378" s="773" t="n"/>
      <c r="E378" s="774" t="n"/>
      <c r="F378" s="794" t="n"/>
      <c r="G378" s="322" t="n"/>
      <c r="H378" s="130" t="n"/>
      <c r="I378" s="784" t="n"/>
      <c r="J378" s="130" t="n"/>
      <c r="K378" s="784" t="n"/>
      <c r="L378" s="130" t="n"/>
      <c r="M378" s="784" t="n"/>
      <c r="N378" s="130" t="n"/>
      <c r="O378" s="784" t="n"/>
      <c r="P378" s="130" t="n"/>
      <c r="Q378" s="784" t="n"/>
      <c r="R378" s="130" t="n"/>
      <c r="S378" s="784" t="n"/>
      <c r="T378" s="130" t="n"/>
      <c r="U378" s="784" t="n"/>
      <c r="V378" s="130" t="n"/>
      <c r="W378" s="784" t="n"/>
      <c r="X378" s="130" t="n"/>
      <c r="Y378" s="784" t="n"/>
      <c r="Z378" s="130" t="n"/>
      <c r="AA378" s="784" t="n"/>
      <c r="AB378" s="243">
        <f>SUM(H378:AA378)</f>
        <v/>
      </c>
      <c r="AC378" s="774" t="n"/>
      <c r="AD378" s="130" t="n"/>
      <c r="AE378" s="784" t="n"/>
      <c r="AF378" s="243">
        <f>AD378-AB378</f>
        <v/>
      </c>
      <c r="AG378" s="774" t="n"/>
    </row>
    <row r="379" ht="16.15" customHeight="1" s="321">
      <c r="B379" s="207" t="inlineStr">
        <is>
          <t>Taşıtlar</t>
        </is>
      </c>
      <c r="C379" s="773" t="n"/>
      <c r="D379" s="773" t="n"/>
      <c r="E379" s="774" t="n"/>
      <c r="F379" s="794" t="n"/>
      <c r="G379" s="322" t="n"/>
      <c r="H379" s="130" t="n"/>
      <c r="I379" s="784" t="n"/>
      <c r="J379" s="130" t="n"/>
      <c r="K379" s="784" t="n"/>
      <c r="L379" s="130" t="n"/>
      <c r="M379" s="784" t="n"/>
      <c r="N379" s="130" t="n"/>
      <c r="O379" s="784" t="n"/>
      <c r="P379" s="130" t="n"/>
      <c r="Q379" s="784" t="n"/>
      <c r="R379" s="130" t="n"/>
      <c r="S379" s="784" t="n"/>
      <c r="T379" s="130" t="n"/>
      <c r="U379" s="784" t="n"/>
      <c r="V379" s="130" t="n"/>
      <c r="W379" s="784" t="n"/>
      <c r="X379" s="130" t="n"/>
      <c r="Y379" s="784" t="n"/>
      <c r="Z379" s="130" t="n"/>
      <c r="AA379" s="784" t="n"/>
      <c r="AB379" s="243">
        <f>SUM(H379:AA379)</f>
        <v/>
      </c>
      <c r="AC379" s="774" t="n"/>
      <c r="AD379" s="130" t="n"/>
      <c r="AE379" s="784" t="n"/>
      <c r="AF379" s="243">
        <f>AD379-AB379</f>
        <v/>
      </c>
      <c r="AG379" s="774" t="n"/>
    </row>
    <row r="380" ht="16.15" customHeight="1" s="321">
      <c r="B380" s="207" t="inlineStr">
        <is>
          <t>Diğer</t>
        </is>
      </c>
      <c r="C380" s="773" t="n"/>
      <c r="D380" s="773" t="n"/>
      <c r="E380" s="774" t="n"/>
      <c r="F380" s="794" t="n"/>
      <c r="G380" s="322" t="n"/>
      <c r="H380" s="130" t="n"/>
      <c r="I380" s="784" t="n"/>
      <c r="J380" s="130" t="n"/>
      <c r="K380" s="784" t="n"/>
      <c r="L380" s="130" t="n"/>
      <c r="M380" s="784" t="n"/>
      <c r="N380" s="130" t="n"/>
      <c r="O380" s="784" t="n"/>
      <c r="P380" s="130" t="n"/>
      <c r="Q380" s="784" t="n"/>
      <c r="R380" s="130" t="n"/>
      <c r="S380" s="784" t="n"/>
      <c r="T380" s="130" t="n"/>
      <c r="U380" s="784" t="n"/>
      <c r="V380" s="130" t="n"/>
      <c r="W380" s="784" t="n"/>
      <c r="X380" s="130" t="n"/>
      <c r="Y380" s="784" t="n"/>
      <c r="Z380" s="130" t="n"/>
      <c r="AA380" s="784" t="n"/>
      <c r="AB380" s="243">
        <f>SUM(H380:AA380)</f>
        <v/>
      </c>
      <c r="AC380" s="774" t="n"/>
      <c r="AD380" s="130" t="n"/>
      <c r="AE380" s="784" t="n"/>
      <c r="AF380" s="243">
        <f>AD380-AB380</f>
        <v/>
      </c>
      <c r="AG380" s="774" t="n"/>
    </row>
    <row r="381" ht="19.15" customHeight="1" s="321">
      <c r="B381" s="235" t="inlineStr">
        <is>
          <t>Ara Toplam (1)</t>
        </is>
      </c>
      <c r="C381" s="773" t="n"/>
      <c r="D381" s="773" t="n"/>
      <c r="E381" s="774" t="n"/>
      <c r="F381" s="818" t="n"/>
      <c r="G381" s="777" t="n"/>
      <c r="H381" s="205">
        <f>SUM(H376:I380)</f>
        <v/>
      </c>
      <c r="I381" s="774" t="n"/>
      <c r="J381" s="205">
        <f>SUM(J376:K380)</f>
        <v/>
      </c>
      <c r="K381" s="774" t="n"/>
      <c r="L381" s="205">
        <f>SUM(L376:M380)</f>
        <v/>
      </c>
      <c r="M381" s="774" t="n"/>
      <c r="N381" s="205">
        <f>SUM(N376:O380)</f>
        <v/>
      </c>
      <c r="O381" s="774" t="n"/>
      <c r="P381" s="205">
        <f>SUM(P376:Q380)</f>
        <v/>
      </c>
      <c r="Q381" s="774" t="n"/>
      <c r="R381" s="205">
        <f>SUM(R376:S380)</f>
        <v/>
      </c>
      <c r="S381" s="774" t="n"/>
      <c r="T381" s="205">
        <f>SUM(T376:U380)</f>
        <v/>
      </c>
      <c r="U381" s="774" t="n"/>
      <c r="V381" s="205">
        <f>SUM(V376:W380)</f>
        <v/>
      </c>
      <c r="W381" s="774" t="n"/>
      <c r="X381" s="205">
        <f>SUM(X376:Y380)</f>
        <v/>
      </c>
      <c r="Y381" s="774" t="n"/>
      <c r="Z381" s="205">
        <f>SUM(Z376:AA380)</f>
        <v/>
      </c>
      <c r="AA381" s="774" t="n"/>
      <c r="AB381" s="205">
        <f>SUM(AB376:AC380)</f>
        <v/>
      </c>
      <c r="AC381" s="774" t="n"/>
      <c r="AD381" s="205">
        <f>SUM(AD376:AE380)</f>
        <v/>
      </c>
      <c r="AE381" s="774" t="n"/>
      <c r="AF381" s="205">
        <f>SUM(AF376:AG380)</f>
        <v/>
      </c>
      <c r="AG381" s="774" t="n"/>
    </row>
    <row r="382" ht="16.15" customHeight="1" s="321">
      <c r="B382" s="213" t="inlineStr">
        <is>
          <t>Mevcut Durum</t>
        </is>
      </c>
      <c r="C382" s="773" t="n"/>
      <c r="D382" s="773" t="n"/>
      <c r="E382" s="773" t="n"/>
      <c r="F382" s="773" t="n"/>
      <c r="G382" s="773" t="n"/>
      <c r="H382" s="773" t="n"/>
      <c r="I382" s="773" t="n"/>
      <c r="J382" s="773" t="n"/>
      <c r="K382" s="773" t="n"/>
      <c r="L382" s="773" t="n"/>
      <c r="M382" s="773" t="n"/>
      <c r="N382" s="773" t="n"/>
      <c r="O382" s="773" t="n"/>
      <c r="P382" s="773" t="n"/>
      <c r="Q382" s="773" t="n"/>
      <c r="R382" s="773" t="n"/>
      <c r="S382" s="773" t="n"/>
      <c r="T382" s="773" t="n"/>
      <c r="U382" s="773" t="n"/>
      <c r="V382" s="773" t="n"/>
      <c r="W382" s="773" t="n"/>
      <c r="X382" s="773" t="n"/>
      <c r="Y382" s="773" t="n"/>
      <c r="Z382" s="773" t="n"/>
      <c r="AA382" s="773" t="n"/>
      <c r="AB382" s="773" t="n"/>
      <c r="AC382" s="773" t="n"/>
      <c r="AD382" s="773" t="n"/>
      <c r="AE382" s="773" t="n"/>
      <c r="AF382" s="773" t="n"/>
      <c r="AG382" s="774" t="n"/>
    </row>
    <row r="383" ht="34.15" customHeight="1" s="321">
      <c r="B383" s="207" t="inlineStr">
        <is>
          <t>Mevcut Durumdaki Sabit Kıymetler Amort. (2)</t>
        </is>
      </c>
      <c r="C383" s="773" t="n"/>
      <c r="D383" s="773" t="n"/>
      <c r="E383" s="774" t="n"/>
      <c r="F383" s="130" t="n"/>
      <c r="G383" s="784" t="n"/>
      <c r="H383" s="130" t="n"/>
      <c r="I383" s="784" t="n"/>
      <c r="J383" s="130" t="n"/>
      <c r="K383" s="784" t="n"/>
      <c r="L383" s="130" t="n"/>
      <c r="M383" s="784" t="n"/>
      <c r="N383" s="130" t="n"/>
      <c r="O383" s="784" t="n"/>
      <c r="P383" s="130" t="n"/>
      <c r="Q383" s="784" t="n"/>
      <c r="R383" s="130" t="n"/>
      <c r="S383" s="784" t="n"/>
      <c r="T383" s="130" t="n"/>
      <c r="U383" s="784" t="n"/>
      <c r="V383" s="130" t="n"/>
      <c r="W383" s="784" t="n"/>
      <c r="X383" s="130" t="n"/>
      <c r="Y383" s="784" t="n"/>
      <c r="Z383" s="130" t="n"/>
      <c r="AA383" s="784" t="n"/>
      <c r="AB383" s="883" t="n"/>
      <c r="AC383" s="773" t="n"/>
      <c r="AD383" s="773" t="n"/>
      <c r="AE383" s="773" t="n"/>
      <c r="AF383" s="773" t="n"/>
      <c r="AG383" s="835" t="n"/>
    </row>
    <row r="384" ht="21" customHeight="1" s="321" thickBot="1">
      <c r="B384" s="474" t="inlineStr">
        <is>
          <t>TOPLAM AMORTİSMAN</t>
        </is>
      </c>
      <c r="C384" s="787" t="n"/>
      <c r="D384" s="787" t="n"/>
      <c r="E384" s="788" t="n"/>
      <c r="F384" s="476">
        <f>F383</f>
        <v/>
      </c>
      <c r="G384" s="788" t="n"/>
      <c r="H384" s="476">
        <f>H381+H383</f>
        <v/>
      </c>
      <c r="I384" s="788" t="n"/>
      <c r="J384" s="476">
        <f>J381+J383</f>
        <v/>
      </c>
      <c r="K384" s="788" t="n"/>
      <c r="L384" s="476">
        <f>L381+L383</f>
        <v/>
      </c>
      <c r="M384" s="788" t="n"/>
      <c r="N384" s="476">
        <f>N381+N383</f>
        <v/>
      </c>
      <c r="O384" s="788" t="n"/>
      <c r="P384" s="476">
        <f>P381+P383</f>
        <v/>
      </c>
      <c r="Q384" s="788" t="n"/>
      <c r="R384" s="476">
        <f>R381+R383</f>
        <v/>
      </c>
      <c r="S384" s="788" t="n"/>
      <c r="T384" s="476">
        <f>T381+T383</f>
        <v/>
      </c>
      <c r="U384" s="788" t="n"/>
      <c r="V384" s="476">
        <f>V381+V383</f>
        <v/>
      </c>
      <c r="W384" s="788" t="n"/>
      <c r="X384" s="476">
        <f>X381+X383</f>
        <v/>
      </c>
      <c r="Y384" s="788" t="n"/>
      <c r="Z384" s="476">
        <f>Z381+Z383</f>
        <v/>
      </c>
      <c r="AA384" s="788" t="n"/>
      <c r="AB384" s="476">
        <f>AB381</f>
        <v/>
      </c>
      <c r="AC384" s="788" t="n"/>
      <c r="AD384" s="476">
        <f>AD381</f>
        <v/>
      </c>
      <c r="AE384" s="788" t="n"/>
      <c r="AF384" s="476">
        <f>AF381</f>
        <v/>
      </c>
      <c r="AG384" s="788" t="n"/>
    </row>
    <row r="387" ht="13.5" customHeight="1" s="321" thickBot="1"/>
    <row r="388" ht="21.75" customHeight="1" s="321" thickBot="1">
      <c r="B388" s="769" t="inlineStr">
        <is>
          <t>MALİ GİDERLER</t>
        </is>
      </c>
      <c r="C388" s="767" t="n"/>
      <c r="D388" s="767" t="n"/>
      <c r="E388" s="767" t="n"/>
      <c r="F388" s="767" t="n"/>
      <c r="G388" s="767" t="n"/>
      <c r="H388" s="767" t="n"/>
      <c r="I388" s="767" t="n"/>
      <c r="J388" s="767" t="n"/>
      <c r="K388" s="767" t="n"/>
      <c r="L388" s="767" t="n"/>
      <c r="M388" s="767" t="n"/>
      <c r="N388" s="767" t="n"/>
      <c r="O388" s="767" t="n"/>
      <c r="P388" s="767" t="n"/>
      <c r="Q388" s="767" t="n"/>
      <c r="R388" s="767" t="n"/>
      <c r="S388" s="767" t="n"/>
      <c r="T388" s="767" t="n"/>
      <c r="U388" s="767" t="n"/>
      <c r="V388" s="767" t="n"/>
      <c r="W388" s="767" t="n"/>
      <c r="X388" s="767" t="n"/>
      <c r="Y388" s="767" t="n"/>
      <c r="Z388" s="767" t="n"/>
      <c r="AA388" s="768" t="n"/>
    </row>
    <row r="389" ht="28.15" customHeight="1" s="321">
      <c r="B389" s="268" t="inlineStr">
        <is>
          <t>Mali Giderler</t>
        </is>
      </c>
      <c r="C389" s="780" t="n"/>
      <c r="D389" s="780" t="n"/>
      <c r="E389" s="780" t="n"/>
      <c r="F389" s="780" t="n"/>
      <c r="G389" s="781" t="n"/>
      <c r="H389" s="149">
        <f>H374</f>
        <v/>
      </c>
      <c r="I389" s="781" t="n"/>
      <c r="J389" s="149">
        <f>J374</f>
        <v/>
      </c>
      <c r="K389" s="781" t="n"/>
      <c r="L389" s="149">
        <f>L374</f>
        <v/>
      </c>
      <c r="M389" s="781" t="n"/>
      <c r="N389" s="149">
        <f>N374</f>
        <v/>
      </c>
      <c r="O389" s="781" t="n"/>
      <c r="P389" s="149">
        <f>P374</f>
        <v/>
      </c>
      <c r="Q389" s="781" t="n"/>
      <c r="R389" s="149">
        <f>R374</f>
        <v/>
      </c>
      <c r="S389" s="781" t="n"/>
      <c r="T389" s="149">
        <f>T374</f>
        <v/>
      </c>
      <c r="U389" s="781" t="n"/>
      <c r="V389" s="149">
        <f>V374</f>
        <v/>
      </c>
      <c r="W389" s="781" t="n"/>
      <c r="X389" s="149">
        <f>X374</f>
        <v/>
      </c>
      <c r="Y389" s="781" t="n"/>
      <c r="Z389" s="149">
        <f>Z374</f>
        <v/>
      </c>
      <c r="AA389" s="781" t="n"/>
    </row>
    <row r="390" ht="27" customHeight="1" s="321">
      <c r="B390" s="884" t="inlineStr">
        <is>
          <t>A -Anapara Geri Ödemeleri  (A1 + A2)</t>
        </is>
      </c>
      <c r="C390" s="773" t="n"/>
      <c r="D390" s="773" t="n"/>
      <c r="E390" s="773" t="n"/>
      <c r="F390" s="773" t="n"/>
      <c r="G390" s="774" t="n"/>
      <c r="H390" s="885">
        <f>H391+H392</f>
        <v/>
      </c>
      <c r="I390" s="774" t="n"/>
      <c r="J390" s="885">
        <f>J391+J392</f>
        <v/>
      </c>
      <c r="K390" s="774" t="n"/>
      <c r="L390" s="885">
        <f>L391+L392</f>
        <v/>
      </c>
      <c r="M390" s="774" t="n"/>
      <c r="N390" s="885">
        <f>N391+N392</f>
        <v/>
      </c>
      <c r="O390" s="774" t="n"/>
      <c r="P390" s="885">
        <f>P391+P392</f>
        <v/>
      </c>
      <c r="Q390" s="774" t="n"/>
      <c r="R390" s="885">
        <f>R391+R392</f>
        <v/>
      </c>
      <c r="S390" s="774" t="n"/>
      <c r="T390" s="885">
        <f>T391+T392</f>
        <v/>
      </c>
      <c r="U390" s="774" t="n"/>
      <c r="V390" s="885">
        <f>V391+V392</f>
        <v/>
      </c>
      <c r="W390" s="774" t="n"/>
      <c r="X390" s="885">
        <f>X391+X392</f>
        <v/>
      </c>
      <c r="Y390" s="774" t="n"/>
      <c r="Z390" s="886">
        <f>Z391+Z392</f>
        <v/>
      </c>
      <c r="AA390" s="835" t="n"/>
    </row>
    <row r="391" ht="28.5" customHeight="1" s="321">
      <c r="B391" s="887" t="inlineStr">
        <is>
          <t>A1 - Banka Kredisi Anapara Geri Ödemeleri</t>
        </is>
      </c>
      <c r="C391" s="773" t="n"/>
      <c r="D391" s="773" t="n"/>
      <c r="E391" s="773" t="n"/>
      <c r="F391" s="773" t="n"/>
      <c r="G391" s="774" t="n"/>
      <c r="H391" s="130" t="n"/>
      <c r="I391" s="784" t="n"/>
      <c r="J391" s="130" t="n"/>
      <c r="K391" s="784" t="n"/>
      <c r="L391" s="130" t="n"/>
      <c r="M391" s="784" t="n"/>
      <c r="N391" s="130" t="n"/>
      <c r="O391" s="784" t="n"/>
      <c r="P391" s="130" t="n"/>
      <c r="Q391" s="784" t="n"/>
      <c r="R391" s="130" t="n"/>
      <c r="S391" s="784" t="n"/>
      <c r="T391" s="130" t="n"/>
      <c r="U391" s="784" t="n"/>
      <c r="V391" s="130" t="n"/>
      <c r="W391" s="784" t="n"/>
      <c r="X391" s="130" t="n"/>
      <c r="Y391" s="784" t="n"/>
      <c r="Z391" s="130" t="n"/>
      <c r="AA391" s="784" t="n"/>
    </row>
    <row r="392" ht="23.25" customHeight="1" s="321">
      <c r="B392" s="887" t="inlineStr">
        <is>
          <t>A2 - Diğer Anapara Geri Ödemeleri</t>
        </is>
      </c>
      <c r="C392" s="773" t="n"/>
      <c r="D392" s="773" t="n"/>
      <c r="E392" s="773" t="n"/>
      <c r="F392" s="773" t="n"/>
      <c r="G392" s="774" t="n"/>
      <c r="H392" s="130" t="n"/>
      <c r="I392" s="784" t="n"/>
      <c r="J392" s="130" t="n"/>
      <c r="K392" s="784" t="n"/>
      <c r="L392" s="130" t="n"/>
      <c r="M392" s="784" t="n"/>
      <c r="N392" s="130" t="n"/>
      <c r="O392" s="784" t="n"/>
      <c r="P392" s="130" t="n"/>
      <c r="Q392" s="784" t="n"/>
      <c r="R392" s="130" t="n"/>
      <c r="S392" s="784" t="n"/>
      <c r="T392" s="130" t="n"/>
      <c r="U392" s="784" t="n"/>
      <c r="V392" s="130" t="n"/>
      <c r="W392" s="784" t="n"/>
      <c r="X392" s="130" t="n"/>
      <c r="Y392" s="784" t="n"/>
      <c r="Z392" s="130" t="n"/>
      <c r="AA392" s="784" t="n"/>
    </row>
    <row r="393" ht="31.5" customHeight="1" s="321">
      <c r="B393" s="884" t="inlineStr">
        <is>
          <t>B - Faiz ve Komisyon Giderleri (B1+B2+B3)</t>
        </is>
      </c>
      <c r="C393" s="773" t="n"/>
      <c r="D393" s="773" t="n"/>
      <c r="E393" s="773" t="n"/>
      <c r="F393" s="773" t="n"/>
      <c r="G393" s="774" t="n"/>
      <c r="H393" s="885">
        <f>H394+H395+H396</f>
        <v/>
      </c>
      <c r="I393" s="774" t="n"/>
      <c r="J393" s="885">
        <f>J394+J395+J396</f>
        <v/>
      </c>
      <c r="K393" s="774" t="n"/>
      <c r="L393" s="885">
        <f>L394+L395+L396</f>
        <v/>
      </c>
      <c r="M393" s="774" t="n"/>
      <c r="N393" s="885">
        <f>N394+N395+N396</f>
        <v/>
      </c>
      <c r="O393" s="774" t="n"/>
      <c r="P393" s="885">
        <f>P394+P395+P396</f>
        <v/>
      </c>
      <c r="Q393" s="774" t="n"/>
      <c r="R393" s="885">
        <f>R394+R395+R396</f>
        <v/>
      </c>
      <c r="S393" s="774" t="n"/>
      <c r="T393" s="885">
        <f>T394+T395+T396</f>
        <v/>
      </c>
      <c r="U393" s="774" t="n"/>
      <c r="V393" s="885">
        <f>V394+V395+V396</f>
        <v/>
      </c>
      <c r="W393" s="774" t="n"/>
      <c r="X393" s="885">
        <f>X394+X395+X396</f>
        <v/>
      </c>
      <c r="Y393" s="774" t="n"/>
      <c r="Z393" s="886">
        <f>Z394+Z395+Z396</f>
        <v/>
      </c>
      <c r="AA393" s="835" t="n"/>
    </row>
    <row r="394" ht="19.5" customHeight="1" s="321">
      <c r="B394" s="887" t="inlineStr">
        <is>
          <t>B1 - Banka Kredisi Faiz Ödemeleri</t>
        </is>
      </c>
      <c r="C394" s="773" t="n"/>
      <c r="D394" s="773" t="n"/>
      <c r="E394" s="773" t="n"/>
      <c r="F394" s="773" t="n"/>
      <c r="G394" s="774" t="n"/>
      <c r="H394" s="130" t="n"/>
      <c r="I394" s="784" t="n"/>
      <c r="J394" s="130" t="n"/>
      <c r="K394" s="784" t="n"/>
      <c r="L394" s="130" t="n"/>
      <c r="M394" s="784" t="n"/>
      <c r="N394" s="130" t="n"/>
      <c r="O394" s="784" t="n"/>
      <c r="P394" s="130" t="n"/>
      <c r="Q394" s="784" t="n"/>
      <c r="R394" s="130" t="n"/>
      <c r="S394" s="784" t="n"/>
      <c r="T394" s="130" t="n"/>
      <c r="U394" s="784" t="n"/>
      <c r="V394" s="130" t="n"/>
      <c r="W394" s="784" t="n"/>
      <c r="X394" s="130" t="n"/>
      <c r="Y394" s="784" t="n"/>
      <c r="Z394" s="130" t="n"/>
      <c r="AA394" s="784" t="n"/>
    </row>
    <row r="395" ht="19.5" customHeight="1" s="321">
      <c r="B395" s="887" t="inlineStr">
        <is>
          <t>B2 - Teminat Mektubu Komisyonları</t>
        </is>
      </c>
      <c r="C395" s="773" t="n"/>
      <c r="D395" s="773" t="n"/>
      <c r="E395" s="773" t="n"/>
      <c r="F395" s="773" t="n"/>
      <c r="G395" s="774" t="n"/>
      <c r="H395" s="130" t="n"/>
      <c r="I395" s="784" t="n"/>
      <c r="J395" s="130" t="n"/>
      <c r="K395" s="784" t="n"/>
      <c r="L395" s="130" t="n"/>
      <c r="M395" s="784" t="n"/>
      <c r="N395" s="130" t="n"/>
      <c r="O395" s="784" t="n"/>
      <c r="P395" s="130" t="n"/>
      <c r="Q395" s="784" t="n"/>
      <c r="R395" s="130" t="n"/>
      <c r="S395" s="784" t="n"/>
      <c r="T395" s="130" t="n"/>
      <c r="U395" s="784" t="n"/>
      <c r="V395" s="130" t="n"/>
      <c r="W395" s="784" t="n"/>
      <c r="X395" s="130" t="n"/>
      <c r="Y395" s="784" t="n"/>
      <c r="Z395" s="130" t="n"/>
      <c r="AA395" s="784" t="n"/>
    </row>
    <row r="396" ht="27.75" customHeight="1" s="321" thickBot="1">
      <c r="B396" s="888" t="inlineStr">
        <is>
          <t>B3 - Diğer Faiz ve komisyon Ödemeleri</t>
        </is>
      </c>
      <c r="C396" s="787" t="n"/>
      <c r="D396" s="787" t="n"/>
      <c r="E396" s="787" t="n"/>
      <c r="F396" s="787" t="n"/>
      <c r="G396" s="788" t="n"/>
      <c r="H396" s="176" t="n"/>
      <c r="I396" s="790" t="n"/>
      <c r="J396" s="176" t="n"/>
      <c r="K396" s="790" t="n"/>
      <c r="L396" s="176" t="n"/>
      <c r="M396" s="790" t="n"/>
      <c r="N396" s="176" t="n"/>
      <c r="O396" s="790" t="n"/>
      <c r="P396" s="176" t="n"/>
      <c r="Q396" s="790" t="n"/>
      <c r="R396" s="176" t="n"/>
      <c r="S396" s="790" t="n"/>
      <c r="T396" s="176" t="n"/>
      <c r="U396" s="790" t="n"/>
      <c r="V396" s="176" t="n"/>
      <c r="W396" s="790" t="n"/>
      <c r="X396" s="176" t="n"/>
      <c r="Y396" s="790" t="n"/>
      <c r="Z396" s="176" t="n"/>
      <c r="AA396" s="790" t="n"/>
    </row>
    <row r="397" ht="12.75" customHeight="1" s="321" thickBot="1"/>
    <row r="398" ht="22.5" customHeight="1" s="321" thickBot="1">
      <c r="B398" s="889" t="inlineStr">
        <is>
          <t>Ödenecek Temettüler</t>
        </is>
      </c>
      <c r="C398" s="767" t="n"/>
      <c r="D398" s="767" t="n"/>
      <c r="E398" s="767" t="n"/>
      <c r="F398" s="767" t="n"/>
      <c r="G398" s="813" t="n"/>
      <c r="H398" s="155" t="n"/>
      <c r="I398" s="890" t="n"/>
      <c r="J398" s="155" t="n"/>
      <c r="K398" s="890" t="n"/>
      <c r="L398" s="155" t="n"/>
      <c r="M398" s="890" t="n"/>
      <c r="N398" s="155" t="n"/>
      <c r="O398" s="890" t="n"/>
      <c r="P398" s="155" t="n"/>
      <c r="Q398" s="890" t="n"/>
      <c r="R398" s="155" t="n"/>
      <c r="S398" s="890" t="n"/>
      <c r="T398" s="155" t="n"/>
      <c r="U398" s="890" t="n"/>
      <c r="V398" s="155" t="n"/>
      <c r="W398" s="890" t="n"/>
      <c r="X398" s="155" t="n"/>
      <c r="Y398" s="890" t="n"/>
      <c r="Z398" s="155" t="n"/>
      <c r="AA398" s="890" t="n"/>
    </row>
    <row r="399" ht="18" customHeight="1" s="321"/>
    <row r="400" ht="13.5" customHeight="1" s="321" thickBot="1"/>
    <row r="401" ht="21" customHeight="1" s="321" thickBot="1">
      <c r="B401" s="769" t="inlineStr">
        <is>
          <t>İŞLETME DÖNEMİ YATIRIMLARI</t>
        </is>
      </c>
      <c r="C401" s="767" t="n"/>
      <c r="D401" s="767" t="n"/>
      <c r="E401" s="767" t="n"/>
      <c r="F401" s="767" t="n"/>
      <c r="G401" s="767" t="n"/>
      <c r="H401" s="767" t="n"/>
      <c r="I401" s="767" t="n"/>
      <c r="J401" s="767" t="n"/>
      <c r="K401" s="767" t="n"/>
      <c r="L401" s="767" t="n"/>
      <c r="M401" s="767" t="n"/>
      <c r="N401" s="767" t="n"/>
      <c r="O401" s="767" t="n"/>
      <c r="P401" s="767" t="n"/>
      <c r="Q401" s="767" t="n"/>
      <c r="R401" s="767" t="n"/>
      <c r="S401" s="767" t="n"/>
      <c r="T401" s="767" t="n"/>
      <c r="U401" s="767" t="n"/>
      <c r="V401" s="767" t="n"/>
      <c r="W401" s="767" t="n"/>
      <c r="X401" s="767" t="n"/>
      <c r="Y401" s="767" t="n"/>
      <c r="Z401" s="767" t="n"/>
      <c r="AA401" s="768" t="n"/>
    </row>
    <row r="402" ht="22.5" customHeight="1" s="321">
      <c r="B402" s="268" t="inlineStr">
        <is>
          <t>Yatırım Kalemi</t>
        </is>
      </c>
      <c r="C402" s="780" t="n"/>
      <c r="D402" s="780" t="n"/>
      <c r="E402" s="780" t="n"/>
      <c r="F402" s="780" t="n"/>
      <c r="G402" s="781" t="n"/>
      <c r="H402" s="149">
        <f>H389</f>
        <v/>
      </c>
      <c r="I402" s="781" t="n"/>
      <c r="J402" s="149">
        <f>J389</f>
        <v/>
      </c>
      <c r="K402" s="781" t="n"/>
      <c r="L402" s="149">
        <f>L389</f>
        <v/>
      </c>
      <c r="M402" s="781" t="n"/>
      <c r="N402" s="149">
        <f>N389</f>
        <v/>
      </c>
      <c r="O402" s="781" t="n"/>
      <c r="P402" s="149">
        <f>P389</f>
        <v/>
      </c>
      <c r="Q402" s="781" t="n"/>
      <c r="R402" s="149">
        <f>R389</f>
        <v/>
      </c>
      <c r="S402" s="781" t="n"/>
      <c r="T402" s="149">
        <f>T389</f>
        <v/>
      </c>
      <c r="U402" s="781" t="n"/>
      <c r="V402" s="149">
        <f>V389</f>
        <v/>
      </c>
      <c r="W402" s="781" t="n"/>
      <c r="X402" s="149">
        <f>X389</f>
        <v/>
      </c>
      <c r="Y402" s="781" t="n"/>
      <c r="Z402" s="149">
        <f>Z389</f>
        <v/>
      </c>
      <c r="AA402" s="781" t="n"/>
    </row>
    <row r="403" ht="20.25" customHeight="1" s="321">
      <c r="B403" s="873" t="n"/>
      <c r="C403" s="783" t="n"/>
      <c r="D403" s="783" t="n"/>
      <c r="E403" s="783" t="n"/>
      <c r="F403" s="783" t="n"/>
      <c r="G403" s="784" t="n"/>
      <c r="H403" s="130" t="n"/>
      <c r="I403" s="784" t="n"/>
      <c r="J403" s="130" t="n"/>
      <c r="K403" s="784" t="n"/>
      <c r="L403" s="130" t="n"/>
      <c r="M403" s="784" t="n"/>
      <c r="N403" s="130" t="n"/>
      <c r="O403" s="784" t="n"/>
      <c r="P403" s="130" t="n"/>
      <c r="Q403" s="784" t="n"/>
      <c r="R403" s="130" t="n"/>
      <c r="S403" s="784" t="n"/>
      <c r="T403" s="130" t="n"/>
      <c r="U403" s="784" t="n"/>
      <c r="V403" s="130" t="n"/>
      <c r="W403" s="784" t="n"/>
      <c r="X403" s="130" t="n"/>
      <c r="Y403" s="784" t="n"/>
      <c r="Z403" s="130" t="n"/>
      <c r="AA403" s="784" t="n"/>
    </row>
    <row r="404" hidden="1" ht="20.25" customHeight="1" s="321">
      <c r="B404" s="873" t="n"/>
      <c r="C404" s="783" t="n"/>
      <c r="D404" s="783" t="n"/>
      <c r="E404" s="783" t="n"/>
      <c r="F404" s="783" t="n"/>
      <c r="G404" s="784" t="n"/>
      <c r="H404" s="130" t="n"/>
      <c r="I404" s="784" t="n"/>
      <c r="J404" s="130" t="n"/>
      <c r="K404" s="784" t="n"/>
      <c r="L404" s="130" t="n"/>
      <c r="M404" s="784" t="n"/>
      <c r="N404" s="130" t="n"/>
      <c r="O404" s="784" t="n"/>
      <c r="P404" s="130" t="n"/>
      <c r="Q404" s="784" t="n"/>
      <c r="R404" s="130" t="n"/>
      <c r="S404" s="784" t="n"/>
      <c r="T404" s="130" t="n"/>
      <c r="U404" s="784" t="n"/>
      <c r="V404" s="130" t="n"/>
      <c r="W404" s="784" t="n"/>
      <c r="X404" s="130" t="n"/>
      <c r="Y404" s="784" t="n"/>
      <c r="Z404" s="130" t="n"/>
      <c r="AA404" s="784" t="n"/>
    </row>
    <row r="405" hidden="1" ht="20.25" customHeight="1" s="321">
      <c r="B405" s="873" t="n"/>
      <c r="C405" s="783" t="n"/>
      <c r="D405" s="783" t="n"/>
      <c r="E405" s="783" t="n"/>
      <c r="F405" s="783" t="n"/>
      <c r="G405" s="784" t="n"/>
      <c r="H405" s="130" t="n"/>
      <c r="I405" s="784" t="n"/>
      <c r="J405" s="130" t="n"/>
      <c r="K405" s="784" t="n"/>
      <c r="L405" s="130" t="n"/>
      <c r="M405" s="784" t="n"/>
      <c r="N405" s="130" t="n"/>
      <c r="O405" s="784" t="n"/>
      <c r="P405" s="130" t="n"/>
      <c r="Q405" s="784" t="n"/>
      <c r="R405" s="130" t="n"/>
      <c r="S405" s="784" t="n"/>
      <c r="T405" s="130" t="n"/>
      <c r="U405" s="784" t="n"/>
      <c r="V405" s="130" t="n"/>
      <c r="W405" s="784" t="n"/>
      <c r="X405" s="130" t="n"/>
      <c r="Y405" s="784" t="n"/>
      <c r="Z405" s="130" t="n"/>
      <c r="AA405" s="784" t="n"/>
    </row>
    <row r="406" hidden="1" ht="20.25" customHeight="1" s="321">
      <c r="B406" s="873" t="n"/>
      <c r="C406" s="783" t="n"/>
      <c r="D406" s="783" t="n"/>
      <c r="E406" s="783" t="n"/>
      <c r="F406" s="783" t="n"/>
      <c r="G406" s="784" t="n"/>
      <c r="H406" s="130" t="n"/>
      <c r="I406" s="784" t="n"/>
      <c r="J406" s="130" t="n"/>
      <c r="K406" s="784" t="n"/>
      <c r="L406" s="130" t="n"/>
      <c r="M406" s="784" t="n"/>
      <c r="N406" s="130" t="n"/>
      <c r="O406" s="784" t="n"/>
      <c r="P406" s="130" t="n"/>
      <c r="Q406" s="784" t="n"/>
      <c r="R406" s="130" t="n"/>
      <c r="S406" s="784" t="n"/>
      <c r="T406" s="130" t="n"/>
      <c r="U406" s="784" t="n"/>
      <c r="V406" s="130" t="n"/>
      <c r="W406" s="784" t="n"/>
      <c r="X406" s="130" t="n"/>
      <c r="Y406" s="784" t="n"/>
      <c r="Z406" s="130" t="n"/>
      <c r="AA406" s="784" t="n"/>
    </row>
    <row r="407" hidden="1" ht="20.25" customHeight="1" s="321">
      <c r="B407" s="873" t="n"/>
      <c r="C407" s="783" t="n"/>
      <c r="D407" s="783" t="n"/>
      <c r="E407" s="783" t="n"/>
      <c r="F407" s="783" t="n"/>
      <c r="G407" s="784" t="n"/>
      <c r="H407" s="130" t="n"/>
      <c r="I407" s="784" t="n"/>
      <c r="J407" s="130" t="n"/>
      <c r="K407" s="784" t="n"/>
      <c r="L407" s="130" t="n"/>
      <c r="M407" s="784" t="n"/>
      <c r="N407" s="130" t="n"/>
      <c r="O407" s="784" t="n"/>
      <c r="P407" s="130" t="n"/>
      <c r="Q407" s="784" t="n"/>
      <c r="R407" s="130" t="n"/>
      <c r="S407" s="784" t="n"/>
      <c r="T407" s="130" t="n"/>
      <c r="U407" s="784" t="n"/>
      <c r="V407" s="130" t="n"/>
      <c r="W407" s="784" t="n"/>
      <c r="X407" s="130" t="n"/>
      <c r="Y407" s="784" t="n"/>
      <c r="Z407" s="130" t="n"/>
      <c r="AA407" s="784" t="n"/>
    </row>
    <row r="408" ht="17.25" customHeight="1" s="321" thickBot="1">
      <c r="B408" s="891" t="inlineStr">
        <is>
          <t>Toplam :</t>
        </is>
      </c>
      <c r="C408" s="787" t="n"/>
      <c r="D408" s="787" t="n"/>
      <c r="E408" s="787" t="n"/>
      <c r="F408" s="787" t="n"/>
      <c r="G408" s="788" t="n"/>
      <c r="H408" s="140">
        <f>SUM(H403:I407)</f>
        <v/>
      </c>
      <c r="I408" s="788" t="n"/>
      <c r="J408" s="140">
        <f>SUM(J403:K407)</f>
        <v/>
      </c>
      <c r="K408" s="788" t="n"/>
      <c r="L408" s="140">
        <f>SUM(L403:M407)</f>
        <v/>
      </c>
      <c r="M408" s="788" t="n"/>
      <c r="N408" s="140">
        <f>SUM(N403:O407)</f>
        <v/>
      </c>
      <c r="O408" s="788" t="n"/>
      <c r="P408" s="140">
        <f>SUM(P403:Q407)</f>
        <v/>
      </c>
      <c r="Q408" s="788" t="n"/>
      <c r="R408" s="140">
        <f>SUM(R403:S407)</f>
        <v/>
      </c>
      <c r="S408" s="788" t="n"/>
      <c r="T408" s="140">
        <f>SUM(T403:U407)</f>
        <v/>
      </c>
      <c r="U408" s="788" t="n"/>
      <c r="V408" s="140">
        <f>SUM(V403:W407)</f>
        <v/>
      </c>
      <c r="W408" s="788" t="n"/>
      <c r="X408" s="140">
        <f>SUM(X403:Y407)</f>
        <v/>
      </c>
      <c r="Y408" s="788" t="n"/>
      <c r="Z408" s="140">
        <f>SUM(Z403:AA407)</f>
        <v/>
      </c>
      <c r="AA408" s="788" t="n"/>
    </row>
    <row r="409" ht="51" customHeight="1" s="321"/>
  </sheetData>
  <sheetProtection selectLockedCells="0" selectUnlockedCells="0" algorithmName="SHA-512" sheet="1" objects="0" insertRows="1" insertHyperlinks="1" autoFilter="1" scenarios="0" formatColumns="0" deleteColumns="1" insertColumns="1" pivotTables="1" deleteRows="1" formatCells="0" saltValue="5U1kXgleSdcKL50u+M66cg==" formatRows="0" sort="1" spinCount="100000" hashValue="n/SzIjMncg0g5cXr1Mx9riWoBsf8Rkgi4+o/CNB/BuxmDA5ege05mx00ieTCo+9zsaFGpVCTEKA8IoaB66rnPA=="/>
  <mergeCells count="3811">
    <mergeCell ref="AC48:AD48"/>
    <mergeCell ref="Q164:R164"/>
    <mergeCell ref="P374:Q374"/>
    <mergeCell ref="AA161:AB161"/>
    <mergeCell ref="AA283:AB283"/>
    <mergeCell ref="AC217:AD217"/>
    <mergeCell ref="U291:V291"/>
    <mergeCell ref="N311:O311"/>
    <mergeCell ref="BJ8:BL8"/>
    <mergeCell ref="B374:E374"/>
    <mergeCell ref="AE298:AF298"/>
    <mergeCell ref="AA285:AB285"/>
    <mergeCell ref="M35:N35"/>
    <mergeCell ref="M60:N60"/>
    <mergeCell ref="U293:V293"/>
    <mergeCell ref="T354:U354"/>
    <mergeCell ref="V383:W383"/>
    <mergeCell ref="O88:P88"/>
    <mergeCell ref="Y129:Z129"/>
    <mergeCell ref="O63:P63"/>
    <mergeCell ref="U292:V292"/>
    <mergeCell ref="L263:M263"/>
    <mergeCell ref="B224:K224"/>
    <mergeCell ref="W50:X50"/>
    <mergeCell ref="L394:M394"/>
    <mergeCell ref="O99:P99"/>
    <mergeCell ref="O124:P124"/>
    <mergeCell ref="Y123:Z123"/>
    <mergeCell ref="L265:M265"/>
    <mergeCell ref="AA212:AB212"/>
    <mergeCell ref="AA187:AB187"/>
    <mergeCell ref="V384:W384"/>
    <mergeCell ref="G139:H139"/>
    <mergeCell ref="P216:Q216"/>
    <mergeCell ref="U317:V317"/>
    <mergeCell ref="BJ5:BL5"/>
    <mergeCell ref="R312:T312"/>
    <mergeCell ref="A60:A64"/>
    <mergeCell ref="V378:W378"/>
    <mergeCell ref="AA214:AB214"/>
    <mergeCell ref="AC276:AD276"/>
    <mergeCell ref="AA189:AB189"/>
    <mergeCell ref="K328:L328"/>
    <mergeCell ref="U319:V319"/>
    <mergeCell ref="P245:Q245"/>
    <mergeCell ref="L266:M266"/>
    <mergeCell ref="K172:L172"/>
    <mergeCell ref="U318:V318"/>
    <mergeCell ref="AC278:AD278"/>
    <mergeCell ref="P211:Q211"/>
    <mergeCell ref="U312:V312"/>
    <mergeCell ref="M50:N50"/>
    <mergeCell ref="O150:P150"/>
    <mergeCell ref="U320:V320"/>
    <mergeCell ref="B304:K304"/>
    <mergeCell ref="W78:X78"/>
    <mergeCell ref="U314:V314"/>
    <mergeCell ref="P240:Q240"/>
    <mergeCell ref="O152:P152"/>
    <mergeCell ref="Y134:Z134"/>
    <mergeCell ref="L405:M405"/>
    <mergeCell ref="A42:A46"/>
    <mergeCell ref="G67:H67"/>
    <mergeCell ref="G61:H61"/>
    <mergeCell ref="AC273:AD273"/>
    <mergeCell ref="O145:P145"/>
    <mergeCell ref="AA240:AB240"/>
    <mergeCell ref="W80:X80"/>
    <mergeCell ref="Y142:Z142"/>
    <mergeCell ref="Y167:Z167"/>
    <mergeCell ref="L407:M407"/>
    <mergeCell ref="O147:P147"/>
    <mergeCell ref="Y169:Z169"/>
    <mergeCell ref="AA225:AB225"/>
    <mergeCell ref="G62:H62"/>
    <mergeCell ref="B329:J329"/>
    <mergeCell ref="Q122:R122"/>
    <mergeCell ref="P229:Q229"/>
    <mergeCell ref="I127:J127"/>
    <mergeCell ref="B148:F148"/>
    <mergeCell ref="AC306:AD306"/>
    <mergeCell ref="L408:M408"/>
    <mergeCell ref="W305:X305"/>
    <mergeCell ref="K43:L43"/>
    <mergeCell ref="AA227:AB227"/>
    <mergeCell ref="M105:N105"/>
    <mergeCell ref="O134:P134"/>
    <mergeCell ref="K341:L341"/>
    <mergeCell ref="B331:J331"/>
    <mergeCell ref="O51:P51"/>
    <mergeCell ref="U242:V242"/>
    <mergeCell ref="AC299:AD299"/>
    <mergeCell ref="AC177:AD177"/>
    <mergeCell ref="I32:L32"/>
    <mergeCell ref="B235:K235"/>
    <mergeCell ref="U58:V58"/>
    <mergeCell ref="X374:Y374"/>
    <mergeCell ref="W307:X307"/>
    <mergeCell ref="P230:Q230"/>
    <mergeCell ref="P20:R20"/>
    <mergeCell ref="AC291:AD291"/>
    <mergeCell ref="O163:P163"/>
    <mergeCell ref="J368:L368"/>
    <mergeCell ref="R207:T207"/>
    <mergeCell ref="U244:V244"/>
    <mergeCell ref="O76:P76"/>
    <mergeCell ref="Q138:R138"/>
    <mergeCell ref="Y195:Z195"/>
    <mergeCell ref="X403:Y403"/>
    <mergeCell ref="P22:R22"/>
    <mergeCell ref="O165:P165"/>
    <mergeCell ref="P255:Q255"/>
    <mergeCell ref="Q104:R104"/>
    <mergeCell ref="AC172:AD172"/>
    <mergeCell ref="V29:X29"/>
    <mergeCell ref="Y66:Z66"/>
    <mergeCell ref="Q140:R140"/>
    <mergeCell ref="Y197:Z197"/>
    <mergeCell ref="AA259:AB259"/>
    <mergeCell ref="AA253:AB253"/>
    <mergeCell ref="S327:T327"/>
    <mergeCell ref="Q106:R106"/>
    <mergeCell ref="A126:A130"/>
    <mergeCell ref="Q133:R133"/>
    <mergeCell ref="V31:X31"/>
    <mergeCell ref="Y68:Z68"/>
    <mergeCell ref="AA130:AB130"/>
    <mergeCell ref="U84:V84"/>
    <mergeCell ref="AC317:AD317"/>
    <mergeCell ref="K54:L54"/>
    <mergeCell ref="S170:T170"/>
    <mergeCell ref="Q135:R135"/>
    <mergeCell ref="S328:T328"/>
    <mergeCell ref="U86:V86"/>
    <mergeCell ref="U262:V262"/>
    <mergeCell ref="AC319:AD319"/>
    <mergeCell ref="V32:X32"/>
    <mergeCell ref="V26:X26"/>
    <mergeCell ref="AC39:AD39"/>
    <mergeCell ref="N396:O396"/>
    <mergeCell ref="W150:X150"/>
    <mergeCell ref="W144:X144"/>
    <mergeCell ref="M32:O32"/>
    <mergeCell ref="B264:K264"/>
    <mergeCell ref="R226:T226"/>
    <mergeCell ref="B220:K220"/>
    <mergeCell ref="B247:K247"/>
    <mergeCell ref="R220:T220"/>
    <mergeCell ref="G133:H133"/>
    <mergeCell ref="W152:X152"/>
    <mergeCell ref="M331:N331"/>
    <mergeCell ref="Y208:Z208"/>
    <mergeCell ref="S338:T338"/>
    <mergeCell ref="AE289:AF289"/>
    <mergeCell ref="O61:P61"/>
    <mergeCell ref="W360:AB360"/>
    <mergeCell ref="G135:H135"/>
    <mergeCell ref="AA183:AB183"/>
    <mergeCell ref="R222:T222"/>
    <mergeCell ref="I51:J51"/>
    <mergeCell ref="Q153:R153"/>
    <mergeCell ref="AA297:AB297"/>
    <mergeCell ref="AA272:AB272"/>
    <mergeCell ref="Y210:Z210"/>
    <mergeCell ref="R221:T221"/>
    <mergeCell ref="S340:T340"/>
    <mergeCell ref="O90:P90"/>
    <mergeCell ref="AA185:AB185"/>
    <mergeCell ref="AC241:AD241"/>
    <mergeCell ref="M171:N171"/>
    <mergeCell ref="Y122:Z122"/>
    <mergeCell ref="R403:S403"/>
    <mergeCell ref="B91:F91"/>
    <mergeCell ref="B246:K246"/>
    <mergeCell ref="B83:E83"/>
    <mergeCell ref="AC243:AD243"/>
    <mergeCell ref="AE305:AF305"/>
    <mergeCell ref="S43:T43"/>
    <mergeCell ref="S341:T341"/>
    <mergeCell ref="U99:V99"/>
    <mergeCell ref="M173:N173"/>
    <mergeCell ref="AE8:AG8"/>
    <mergeCell ref="AC242:AD242"/>
    <mergeCell ref="M16:O16"/>
    <mergeCell ref="U316:V316"/>
    <mergeCell ref="W74:X74"/>
    <mergeCell ref="B93:F93"/>
    <mergeCell ref="U310:V310"/>
    <mergeCell ref="K110:L110"/>
    <mergeCell ref="B383:E383"/>
    <mergeCell ref="AE307:AF307"/>
    <mergeCell ref="O148:P148"/>
    <mergeCell ref="L376:M376"/>
    <mergeCell ref="W163:X163"/>
    <mergeCell ref="B86:F86"/>
    <mergeCell ref="M18:O18"/>
    <mergeCell ref="O141:P141"/>
    <mergeCell ref="B302:K302"/>
    <mergeCell ref="W76:X76"/>
    <mergeCell ref="Y138:Z138"/>
    <mergeCell ref="Y132:Z132"/>
    <mergeCell ref="G146:H146"/>
    <mergeCell ref="M174:N174"/>
    <mergeCell ref="L378:M378"/>
    <mergeCell ref="AA196:AB196"/>
    <mergeCell ref="V393:W393"/>
    <mergeCell ref="B325:J325"/>
    <mergeCell ref="N360:S360"/>
    <mergeCell ref="AC85:AD85"/>
    <mergeCell ref="K39:L39"/>
    <mergeCell ref="AC84:AD84"/>
    <mergeCell ref="AA320:AB320"/>
    <mergeCell ref="AA198:AB198"/>
    <mergeCell ref="K337:L337"/>
    <mergeCell ref="B327:J327"/>
    <mergeCell ref="B318:K318"/>
    <mergeCell ref="AC114:AD114"/>
    <mergeCell ref="AE176:AF176"/>
    <mergeCell ref="Y135:Z135"/>
    <mergeCell ref="B104:F104"/>
    <mergeCell ref="P264:Q264"/>
    <mergeCell ref="P226:Q226"/>
    <mergeCell ref="M103:N103"/>
    <mergeCell ref="AC80:AD80"/>
    <mergeCell ref="O159:P159"/>
    <mergeCell ref="K339:L339"/>
    <mergeCell ref="W216:X216"/>
    <mergeCell ref="T391:U391"/>
    <mergeCell ref="AE178:AF178"/>
    <mergeCell ref="M96:N96"/>
    <mergeCell ref="Y308:Z308"/>
    <mergeCell ref="B106:F106"/>
    <mergeCell ref="L300:M300"/>
    <mergeCell ref="W87:X87"/>
    <mergeCell ref="U329:V329"/>
    <mergeCell ref="O161:P161"/>
    <mergeCell ref="W218:X218"/>
    <mergeCell ref="Y280:Z280"/>
    <mergeCell ref="W245:X245"/>
    <mergeCell ref="AA38:AB38"/>
    <mergeCell ref="Y274:Z274"/>
    <mergeCell ref="Q348:R348"/>
    <mergeCell ref="M98:N98"/>
    <mergeCell ref="Y193:Z193"/>
    <mergeCell ref="L308:M308"/>
    <mergeCell ref="N188:O188"/>
    <mergeCell ref="AA249:AB249"/>
    <mergeCell ref="T392:U392"/>
    <mergeCell ref="Q347:R347"/>
    <mergeCell ref="Y282:Z282"/>
    <mergeCell ref="AA40:AB40"/>
    <mergeCell ref="Y309:Z309"/>
    <mergeCell ref="AA257:AB257"/>
    <mergeCell ref="AC313:AD313"/>
    <mergeCell ref="Y275:Z275"/>
    <mergeCell ref="K50:L50"/>
    <mergeCell ref="Q51:R51"/>
    <mergeCell ref="A96:A100"/>
    <mergeCell ref="Q349:R349"/>
    <mergeCell ref="P282:Q282"/>
    <mergeCell ref="B338:J338"/>
    <mergeCell ref="B7:B20"/>
    <mergeCell ref="L303:M303"/>
    <mergeCell ref="U57:V57"/>
    <mergeCell ref="B155:E155"/>
    <mergeCell ref="N219:O219"/>
    <mergeCell ref="AC315:AD315"/>
    <mergeCell ref="Y277:Z277"/>
    <mergeCell ref="K52:L52"/>
    <mergeCell ref="K58:L58"/>
    <mergeCell ref="J384:K384"/>
    <mergeCell ref="U171:V171"/>
    <mergeCell ref="V22:X22"/>
    <mergeCell ref="B164:J164"/>
    <mergeCell ref="B340:J340"/>
    <mergeCell ref="B149:E149"/>
    <mergeCell ref="AA252:AB252"/>
    <mergeCell ref="M124:N124"/>
    <mergeCell ref="P283:Q283"/>
    <mergeCell ref="U42:V42"/>
    <mergeCell ref="W115:X115"/>
    <mergeCell ref="P277:Q277"/>
    <mergeCell ref="M116:N116"/>
    <mergeCell ref="T404:U404"/>
    <mergeCell ref="R191:T191"/>
    <mergeCell ref="M126:N126"/>
    <mergeCell ref="AC310:AD310"/>
    <mergeCell ref="W148:X148"/>
    <mergeCell ref="P285:Q285"/>
    <mergeCell ref="Y204:Z204"/>
    <mergeCell ref="Y179:Z179"/>
    <mergeCell ref="T376:U376"/>
    <mergeCell ref="N208:O208"/>
    <mergeCell ref="C12:L12"/>
    <mergeCell ref="A108:A112"/>
    <mergeCell ref="Y206:Z206"/>
    <mergeCell ref="AA306:AB306"/>
    <mergeCell ref="N201:O201"/>
    <mergeCell ref="K78:L78"/>
    <mergeCell ref="AA262:AB262"/>
    <mergeCell ref="V381:W381"/>
    <mergeCell ref="T405:U405"/>
    <mergeCell ref="N237:O237"/>
    <mergeCell ref="B54:F54"/>
    <mergeCell ref="V380:W380"/>
    <mergeCell ref="N203:O203"/>
    <mergeCell ref="K80:L80"/>
    <mergeCell ref="M142:N142"/>
    <mergeCell ref="R219:T219"/>
    <mergeCell ref="N239:O239"/>
    <mergeCell ref="P301:Q301"/>
    <mergeCell ref="AC186:AD186"/>
    <mergeCell ref="O329:P329"/>
    <mergeCell ref="P295:Q295"/>
    <mergeCell ref="B56:F56"/>
    <mergeCell ref="K79:L79"/>
    <mergeCell ref="S39:T39"/>
    <mergeCell ref="P214:Q214"/>
    <mergeCell ref="S337:T337"/>
    <mergeCell ref="U70:V70"/>
    <mergeCell ref="S331:T331"/>
    <mergeCell ref="P267:Q267"/>
    <mergeCell ref="N232:O232"/>
    <mergeCell ref="M144:N144"/>
    <mergeCell ref="B271:K271"/>
    <mergeCell ref="R244:T244"/>
    <mergeCell ref="AA265:AB265"/>
    <mergeCell ref="S339:T339"/>
    <mergeCell ref="U97:V97"/>
    <mergeCell ref="W159:X159"/>
    <mergeCell ref="R394:S394"/>
    <mergeCell ref="W153:X153"/>
    <mergeCell ref="P296:Q296"/>
    <mergeCell ref="AE6:AG6"/>
    <mergeCell ref="B57:F57"/>
    <mergeCell ref="M14:O14"/>
    <mergeCell ref="B273:K273"/>
    <mergeCell ref="R273:T273"/>
    <mergeCell ref="M164:N164"/>
    <mergeCell ref="M139:N139"/>
    <mergeCell ref="W161:X161"/>
    <mergeCell ref="AC54:AD54"/>
    <mergeCell ref="Y217:Z217"/>
    <mergeCell ref="R245:T245"/>
    <mergeCell ref="Q170:R170"/>
    <mergeCell ref="R237:T237"/>
    <mergeCell ref="C25:L25"/>
    <mergeCell ref="U121:V121"/>
    <mergeCell ref="AC56:AD56"/>
    <mergeCell ref="I35:J35"/>
    <mergeCell ref="Q172:R172"/>
    <mergeCell ref="AA291:AB291"/>
    <mergeCell ref="AC49:AD49"/>
    <mergeCell ref="M66:N66"/>
    <mergeCell ref="U123:V123"/>
    <mergeCell ref="S50:T50"/>
    <mergeCell ref="U129:V129"/>
    <mergeCell ref="AC110:AD110"/>
    <mergeCell ref="K124:L124"/>
    <mergeCell ref="B75:F75"/>
    <mergeCell ref="B255:K255"/>
    <mergeCell ref="P191:Q191"/>
    <mergeCell ref="M68:N68"/>
    <mergeCell ref="O130:P130"/>
    <mergeCell ref="W187:X187"/>
    <mergeCell ref="AE174:AF174"/>
    <mergeCell ref="M67:N67"/>
    <mergeCell ref="B408:G408"/>
    <mergeCell ref="M25:O25"/>
    <mergeCell ref="R263:T263"/>
    <mergeCell ref="B284:K284"/>
    <mergeCell ref="O132:P132"/>
    <mergeCell ref="W189:X189"/>
    <mergeCell ref="L245:M245"/>
    <mergeCell ref="P380:Q380"/>
    <mergeCell ref="R407:S407"/>
    <mergeCell ref="M69:N69"/>
    <mergeCell ref="R292:T292"/>
    <mergeCell ref="B286:K286"/>
    <mergeCell ref="AE169:AF169"/>
    <mergeCell ref="AD379:AE379"/>
    <mergeCell ref="N189:O189"/>
    <mergeCell ref="K150:L150"/>
    <mergeCell ref="B403:G403"/>
    <mergeCell ref="N309:O309"/>
    <mergeCell ref="R258:T258"/>
    <mergeCell ref="O127:P127"/>
    <mergeCell ref="S103:T103"/>
    <mergeCell ref="S78:T78"/>
    <mergeCell ref="AD381:AE381"/>
    <mergeCell ref="AC100:AD100"/>
    <mergeCell ref="P253:Q253"/>
    <mergeCell ref="U134:V134"/>
    <mergeCell ref="R260:T260"/>
    <mergeCell ref="B128:F128"/>
    <mergeCell ref="AF37:AG40"/>
    <mergeCell ref="J361:L361"/>
    <mergeCell ref="K145:L145"/>
    <mergeCell ref="S80:T80"/>
    <mergeCell ref="U142:V142"/>
    <mergeCell ref="U167:V167"/>
    <mergeCell ref="N304:O304"/>
    <mergeCell ref="AC129:AD129"/>
    <mergeCell ref="AE158:AF158"/>
    <mergeCell ref="L271:M271"/>
    <mergeCell ref="U55:V55"/>
    <mergeCell ref="W111:X111"/>
    <mergeCell ref="B312:K312"/>
    <mergeCell ref="K147:L147"/>
    <mergeCell ref="P248:Q248"/>
    <mergeCell ref="U169:V169"/>
    <mergeCell ref="AA62:AB62"/>
    <mergeCell ref="W225:X225"/>
    <mergeCell ref="B123:F123"/>
    <mergeCell ref="R187:T187"/>
    <mergeCell ref="M122:N122"/>
    <mergeCell ref="O178:P178"/>
    <mergeCell ref="Y297:Z297"/>
    <mergeCell ref="B314:K314"/>
    <mergeCell ref="Z394:AA394"/>
    <mergeCell ref="G43:H43"/>
    <mergeCell ref="AA91:AB91"/>
    <mergeCell ref="I105:J105"/>
    <mergeCell ref="C8:L8"/>
    <mergeCell ref="R189:T189"/>
    <mergeCell ref="V9:X9"/>
    <mergeCell ref="P393:Q393"/>
    <mergeCell ref="Y177:Z177"/>
    <mergeCell ref="G36:H36"/>
    <mergeCell ref="AA93:AB93"/>
    <mergeCell ref="AE184:AF184"/>
    <mergeCell ref="K163:L163"/>
    <mergeCell ref="S10:U10"/>
    <mergeCell ref="V11:X11"/>
    <mergeCell ref="P395:Q395"/>
    <mergeCell ref="AC121:AD121"/>
    <mergeCell ref="AA86:AB86"/>
    <mergeCell ref="I100:J100"/>
    <mergeCell ref="N235:O235"/>
    <mergeCell ref="P297:Q297"/>
    <mergeCell ref="W251:X251"/>
    <mergeCell ref="AC151:AD151"/>
    <mergeCell ref="K165:L165"/>
    <mergeCell ref="Y172:Z172"/>
    <mergeCell ref="U66:V66"/>
    <mergeCell ref="P263:Q263"/>
    <mergeCell ref="I102:J102"/>
    <mergeCell ref="AH6:AH9"/>
    <mergeCell ref="W259:X259"/>
    <mergeCell ref="AE179:AF179"/>
    <mergeCell ref="M140:N140"/>
    <mergeCell ref="W253:X253"/>
    <mergeCell ref="W280:X280"/>
    <mergeCell ref="P293:Q293"/>
    <mergeCell ref="O327:P327"/>
    <mergeCell ref="AE17:AF19"/>
    <mergeCell ref="B236:K236"/>
    <mergeCell ref="M133:N133"/>
    <mergeCell ref="U68:V68"/>
    <mergeCell ref="P292:Q292"/>
    <mergeCell ref="Q84:R84"/>
    <mergeCell ref="N259:O259"/>
    <mergeCell ref="Y46:Z46"/>
    <mergeCell ref="Y317:Z317"/>
    <mergeCell ref="W282:X282"/>
    <mergeCell ref="AA75:AB75"/>
    <mergeCell ref="M135:N135"/>
    <mergeCell ref="P294:Q294"/>
    <mergeCell ref="B55:F55"/>
    <mergeCell ref="Q86:R86"/>
    <mergeCell ref="N261:O261"/>
    <mergeCell ref="L188:M188"/>
    <mergeCell ref="Y48:Z48"/>
    <mergeCell ref="AA104:AB104"/>
    <mergeCell ref="S178:T178"/>
    <mergeCell ref="C21:L21"/>
    <mergeCell ref="AC52:AD52"/>
    <mergeCell ref="N254:O254"/>
    <mergeCell ref="B356:I356"/>
    <mergeCell ref="Y312:Z312"/>
    <mergeCell ref="K87:L87"/>
    <mergeCell ref="S150:T150"/>
    <mergeCell ref="S144:T144"/>
    <mergeCell ref="P319:Q319"/>
    <mergeCell ref="AA106:AB106"/>
    <mergeCell ref="C23:L23"/>
    <mergeCell ref="AC45:AD45"/>
    <mergeCell ref="S23:U23"/>
    <mergeCell ref="N256:O256"/>
    <mergeCell ref="P318:Q318"/>
    <mergeCell ref="AC81:AD81"/>
    <mergeCell ref="H392:I392"/>
    <mergeCell ref="B30:H32"/>
    <mergeCell ref="AC134:AD134"/>
    <mergeCell ref="U208:V208"/>
    <mergeCell ref="S173:T173"/>
    <mergeCell ref="R383:S383"/>
    <mergeCell ref="AC170:AD170"/>
    <mergeCell ref="O338:P338"/>
    <mergeCell ref="AA289:AB289"/>
    <mergeCell ref="W300:X300"/>
    <mergeCell ref="W183:X183"/>
    <mergeCell ref="K88:L88"/>
    <mergeCell ref="S145:T145"/>
    <mergeCell ref="AE227:AF251"/>
    <mergeCell ref="P320:Q320"/>
    <mergeCell ref="H394:I394"/>
    <mergeCell ref="P314:Q314"/>
    <mergeCell ref="M153:N153"/>
    <mergeCell ref="R376:S376"/>
    <mergeCell ref="W272:X272"/>
    <mergeCell ref="U237:V237"/>
    <mergeCell ref="S24:U24"/>
    <mergeCell ref="C18:L18"/>
    <mergeCell ref="O340:P340"/>
    <mergeCell ref="AC76:AD76"/>
    <mergeCell ref="W185:X185"/>
    <mergeCell ref="Y247:Z247"/>
    <mergeCell ref="K90:L90"/>
    <mergeCell ref="Y241:Z241"/>
    <mergeCell ref="L216:M216"/>
    <mergeCell ref="O35:P35"/>
    <mergeCell ref="R378:S378"/>
    <mergeCell ref="N272:O272"/>
    <mergeCell ref="U122:V122"/>
    <mergeCell ref="W214:X214"/>
    <mergeCell ref="L209:M209"/>
    <mergeCell ref="Y243:Z243"/>
    <mergeCell ref="AA305:AB305"/>
    <mergeCell ref="W267:X267"/>
    <mergeCell ref="I42:J42"/>
    <mergeCell ref="O43:P43"/>
    <mergeCell ref="R254:T254"/>
    <mergeCell ref="AC63:AD63"/>
    <mergeCell ref="N274:O274"/>
    <mergeCell ref="AC221:AD221"/>
    <mergeCell ref="Q99:R99"/>
    <mergeCell ref="K115:L115"/>
    <mergeCell ref="R290:T290"/>
    <mergeCell ref="Y242:Z242"/>
    <mergeCell ref="I52:J52"/>
    <mergeCell ref="S74:T74"/>
    <mergeCell ref="G110:H110"/>
    <mergeCell ref="L211:M211"/>
    <mergeCell ref="AA307:AB307"/>
    <mergeCell ref="I44:J44"/>
    <mergeCell ref="M179:N179"/>
    <mergeCell ref="B388:AA388"/>
    <mergeCell ref="R256:T256"/>
    <mergeCell ref="S163:T163"/>
    <mergeCell ref="AC223:AD223"/>
    <mergeCell ref="H376:I376"/>
    <mergeCell ref="F376:G381"/>
    <mergeCell ref="K141:L141"/>
    <mergeCell ref="K116:L116"/>
    <mergeCell ref="S76:T76"/>
    <mergeCell ref="U138:V138"/>
    <mergeCell ref="U132:V132"/>
    <mergeCell ref="AC216:AD216"/>
    <mergeCell ref="N269:O269"/>
    <mergeCell ref="U290:V290"/>
    <mergeCell ref="H405:I405"/>
    <mergeCell ref="R285:T285"/>
    <mergeCell ref="AE281:AF281"/>
    <mergeCell ref="B308:K308"/>
    <mergeCell ref="P244:Q244"/>
    <mergeCell ref="K118:L118"/>
    <mergeCell ref="N302:O302"/>
    <mergeCell ref="W196:X196"/>
    <mergeCell ref="AC218:AD218"/>
    <mergeCell ref="AE280:AF280"/>
    <mergeCell ref="H407:I407"/>
    <mergeCell ref="Y112:Z112"/>
    <mergeCell ref="R316:T316"/>
    <mergeCell ref="B310:K310"/>
    <mergeCell ref="W198:X198"/>
    <mergeCell ref="I70:J70"/>
    <mergeCell ref="AE282:AF282"/>
    <mergeCell ref="Y114:Z114"/>
    <mergeCell ref="L229:M229"/>
    <mergeCell ref="AA176:AB176"/>
    <mergeCell ref="P389:Q389"/>
    <mergeCell ref="R274:T274"/>
    <mergeCell ref="AC363:AD363"/>
    <mergeCell ref="L264:M264"/>
    <mergeCell ref="W51:X51"/>
    <mergeCell ref="K134:L134"/>
    <mergeCell ref="R311:T311"/>
    <mergeCell ref="AA178:AB178"/>
    <mergeCell ref="P391:Q391"/>
    <mergeCell ref="AC234:AD234"/>
    <mergeCell ref="U308:V308"/>
    <mergeCell ref="I96:J96"/>
    <mergeCell ref="R303:T303"/>
    <mergeCell ref="U160:V160"/>
    <mergeCell ref="S87:T87"/>
    <mergeCell ref="Q329:R329"/>
    <mergeCell ref="P384:Q384"/>
    <mergeCell ref="L224:M224"/>
    <mergeCell ref="AA171:AB171"/>
    <mergeCell ref="S97:T97"/>
    <mergeCell ref="I98:J98"/>
    <mergeCell ref="N199:O199"/>
    <mergeCell ref="AE175:AF175"/>
    <mergeCell ref="U195:V195"/>
    <mergeCell ref="P392:Q392"/>
    <mergeCell ref="Z383:AA383"/>
    <mergeCell ref="U309:V309"/>
    <mergeCell ref="G154:H154"/>
    <mergeCell ref="R300:T300"/>
    <mergeCell ref="AC148:AD148"/>
    <mergeCell ref="W278:X278"/>
    <mergeCell ref="L282:M282"/>
    <mergeCell ref="J367:L367"/>
    <mergeCell ref="G60:H60"/>
    <mergeCell ref="B5:X5"/>
    <mergeCell ref="Q57:R57"/>
    <mergeCell ref="AA100:AB100"/>
    <mergeCell ref="AA231:AB231"/>
    <mergeCell ref="R295:T295"/>
    <mergeCell ref="J369:L369"/>
    <mergeCell ref="I124:J124"/>
    <mergeCell ref="L283:M283"/>
    <mergeCell ref="Q42:R42"/>
    <mergeCell ref="S115:T115"/>
    <mergeCell ref="L277:M277"/>
    <mergeCell ref="AA102:AB102"/>
    <mergeCell ref="I116:J116"/>
    <mergeCell ref="B170:J170"/>
    <mergeCell ref="P404:Q404"/>
    <mergeCell ref="N252:O252"/>
    <mergeCell ref="Y39:Z39"/>
    <mergeCell ref="I126:J126"/>
    <mergeCell ref="AC130:AD130"/>
    <mergeCell ref="B172:J172"/>
    <mergeCell ref="U179:V179"/>
    <mergeCell ref="AC166:AD166"/>
    <mergeCell ref="AC160:AD160"/>
    <mergeCell ref="P316:Q316"/>
    <mergeCell ref="AA103:AB103"/>
    <mergeCell ref="W306:X306"/>
    <mergeCell ref="U233:V233"/>
    <mergeCell ref="G78:H78"/>
    <mergeCell ref="S20:U20"/>
    <mergeCell ref="AC290:AD290"/>
    <mergeCell ref="C14:L14"/>
    <mergeCell ref="L310:M310"/>
    <mergeCell ref="AC168:AD168"/>
    <mergeCell ref="R380:S380"/>
    <mergeCell ref="R374:S374"/>
    <mergeCell ref="AC161:AD161"/>
    <mergeCell ref="U235:V235"/>
    <mergeCell ref="W297:X297"/>
    <mergeCell ref="S22:U22"/>
    <mergeCell ref="G80:H80"/>
    <mergeCell ref="W291:X291"/>
    <mergeCell ref="AA128:AB128"/>
    <mergeCell ref="I142:J142"/>
    <mergeCell ref="L301:M301"/>
    <mergeCell ref="A54:A58"/>
    <mergeCell ref="G79:H79"/>
    <mergeCell ref="G73:H73"/>
    <mergeCell ref="O337:P337"/>
    <mergeCell ref="Q70:R70"/>
    <mergeCell ref="O331:P331"/>
    <mergeCell ref="AC192:AD192"/>
    <mergeCell ref="Y57:Z57"/>
    <mergeCell ref="X389:Y389"/>
    <mergeCell ref="L207:M207"/>
    <mergeCell ref="AA129:AB129"/>
    <mergeCell ref="B36:F36"/>
    <mergeCell ref="S159:T159"/>
    <mergeCell ref="U259:V259"/>
    <mergeCell ref="N394:O394"/>
    <mergeCell ref="S153:T153"/>
    <mergeCell ref="L296:M296"/>
    <mergeCell ref="X391:Y391"/>
    <mergeCell ref="Q96:R96"/>
    <mergeCell ref="N271:O271"/>
    <mergeCell ref="I139:J139"/>
    <mergeCell ref="AC187:AD187"/>
    <mergeCell ref="S161:T161"/>
    <mergeCell ref="U261:V261"/>
    <mergeCell ref="U217:V217"/>
    <mergeCell ref="Y212:Z212"/>
    <mergeCell ref="K114:L114"/>
    <mergeCell ref="B366:I366"/>
    <mergeCell ref="M170:N170"/>
    <mergeCell ref="AC214:AD214"/>
    <mergeCell ref="Q121:R121"/>
    <mergeCell ref="M328:N328"/>
    <mergeCell ref="H403:I403"/>
    <mergeCell ref="W325:X325"/>
    <mergeCell ref="W319:X319"/>
    <mergeCell ref="P32:R32"/>
    <mergeCell ref="AA270:AB270"/>
    <mergeCell ref="AC91:AD91"/>
    <mergeCell ref="M172:N172"/>
    <mergeCell ref="AE278:AF278"/>
    <mergeCell ref="Q150:R150"/>
    <mergeCell ref="L225:M225"/>
    <mergeCell ref="Y85:Z85"/>
    <mergeCell ref="I68:J68"/>
    <mergeCell ref="K130:L130"/>
    <mergeCell ref="G92:H92"/>
    <mergeCell ref="Q152:R152"/>
    <mergeCell ref="L227:M227"/>
    <mergeCell ref="AA174:AB174"/>
    <mergeCell ref="M46:N46"/>
    <mergeCell ref="AC205:AD205"/>
    <mergeCell ref="I67:J67"/>
    <mergeCell ref="N293:O293"/>
    <mergeCell ref="L220:M220"/>
    <mergeCell ref="AC118:AD118"/>
    <mergeCell ref="K132:L132"/>
    <mergeCell ref="B49:F49"/>
    <mergeCell ref="U272:V272"/>
    <mergeCell ref="N407:O407"/>
    <mergeCell ref="M346:N346"/>
    <mergeCell ref="AA55:AB55"/>
    <mergeCell ref="X404:Y404"/>
    <mergeCell ref="U185:V185"/>
    <mergeCell ref="AE304:AF304"/>
    <mergeCell ref="N284:O284"/>
    <mergeCell ref="L222:M222"/>
    <mergeCell ref="G150:H150"/>
    <mergeCell ref="L251:M251"/>
    <mergeCell ref="W38:X38"/>
    <mergeCell ref="U299:V299"/>
    <mergeCell ref="U274:V274"/>
    <mergeCell ref="AA169:AB169"/>
    <mergeCell ref="AE296:AF296"/>
    <mergeCell ref="O106:P106"/>
    <mergeCell ref="M348:N348"/>
    <mergeCell ref="U193:V193"/>
    <mergeCell ref="K127:L127"/>
    <mergeCell ref="W249:X249"/>
    <mergeCell ref="B230:K230"/>
    <mergeCell ref="AE306:AF306"/>
    <mergeCell ref="AC233:AD233"/>
    <mergeCell ref="M43:N43"/>
    <mergeCell ref="O78:P78"/>
    <mergeCell ref="L253:M253"/>
    <mergeCell ref="AA200:AB200"/>
    <mergeCell ref="W40:X40"/>
    <mergeCell ref="O105:P105"/>
    <mergeCell ref="Q134:R134"/>
    <mergeCell ref="W338:X338"/>
    <mergeCell ref="M347:N347"/>
    <mergeCell ref="AB9:AD9"/>
    <mergeCell ref="AE177:AF177"/>
    <mergeCell ref="AA44:AB44"/>
    <mergeCell ref="Y313:Z313"/>
    <mergeCell ref="L246:M246"/>
    <mergeCell ref="G145:H145"/>
    <mergeCell ref="Z374:AA374"/>
    <mergeCell ref="AC258:AD258"/>
    <mergeCell ref="Q55:R55"/>
    <mergeCell ref="AA37:AB37"/>
    <mergeCell ref="S111:T111"/>
    <mergeCell ref="L273:M273"/>
    <mergeCell ref="L248:M248"/>
    <mergeCell ref="AA195:AB195"/>
    <mergeCell ref="AA73:AB73"/>
    <mergeCell ref="F384:G384"/>
    <mergeCell ref="G147:H147"/>
    <mergeCell ref="Q165:R165"/>
    <mergeCell ref="AC260:AD260"/>
    <mergeCell ref="I122:J122"/>
    <mergeCell ref="K178:L178"/>
    <mergeCell ref="U175:V175"/>
    <mergeCell ref="AA197:AB197"/>
    <mergeCell ref="N312:O312"/>
    <mergeCell ref="AC259:AD259"/>
    <mergeCell ref="W91:X91"/>
    <mergeCell ref="U327:V327"/>
    <mergeCell ref="S112:T112"/>
    <mergeCell ref="L393:M393"/>
    <mergeCell ref="AA68:AB68"/>
    <mergeCell ref="T380:U380"/>
    <mergeCell ref="AC261:AD261"/>
    <mergeCell ref="L306:M306"/>
    <mergeCell ref="W93:X93"/>
    <mergeCell ref="AE317:AF317"/>
    <mergeCell ref="U335:V335"/>
    <mergeCell ref="S141:T141"/>
    <mergeCell ref="A84:A88"/>
    <mergeCell ref="U328:V328"/>
    <mergeCell ref="W86:X86"/>
    <mergeCell ref="M62:N62"/>
    <mergeCell ref="AE319:AF319"/>
    <mergeCell ref="Y151:Z151"/>
    <mergeCell ref="AA213:AB213"/>
    <mergeCell ref="U172:V172"/>
    <mergeCell ref="G44:H44"/>
    <mergeCell ref="Q66:R66"/>
    <mergeCell ref="AA126:AB126"/>
    <mergeCell ref="Y150:Z150"/>
    <mergeCell ref="AA215:AB215"/>
    <mergeCell ref="I133:J133"/>
    <mergeCell ref="I108:J108"/>
    <mergeCell ref="Q68:R68"/>
    <mergeCell ref="B187:K187"/>
    <mergeCell ref="U345:V345"/>
    <mergeCell ref="N243:O243"/>
    <mergeCell ref="L292:M292"/>
    <mergeCell ref="AC190:AD190"/>
    <mergeCell ref="Y152:Z152"/>
    <mergeCell ref="B179:J179"/>
    <mergeCell ref="AA208:AB208"/>
    <mergeCell ref="U46:V46"/>
    <mergeCell ref="B121:F121"/>
    <mergeCell ref="B337:J337"/>
    <mergeCell ref="O176:P176"/>
    <mergeCell ref="W233:X233"/>
    <mergeCell ref="I135:J135"/>
    <mergeCell ref="N236:O236"/>
    <mergeCell ref="AC183:AD183"/>
    <mergeCell ref="U257:V257"/>
    <mergeCell ref="B189:K189"/>
    <mergeCell ref="B216:K216"/>
    <mergeCell ref="L294:M294"/>
    <mergeCell ref="K51:L51"/>
    <mergeCell ref="Q97:R97"/>
    <mergeCell ref="AA210:AB210"/>
    <mergeCell ref="AC272:AD272"/>
    <mergeCell ref="U48:V48"/>
    <mergeCell ref="B339:J339"/>
    <mergeCell ref="W104:X104"/>
    <mergeCell ref="U346:V346"/>
    <mergeCell ref="B188:K188"/>
    <mergeCell ref="U340:V340"/>
    <mergeCell ref="AC185:AD185"/>
    <mergeCell ref="H374:I374"/>
    <mergeCell ref="B218:K218"/>
    <mergeCell ref="Y79:Z79"/>
    <mergeCell ref="W315:X315"/>
    <mergeCell ref="L319:M319"/>
    <mergeCell ref="W106:X106"/>
    <mergeCell ref="U348:V348"/>
    <mergeCell ref="B190:K190"/>
    <mergeCell ref="A114:A118"/>
    <mergeCell ref="Y81:Z81"/>
    <mergeCell ref="L318:M318"/>
    <mergeCell ref="L196:M196"/>
    <mergeCell ref="U43:V43"/>
    <mergeCell ref="W105:X105"/>
    <mergeCell ref="O173:P173"/>
    <mergeCell ref="AA268:AB268"/>
    <mergeCell ref="N383:O383"/>
    <mergeCell ref="Y170:Z170"/>
    <mergeCell ref="G88:H88"/>
    <mergeCell ref="B364:I364"/>
    <mergeCell ref="Q148:R148"/>
    <mergeCell ref="Q123:R123"/>
    <mergeCell ref="N310:O310"/>
    <mergeCell ref="L320:M320"/>
    <mergeCell ref="AA145:AB145"/>
    <mergeCell ref="L314:M314"/>
    <mergeCell ref="AC201:AD201"/>
    <mergeCell ref="AA139:AB139"/>
    <mergeCell ref="Y163:Z163"/>
    <mergeCell ref="N376:O376"/>
    <mergeCell ref="Y76:Z76"/>
    <mergeCell ref="L191:M191"/>
    <mergeCell ref="G90:H90"/>
    <mergeCell ref="AA138:AB138"/>
    <mergeCell ref="B45:F45"/>
    <mergeCell ref="AC203:AD203"/>
    <mergeCell ref="N378:O378"/>
    <mergeCell ref="AC361:AD361"/>
    <mergeCell ref="P21:R21"/>
    <mergeCell ref="AA140:AB140"/>
    <mergeCell ref="U270:V270"/>
    <mergeCell ref="R208:T208"/>
    <mergeCell ref="G115:H115"/>
    <mergeCell ref="Y221:Z221"/>
    <mergeCell ref="B46:F46"/>
    <mergeCell ref="P23:R23"/>
    <mergeCell ref="AE302:AF302"/>
    <mergeCell ref="M39:N39"/>
    <mergeCell ref="AC198:AD198"/>
    <mergeCell ref="R235:T235"/>
    <mergeCell ref="W36:X36"/>
    <mergeCell ref="W334:X334"/>
    <mergeCell ref="Y92:Z92"/>
    <mergeCell ref="AC356:AD356"/>
    <mergeCell ref="Y223:Z223"/>
    <mergeCell ref="B48:F48"/>
    <mergeCell ref="G141:H141"/>
    <mergeCell ref="U271:V271"/>
    <mergeCell ref="G116:H116"/>
    <mergeCell ref="O103:P103"/>
    <mergeCell ref="M339:N339"/>
    <mergeCell ref="Q159:R159"/>
    <mergeCell ref="I30:L30"/>
    <mergeCell ref="Y216:Z216"/>
    <mergeCell ref="Y94:Z94"/>
    <mergeCell ref="V391:W391"/>
    <mergeCell ref="AA281:AB281"/>
    <mergeCell ref="L244:M244"/>
    <mergeCell ref="G118:H118"/>
    <mergeCell ref="Q167:R167"/>
    <mergeCell ref="B73:F73"/>
    <mergeCell ref="P195:Q195"/>
    <mergeCell ref="B71:E71"/>
    <mergeCell ref="Q161:R161"/>
    <mergeCell ref="Y218:Z218"/>
    <mergeCell ref="AA280:AB280"/>
    <mergeCell ref="AC38:AD38"/>
    <mergeCell ref="AA158:AB158"/>
    <mergeCell ref="U112:V112"/>
    <mergeCell ref="AA193:AB193"/>
    <mergeCell ref="N308:O308"/>
    <mergeCell ref="AC224:AD224"/>
    <mergeCell ref="P197:Q197"/>
    <mergeCell ref="U298:V298"/>
    <mergeCell ref="AC46:AD46"/>
    <mergeCell ref="AA282:AB282"/>
    <mergeCell ref="AC40:AD40"/>
    <mergeCell ref="Y249:Z249"/>
    <mergeCell ref="W176:X176"/>
    <mergeCell ref="L389:M389"/>
    <mergeCell ref="AC257:AD257"/>
    <mergeCell ref="O129:P129"/>
    <mergeCell ref="AE313:AF313"/>
    <mergeCell ref="B290:K290"/>
    <mergeCell ref="AA153:AB153"/>
    <mergeCell ref="W359:AB359"/>
    <mergeCell ref="Y120:Z120"/>
    <mergeCell ref="G134:H134"/>
    <mergeCell ref="L391:M391"/>
    <mergeCell ref="W178:X178"/>
    <mergeCell ref="I50:J50"/>
    <mergeCell ref="B283:K283"/>
    <mergeCell ref="W57:X57"/>
    <mergeCell ref="M58:N58"/>
    <mergeCell ref="AE315:AF315"/>
    <mergeCell ref="O87:P87"/>
    <mergeCell ref="L384:M384"/>
    <mergeCell ref="AA184:AB184"/>
    <mergeCell ref="W49:X49"/>
    <mergeCell ref="K108:L108"/>
    <mergeCell ref="Y115:Z115"/>
    <mergeCell ref="L392:M392"/>
    <mergeCell ref="O116:P116"/>
    <mergeCell ref="K325:L325"/>
    <mergeCell ref="U140:V140"/>
    <mergeCell ref="Y148:Z148"/>
    <mergeCell ref="B117:F117"/>
    <mergeCell ref="P208:Q208"/>
    <mergeCell ref="M84:N84"/>
    <mergeCell ref="AA206:AB206"/>
    <mergeCell ref="B335:J335"/>
    <mergeCell ref="U342:V342"/>
    <mergeCell ref="B301:K301"/>
    <mergeCell ref="P210:Q210"/>
    <mergeCell ref="W75:X75"/>
    <mergeCell ref="Y262:Z262"/>
    <mergeCell ref="B214:K214"/>
    <mergeCell ref="B112:F112"/>
    <mergeCell ref="P209:Q209"/>
    <mergeCell ref="M86:N86"/>
    <mergeCell ref="AC270:AD270"/>
    <mergeCell ref="M42:N42"/>
    <mergeCell ref="M80:N80"/>
    <mergeCell ref="W102:X102"/>
    <mergeCell ref="B303:K303"/>
    <mergeCell ref="O142:P142"/>
    <mergeCell ref="U344:V344"/>
    <mergeCell ref="R186:T186"/>
    <mergeCell ref="L404:M404"/>
    <mergeCell ref="U39:V39"/>
    <mergeCell ref="BE8:BI8"/>
    <mergeCell ref="O169:P169"/>
    <mergeCell ref="O144:P144"/>
    <mergeCell ref="Y166:Z166"/>
    <mergeCell ref="P234:Q234"/>
    <mergeCell ref="K38:L38"/>
    <mergeCell ref="AC295:AD295"/>
    <mergeCell ref="V8:X8"/>
    <mergeCell ref="J377:K377"/>
    <mergeCell ref="B326:J326"/>
    <mergeCell ref="L316:M316"/>
    <mergeCell ref="W103:X103"/>
    <mergeCell ref="AA232:AB232"/>
    <mergeCell ref="B137:E137"/>
    <mergeCell ref="AA224:AB224"/>
    <mergeCell ref="K338:L338"/>
    <mergeCell ref="V10:X10"/>
    <mergeCell ref="S177:T177"/>
    <mergeCell ref="N374:O374"/>
    <mergeCell ref="AC296:AD296"/>
    <mergeCell ref="Y161:Z161"/>
    <mergeCell ref="W128:X128"/>
    <mergeCell ref="AC288:AD288"/>
    <mergeCell ref="P17:R17"/>
    <mergeCell ref="K340:L340"/>
    <mergeCell ref="BE5:BI5"/>
    <mergeCell ref="B204:K204"/>
    <mergeCell ref="R204:T204"/>
    <mergeCell ref="U241:V241"/>
    <mergeCell ref="B198:K198"/>
    <mergeCell ref="AC298:AD298"/>
    <mergeCell ref="M70:N70"/>
    <mergeCell ref="K35:L35"/>
    <mergeCell ref="Y192:Z192"/>
    <mergeCell ref="K333:L333"/>
    <mergeCell ref="B348:J348"/>
    <mergeCell ref="P19:R19"/>
    <mergeCell ref="B382:AG382"/>
    <mergeCell ref="B233:K233"/>
    <mergeCell ref="R206:T206"/>
    <mergeCell ref="U243:V243"/>
    <mergeCell ref="B227:K227"/>
    <mergeCell ref="W129:X129"/>
    <mergeCell ref="W123:X123"/>
    <mergeCell ref="M99:N99"/>
    <mergeCell ref="P12:R12"/>
    <mergeCell ref="AA250:AB250"/>
    <mergeCell ref="B199:K199"/>
    <mergeCell ref="R199:T199"/>
    <mergeCell ref="O74:P74"/>
    <mergeCell ref="G148:H148"/>
    <mergeCell ref="Y187:Z187"/>
    <mergeCell ref="P14:R14"/>
    <mergeCell ref="O40:P40"/>
    <mergeCell ref="G114:H114"/>
    <mergeCell ref="C20:L20"/>
    <mergeCell ref="B228:K228"/>
    <mergeCell ref="V21:X21"/>
    <mergeCell ref="Y214:Z214"/>
    <mergeCell ref="AA276:AB276"/>
    <mergeCell ref="AA251:AB251"/>
    <mergeCell ref="Y189:Z189"/>
    <mergeCell ref="S325:T325"/>
    <mergeCell ref="N245:O245"/>
    <mergeCell ref="C22:L22"/>
    <mergeCell ref="H3:U3"/>
    <mergeCell ref="W364:AB364"/>
    <mergeCell ref="V23:X23"/>
    <mergeCell ref="AA278:AB278"/>
    <mergeCell ref="AC36:AD36"/>
    <mergeCell ref="M150:N150"/>
    <mergeCell ref="Y245:Z245"/>
    <mergeCell ref="U85:V85"/>
    <mergeCell ref="AF379:AG379"/>
    <mergeCell ref="P309:Q309"/>
    <mergeCell ref="AA92:AB92"/>
    <mergeCell ref="B217:K217"/>
    <mergeCell ref="U78:V78"/>
    <mergeCell ref="AF381:AG381"/>
    <mergeCell ref="R217:T217"/>
    <mergeCell ref="M152:N152"/>
    <mergeCell ref="I46:J46"/>
    <mergeCell ref="B72:F72"/>
    <mergeCell ref="Y205:Z205"/>
    <mergeCell ref="M31:O31"/>
    <mergeCell ref="N234:O234"/>
    <mergeCell ref="Y118:Z118"/>
    <mergeCell ref="U80:V80"/>
    <mergeCell ref="W142:X142"/>
    <mergeCell ref="W167:X167"/>
    <mergeCell ref="W55:X55"/>
    <mergeCell ref="A144:A148"/>
    <mergeCell ref="AA304:AB304"/>
    <mergeCell ref="W169:X169"/>
    <mergeCell ref="S38:T38"/>
    <mergeCell ref="M26:O26"/>
    <mergeCell ref="K106:L106"/>
    <mergeCell ref="U225:V225"/>
    <mergeCell ref="G127:H127"/>
    <mergeCell ref="AA175:AB175"/>
    <mergeCell ref="B88:F88"/>
    <mergeCell ref="B82:F82"/>
    <mergeCell ref="AC64:AD64"/>
    <mergeCell ref="Y233:Z233"/>
    <mergeCell ref="K105:L105"/>
    <mergeCell ref="W200:X200"/>
    <mergeCell ref="S40:T40"/>
    <mergeCell ref="A48:A52"/>
    <mergeCell ref="V402:W402"/>
    <mergeCell ref="U305:V305"/>
    <mergeCell ref="I43:J43"/>
    <mergeCell ref="AC362:AD362"/>
    <mergeCell ref="V408:W408"/>
    <mergeCell ref="AA177:AB177"/>
    <mergeCell ref="V374:W374"/>
    <mergeCell ref="B390:G390"/>
    <mergeCell ref="U313:V313"/>
    <mergeCell ref="B297:K297"/>
    <mergeCell ref="U307:V307"/>
    <mergeCell ref="P233:Q233"/>
    <mergeCell ref="AC364:AD364"/>
    <mergeCell ref="AC93:AD93"/>
    <mergeCell ref="B272:K272"/>
    <mergeCell ref="M163:N163"/>
    <mergeCell ref="Y258:Z258"/>
    <mergeCell ref="O58:P58"/>
    <mergeCell ref="B389:G389"/>
    <mergeCell ref="AE7:AG7"/>
    <mergeCell ref="M76:N76"/>
    <mergeCell ref="O138:P138"/>
    <mergeCell ref="W195:X195"/>
    <mergeCell ref="B299:K299"/>
    <mergeCell ref="W73:X73"/>
    <mergeCell ref="P235:Q235"/>
    <mergeCell ref="B274:K274"/>
    <mergeCell ref="W231:X231"/>
    <mergeCell ref="M165:N165"/>
    <mergeCell ref="Y260:Z260"/>
    <mergeCell ref="B391:G391"/>
    <mergeCell ref="B85:F85"/>
    <mergeCell ref="P207:Q207"/>
    <mergeCell ref="R271:T271"/>
    <mergeCell ref="O140:P140"/>
    <mergeCell ref="O115:P115"/>
    <mergeCell ref="W197:X197"/>
    <mergeCell ref="Y259:Z259"/>
    <mergeCell ref="Y253:Z253"/>
    <mergeCell ref="S91:T91"/>
    <mergeCell ref="Q327:R327"/>
    <mergeCell ref="Y289:Z289"/>
    <mergeCell ref="W68:X68"/>
    <mergeCell ref="Y130:Z130"/>
    <mergeCell ref="B141:F141"/>
    <mergeCell ref="Y261:Z261"/>
    <mergeCell ref="P232:Q232"/>
    <mergeCell ref="Q335:R335"/>
    <mergeCell ref="S93:T93"/>
    <mergeCell ref="AA317:AB317"/>
    <mergeCell ref="AC75:AD75"/>
    <mergeCell ref="T357:U357"/>
    <mergeCell ref="AC111:AD111"/>
    <mergeCell ref="Z381:AA381"/>
    <mergeCell ref="R302:T302"/>
    <mergeCell ref="Q328:R328"/>
    <mergeCell ref="S86:T86"/>
    <mergeCell ref="M97:N97"/>
    <mergeCell ref="Y290:Z290"/>
    <mergeCell ref="P261:Q261"/>
    <mergeCell ref="AA319:AB319"/>
    <mergeCell ref="AA48:AB48"/>
    <mergeCell ref="S122:T122"/>
    <mergeCell ref="U151:V151"/>
    <mergeCell ref="W213:X213"/>
    <mergeCell ref="B136:F136"/>
    <mergeCell ref="AC294:AD294"/>
    <mergeCell ref="U150:V150"/>
    <mergeCell ref="N353:U353"/>
    <mergeCell ref="AC112:AD112"/>
    <mergeCell ref="U186:V186"/>
    <mergeCell ref="AC106:AD106"/>
    <mergeCell ref="W215:X215"/>
    <mergeCell ref="I87:J87"/>
    <mergeCell ref="B320:K320"/>
    <mergeCell ref="U152:V152"/>
    <mergeCell ref="K331:L331"/>
    <mergeCell ref="R291:T291"/>
    <mergeCell ref="J392:K392"/>
    <mergeCell ref="W208:X208"/>
    <mergeCell ref="Q46:R46"/>
    <mergeCell ref="T389:U389"/>
    <mergeCell ref="T383:U383"/>
    <mergeCell ref="AE170:AF170"/>
    <mergeCell ref="W244:X244"/>
    <mergeCell ref="K176:L176"/>
    <mergeCell ref="B34:AD34"/>
    <mergeCell ref="Y183:Z183"/>
    <mergeCell ref="T355:U355"/>
    <mergeCell ref="R284:T284"/>
    <mergeCell ref="J358:L358"/>
    <mergeCell ref="J394:K394"/>
    <mergeCell ref="N187:O187"/>
    <mergeCell ref="O153:P153"/>
    <mergeCell ref="Q48:R48"/>
    <mergeCell ref="B373:AG373"/>
    <mergeCell ref="W210:X210"/>
    <mergeCell ref="Y272:Z272"/>
    <mergeCell ref="R197:T197"/>
    <mergeCell ref="S104:T104"/>
    <mergeCell ref="B159:J159"/>
    <mergeCell ref="P279:Q279"/>
    <mergeCell ref="U177:V177"/>
    <mergeCell ref="Q346:R346"/>
    <mergeCell ref="Q340:R340"/>
    <mergeCell ref="Y185:Z185"/>
    <mergeCell ref="AA247:AB247"/>
    <mergeCell ref="K57:L57"/>
    <mergeCell ref="B154:F154"/>
    <mergeCell ref="P251:Q251"/>
    <mergeCell ref="N216:O216"/>
    <mergeCell ref="K171:L171"/>
    <mergeCell ref="B167:J167"/>
    <mergeCell ref="W241:X241"/>
    <mergeCell ref="S106:T106"/>
    <mergeCell ref="V19:X19"/>
    <mergeCell ref="P403:Q403"/>
    <mergeCell ref="B161:J161"/>
    <mergeCell ref="AA243:AB243"/>
    <mergeCell ref="AC305:AD305"/>
    <mergeCell ref="Q43:R43"/>
    <mergeCell ref="S105:T105"/>
    <mergeCell ref="N218:O218"/>
    <mergeCell ref="P280:Q280"/>
    <mergeCell ref="P274:Q274"/>
    <mergeCell ref="J383:K383"/>
    <mergeCell ref="U170:V170"/>
    <mergeCell ref="P193:Q193"/>
    <mergeCell ref="U74:V74"/>
    <mergeCell ref="P246:Q246"/>
    <mergeCell ref="M123:N123"/>
    <mergeCell ref="AC307:AD307"/>
    <mergeCell ref="O179:P179"/>
    <mergeCell ref="J376:K376"/>
    <mergeCell ref="U163:V163"/>
    <mergeCell ref="S130:T130"/>
    <mergeCell ref="M27:O27"/>
    <mergeCell ref="U76:V76"/>
    <mergeCell ref="W138:X138"/>
    <mergeCell ref="B151:F151"/>
    <mergeCell ref="K174:L174"/>
    <mergeCell ref="S9:U9"/>
    <mergeCell ref="M108:N108"/>
    <mergeCell ref="J378:K378"/>
    <mergeCell ref="K75:L75"/>
    <mergeCell ref="B252:K252"/>
    <mergeCell ref="S132:T132"/>
    <mergeCell ref="R252:T252"/>
    <mergeCell ref="W140:X140"/>
    <mergeCell ref="J407:K407"/>
    <mergeCell ref="R210:T210"/>
    <mergeCell ref="I39:J39"/>
    <mergeCell ref="Y198:Z198"/>
    <mergeCell ref="S36:T36"/>
    <mergeCell ref="K70:L70"/>
    <mergeCell ref="S334:T334"/>
    <mergeCell ref="U92:V92"/>
    <mergeCell ref="AC176:AD176"/>
    <mergeCell ref="W279:X279"/>
    <mergeCell ref="R241:T241"/>
    <mergeCell ref="K103:L103"/>
    <mergeCell ref="M159:N159"/>
    <mergeCell ref="M134:N134"/>
    <mergeCell ref="U94:V94"/>
    <mergeCell ref="AA122:AB122"/>
    <mergeCell ref="R391:S391"/>
    <mergeCell ref="B79:F79"/>
    <mergeCell ref="B234:K234"/>
    <mergeCell ref="B270:K270"/>
    <mergeCell ref="R243:T243"/>
    <mergeCell ref="W160:X160"/>
    <mergeCell ref="M167:N167"/>
    <mergeCell ref="M161:N161"/>
    <mergeCell ref="Y38:Z38"/>
    <mergeCell ref="B81:F81"/>
    <mergeCell ref="Q112:R112"/>
    <mergeCell ref="R242:T242"/>
    <mergeCell ref="N287:O287"/>
    <mergeCell ref="R236:T236"/>
    <mergeCell ref="W193:X193"/>
    <mergeCell ref="W168:X168"/>
    <mergeCell ref="Y224:Z224"/>
    <mergeCell ref="S62:T62"/>
    <mergeCell ref="R392:S392"/>
    <mergeCell ref="M12:O12"/>
    <mergeCell ref="S176:T176"/>
    <mergeCell ref="U276:V276"/>
    <mergeCell ref="B265:K265"/>
    <mergeCell ref="Y257:Z257"/>
    <mergeCell ref="K129:L129"/>
    <mergeCell ref="AA313:AB313"/>
    <mergeCell ref="AA288:AB288"/>
    <mergeCell ref="U120:V120"/>
    <mergeCell ref="N282:O282"/>
    <mergeCell ref="U278:V278"/>
    <mergeCell ref="B47:E47"/>
    <mergeCell ref="S57:T57"/>
    <mergeCell ref="AC79:AD79"/>
    <mergeCell ref="I58:J58"/>
    <mergeCell ref="AA315:AB315"/>
    <mergeCell ref="AC73:AD73"/>
    <mergeCell ref="N290:O290"/>
    <mergeCell ref="W184:X184"/>
    <mergeCell ref="S49:T49"/>
    <mergeCell ref="W336:X336"/>
    <mergeCell ref="AB11:AF11"/>
    <mergeCell ref="G108:H108"/>
    <mergeCell ref="U115:V115"/>
    <mergeCell ref="AC102:AD102"/>
    <mergeCell ref="L242:M242"/>
    <mergeCell ref="B92:F92"/>
    <mergeCell ref="B101:E101"/>
    <mergeCell ref="R404:S404"/>
    <mergeCell ref="U148:V148"/>
    <mergeCell ref="N285:O285"/>
    <mergeCell ref="W204:X204"/>
    <mergeCell ref="W179:X179"/>
    <mergeCell ref="AE166:AF166"/>
    <mergeCell ref="W240:X240"/>
    <mergeCell ref="AD376:AE376"/>
    <mergeCell ref="B94:F94"/>
    <mergeCell ref="R255:T255"/>
    <mergeCell ref="N300:O300"/>
    <mergeCell ref="I84:J84"/>
    <mergeCell ref="W206:X206"/>
    <mergeCell ref="T381:U381"/>
    <mergeCell ref="AE168:AF168"/>
    <mergeCell ref="S75:T75"/>
    <mergeCell ref="Y304:Z304"/>
    <mergeCell ref="L237:M237"/>
    <mergeCell ref="Y298:Z298"/>
    <mergeCell ref="B402:G402"/>
    <mergeCell ref="S110:T110"/>
    <mergeCell ref="N212:O212"/>
    <mergeCell ref="AA72:AB72"/>
    <mergeCell ref="Y270:Z270"/>
    <mergeCell ref="W235:X235"/>
    <mergeCell ref="I80:J80"/>
    <mergeCell ref="I86:J86"/>
    <mergeCell ref="K142:L142"/>
    <mergeCell ref="N301:O301"/>
    <mergeCell ref="M329:N329"/>
    <mergeCell ref="K55:L55"/>
    <mergeCell ref="Z390:AA390"/>
    <mergeCell ref="Q39:R39"/>
    <mergeCell ref="N214:O214"/>
    <mergeCell ref="P276:Q276"/>
    <mergeCell ref="W230:X230"/>
    <mergeCell ref="S70:T70"/>
    <mergeCell ref="Y299:Z299"/>
    <mergeCell ref="P270:Q270"/>
    <mergeCell ref="AC92:AD92"/>
    <mergeCell ref="W266:X266"/>
    <mergeCell ref="G38:H38"/>
    <mergeCell ref="Y295:Z295"/>
    <mergeCell ref="AC136:AD136"/>
    <mergeCell ref="K144:L144"/>
    <mergeCell ref="B349:P349"/>
    <mergeCell ref="Z389:AA389"/>
    <mergeCell ref="B120:F120"/>
    <mergeCell ref="O175:P175"/>
    <mergeCell ref="Q339:R339"/>
    <mergeCell ref="P278:Q278"/>
    <mergeCell ref="W232:X232"/>
    <mergeCell ref="U159:V159"/>
    <mergeCell ref="W268:X268"/>
    <mergeCell ref="Z391:AA391"/>
    <mergeCell ref="AA88:AB88"/>
    <mergeCell ref="O177:P177"/>
    <mergeCell ref="Y296:Z296"/>
    <mergeCell ref="W261:X261"/>
    <mergeCell ref="AA54:AB54"/>
    <mergeCell ref="S128:T128"/>
    <mergeCell ref="U161:V161"/>
    <mergeCell ref="O335:P335"/>
    <mergeCell ref="AA56:AB56"/>
    <mergeCell ref="G35:H35"/>
    <mergeCell ref="J403:K403"/>
    <mergeCell ref="U192:V192"/>
    <mergeCell ref="B119:E119"/>
    <mergeCell ref="S129:T129"/>
    <mergeCell ref="K66:L66"/>
    <mergeCell ref="N361:S361"/>
    <mergeCell ref="S123:T123"/>
    <mergeCell ref="U63:V63"/>
    <mergeCell ref="P298:Q298"/>
    <mergeCell ref="N225:O225"/>
    <mergeCell ref="AA85:AB85"/>
    <mergeCell ref="I99:J99"/>
    <mergeCell ref="U221:V221"/>
    <mergeCell ref="AC120:AD120"/>
    <mergeCell ref="W250:X250"/>
    <mergeCell ref="S8:U8"/>
    <mergeCell ref="B176:J176"/>
    <mergeCell ref="K74:L74"/>
    <mergeCell ref="K68:L68"/>
    <mergeCell ref="M130:N130"/>
    <mergeCell ref="U187:V187"/>
    <mergeCell ref="N227:O227"/>
    <mergeCell ref="AC174:AD174"/>
    <mergeCell ref="U223:V223"/>
    <mergeCell ref="AC360:AD360"/>
    <mergeCell ref="M132:N132"/>
    <mergeCell ref="U189:V189"/>
    <mergeCell ref="U216:V216"/>
    <mergeCell ref="B171:J171"/>
    <mergeCell ref="O325:P325"/>
    <mergeCell ref="G122:H122"/>
    <mergeCell ref="N380:O380"/>
    <mergeCell ref="W281:X281"/>
    <mergeCell ref="Z404:AA404"/>
    <mergeCell ref="L195:M195"/>
    <mergeCell ref="N224:O224"/>
    <mergeCell ref="U218:V218"/>
    <mergeCell ref="N251:O251"/>
    <mergeCell ref="Q85:R85"/>
    <mergeCell ref="R240:T240"/>
    <mergeCell ref="I150:J150"/>
    <mergeCell ref="AB379:AC379"/>
    <mergeCell ref="L309:M309"/>
    <mergeCell ref="O348:P348"/>
    <mergeCell ref="Y222:Z222"/>
    <mergeCell ref="AC42:AD42"/>
    <mergeCell ref="L197:M197"/>
    <mergeCell ref="Q78:R78"/>
    <mergeCell ref="AB381:AC381"/>
    <mergeCell ref="I152:J152"/>
    <mergeCell ref="N253:O253"/>
    <mergeCell ref="AC200:AD200"/>
    <mergeCell ref="Y40:Z40"/>
    <mergeCell ref="Q114:R114"/>
    <mergeCell ref="H389:I389"/>
    <mergeCell ref="U205:V205"/>
    <mergeCell ref="AA286:AB286"/>
    <mergeCell ref="AC44:AD44"/>
    <mergeCell ref="W121:X121"/>
    <mergeCell ref="B354:I354"/>
    <mergeCell ref="Q80:R80"/>
    <mergeCell ref="S142:T142"/>
    <mergeCell ref="AC202:AD202"/>
    <mergeCell ref="P317:Q317"/>
    <mergeCell ref="H391:I391"/>
    <mergeCell ref="Y96:Z96"/>
    <mergeCell ref="S172:T172"/>
    <mergeCell ref="S55:T55"/>
    <mergeCell ref="S21:U21"/>
    <mergeCell ref="H384:I384"/>
    <mergeCell ref="O38:P38"/>
    <mergeCell ref="B375:AG375"/>
    <mergeCell ref="B63:F63"/>
    <mergeCell ref="G106:H106"/>
    <mergeCell ref="U236:V236"/>
    <mergeCell ref="W175:X175"/>
    <mergeCell ref="Y91:Z91"/>
    <mergeCell ref="G105:H105"/>
    <mergeCell ref="R251:T251"/>
    <mergeCell ref="N393:O393"/>
    <mergeCell ref="R287:T287"/>
    <mergeCell ref="W177:X177"/>
    <mergeCell ref="I49:J49"/>
    <mergeCell ref="W335:X335"/>
    <mergeCell ref="Y93:Z93"/>
    <mergeCell ref="L208:M208"/>
    <mergeCell ref="R253:T253"/>
    <mergeCell ref="N395:O395"/>
    <mergeCell ref="L235:M235"/>
    <mergeCell ref="N297:O297"/>
    <mergeCell ref="L210:M210"/>
    <mergeCell ref="AA151:AB151"/>
    <mergeCell ref="AC213:AD213"/>
    <mergeCell ref="U287:V287"/>
    <mergeCell ref="R282:T282"/>
    <mergeCell ref="J356:L356"/>
    <mergeCell ref="N185:O185"/>
    <mergeCell ref="S66:T66"/>
    <mergeCell ref="K140:L140"/>
    <mergeCell ref="N299:O299"/>
    <mergeCell ref="AC215:AD215"/>
    <mergeCell ref="U289:V289"/>
    <mergeCell ref="H404:I404"/>
    <mergeCell ref="Y109:Z109"/>
    <mergeCell ref="B307:K307"/>
    <mergeCell ref="S68:T68"/>
    <mergeCell ref="B1:AG1"/>
    <mergeCell ref="R307:T307"/>
    <mergeCell ref="P243:Q243"/>
    <mergeCell ref="U130:V130"/>
    <mergeCell ref="W358:AB358"/>
    <mergeCell ref="W46:X46"/>
    <mergeCell ref="AE279:AF279"/>
    <mergeCell ref="Y111:Z111"/>
    <mergeCell ref="W257:X257"/>
    <mergeCell ref="L261:M261"/>
    <mergeCell ref="W48:X48"/>
    <mergeCell ref="O122:P122"/>
    <mergeCell ref="W346:X346"/>
    <mergeCell ref="Y104:Z104"/>
    <mergeCell ref="P212:Q212"/>
    <mergeCell ref="Q178:R178"/>
    <mergeCell ref="R308:T308"/>
    <mergeCell ref="AA79:AB79"/>
    <mergeCell ref="W348:X348"/>
    <mergeCell ref="U315:V315"/>
    <mergeCell ref="R310:T310"/>
    <mergeCell ref="AA81:AB81"/>
    <mergeCell ref="P383:Q383"/>
    <mergeCell ref="U183:V183"/>
    <mergeCell ref="AC145:AD145"/>
    <mergeCell ref="U219:V219"/>
    <mergeCell ref="AC139:AD139"/>
    <mergeCell ref="S6:U6"/>
    <mergeCell ref="K153:L153"/>
    <mergeCell ref="AE12:AF14"/>
    <mergeCell ref="L279:M279"/>
    <mergeCell ref="AA226:AB226"/>
    <mergeCell ref="T363:U363"/>
    <mergeCell ref="W247:X247"/>
    <mergeCell ref="U212:V212"/>
    <mergeCell ref="G57:H57"/>
    <mergeCell ref="AC147:AD147"/>
    <mergeCell ref="L272:M272"/>
    <mergeCell ref="L403:M403"/>
    <mergeCell ref="U214:V214"/>
    <mergeCell ref="W276:X276"/>
    <mergeCell ref="W243:X243"/>
    <mergeCell ref="Y305:Z305"/>
    <mergeCell ref="AA63:AB63"/>
    <mergeCell ref="I121:J121"/>
    <mergeCell ref="L280:M280"/>
    <mergeCell ref="Z402:AA402"/>
    <mergeCell ref="L274:M274"/>
    <mergeCell ref="AA221:AB221"/>
    <mergeCell ref="G58:H58"/>
    <mergeCell ref="P225:Q225"/>
    <mergeCell ref="L193:M193"/>
    <mergeCell ref="AC286:AD286"/>
    <mergeCell ref="Q49:R49"/>
    <mergeCell ref="Q74:R74"/>
    <mergeCell ref="I123:J123"/>
    <mergeCell ref="Y36:Z36"/>
    <mergeCell ref="Y307:Z307"/>
    <mergeCell ref="Q110:R110"/>
    <mergeCell ref="U326:V326"/>
    <mergeCell ref="K179:L179"/>
    <mergeCell ref="AA223:AB223"/>
    <mergeCell ref="X398:Y398"/>
    <mergeCell ref="P227:Q227"/>
    <mergeCell ref="Q76:R76"/>
    <mergeCell ref="S138:T138"/>
    <mergeCell ref="P313:Q313"/>
    <mergeCell ref="AA94:AB94"/>
    <mergeCell ref="S168:T168"/>
    <mergeCell ref="G75:H75"/>
    <mergeCell ref="AC287:AD287"/>
    <mergeCell ref="S17:U17"/>
    <mergeCell ref="S11:U11"/>
    <mergeCell ref="S140:T140"/>
    <mergeCell ref="H380:I380"/>
    <mergeCell ref="S167:T167"/>
    <mergeCell ref="P315:Q315"/>
    <mergeCell ref="U196:V196"/>
    <mergeCell ref="AC158:AD158"/>
    <mergeCell ref="U232:V232"/>
    <mergeCell ref="AC289:AD289"/>
    <mergeCell ref="S169:T169"/>
    <mergeCell ref="Y62:Z62"/>
    <mergeCell ref="U198:V198"/>
    <mergeCell ref="W298:X298"/>
    <mergeCell ref="G70:H70"/>
    <mergeCell ref="Q136:R136"/>
    <mergeCell ref="S165:T165"/>
    <mergeCell ref="Y54:Z54"/>
    <mergeCell ref="Y176:Z176"/>
    <mergeCell ref="Q102:R102"/>
    <mergeCell ref="V27:X27"/>
    <mergeCell ref="L204:M204"/>
    <mergeCell ref="Y64:Z64"/>
    <mergeCell ref="U227:V227"/>
    <mergeCell ref="AA120:AB120"/>
    <mergeCell ref="I134:J134"/>
    <mergeCell ref="N391:O391"/>
    <mergeCell ref="L206:M206"/>
    <mergeCell ref="S160:T160"/>
    <mergeCell ref="N262:O262"/>
    <mergeCell ref="AC209:AD209"/>
    <mergeCell ref="AC184:AD184"/>
    <mergeCell ref="U258:V258"/>
    <mergeCell ref="B215:K215"/>
    <mergeCell ref="B363:I363"/>
    <mergeCell ref="U224:V224"/>
    <mergeCell ref="O62:P62"/>
    <mergeCell ref="N392:O392"/>
    <mergeCell ref="AC211:AD211"/>
    <mergeCell ref="O56:P56"/>
    <mergeCell ref="M325:N325"/>
    <mergeCell ref="X383:Y383"/>
    <mergeCell ref="U260:V260"/>
    <mergeCell ref="B244:K244"/>
    <mergeCell ref="P29:R29"/>
    <mergeCell ref="W354:AB354"/>
    <mergeCell ref="G129:H129"/>
    <mergeCell ref="B6:L6"/>
    <mergeCell ref="W288:X288"/>
    <mergeCell ref="U253:V253"/>
    <mergeCell ref="R216:T216"/>
    <mergeCell ref="B53:E53"/>
    <mergeCell ref="O85:P85"/>
    <mergeCell ref="O91:P91"/>
    <mergeCell ref="Q120:R120"/>
    <mergeCell ref="M327:N327"/>
    <mergeCell ref="P31:R31"/>
    <mergeCell ref="W356:AB356"/>
    <mergeCell ref="O57:P57"/>
    <mergeCell ref="B245:K245"/>
    <mergeCell ref="R218:T218"/>
    <mergeCell ref="W342:X342"/>
    <mergeCell ref="W317:X317"/>
    <mergeCell ref="Y75:Z75"/>
    <mergeCell ref="H395:I395"/>
    <mergeCell ref="Y231:Z231"/>
    <mergeCell ref="S336:T336"/>
    <mergeCell ref="O86:P86"/>
    <mergeCell ref="Q115:R115"/>
    <mergeCell ref="W344:X344"/>
    <mergeCell ref="AC237:AD237"/>
    <mergeCell ref="L217:M217"/>
    <mergeCell ref="U311:V311"/>
    <mergeCell ref="Y102:Z102"/>
    <mergeCell ref="B384:E384"/>
    <mergeCell ref="R306:T306"/>
    <mergeCell ref="Q151:R151"/>
    <mergeCell ref="B378:E378"/>
    <mergeCell ref="N404:O404"/>
    <mergeCell ref="G126:H126"/>
    <mergeCell ref="W158:X158"/>
    <mergeCell ref="S179:T179"/>
    <mergeCell ref="AC239:AD239"/>
    <mergeCell ref="AE301:AF301"/>
    <mergeCell ref="AA166:AB166"/>
    <mergeCell ref="R234:T234"/>
    <mergeCell ref="M169:N169"/>
    <mergeCell ref="AC238:AD238"/>
    <mergeCell ref="U306:V306"/>
    <mergeCell ref="AE303:AF303"/>
    <mergeCell ref="O75:P75"/>
    <mergeCell ref="M40:N40"/>
    <mergeCell ref="AA168:AB168"/>
    <mergeCell ref="AC240:AD240"/>
    <mergeCell ref="W72:X72"/>
    <mergeCell ref="U297:V297"/>
    <mergeCell ref="G142:H142"/>
    <mergeCell ref="B381:E381"/>
    <mergeCell ref="O104:P104"/>
    <mergeCell ref="L374:M374"/>
    <mergeCell ref="AE288:AF288"/>
    <mergeCell ref="A36:A40"/>
    <mergeCell ref="M340:N340"/>
    <mergeCell ref="AC255:AD255"/>
    <mergeCell ref="T361:U361"/>
    <mergeCell ref="Y136:Z136"/>
    <mergeCell ref="O70:P70"/>
    <mergeCell ref="G144:H144"/>
    <mergeCell ref="AA192:AB192"/>
    <mergeCell ref="V389:W389"/>
    <mergeCell ref="P196:Q196"/>
    <mergeCell ref="Q45:R45"/>
    <mergeCell ref="AA194:AB194"/>
    <mergeCell ref="B157:AF157"/>
    <mergeCell ref="U330:V330"/>
    <mergeCell ref="AC250:AD250"/>
    <mergeCell ref="W88:X88"/>
    <mergeCell ref="P198:Q198"/>
    <mergeCell ref="U324:V324"/>
    <mergeCell ref="R319:T319"/>
    <mergeCell ref="T356:U356"/>
    <mergeCell ref="Q345:R345"/>
    <mergeCell ref="B100:F100"/>
    <mergeCell ref="K335:L335"/>
    <mergeCell ref="W212:X212"/>
    <mergeCell ref="B316:K316"/>
    <mergeCell ref="Y146:Z146"/>
    <mergeCell ref="B102:F102"/>
    <mergeCell ref="U325:V325"/>
    <mergeCell ref="Y276:Z276"/>
    <mergeCell ref="B197:K197"/>
    <mergeCell ref="L298:M298"/>
    <mergeCell ref="W85:X85"/>
    <mergeCell ref="B125:E125"/>
    <mergeCell ref="AA36:AB36"/>
    <mergeCell ref="Y60:Z60"/>
    <mergeCell ref="G74:H74"/>
    <mergeCell ref="AA116:AB116"/>
    <mergeCell ref="I130:J130"/>
    <mergeCell ref="B184:K184"/>
    <mergeCell ref="N359:S359"/>
    <mergeCell ref="AC309:AD309"/>
    <mergeCell ref="Y174:Z174"/>
    <mergeCell ref="AA205:AB205"/>
    <mergeCell ref="B334:J334"/>
    <mergeCell ref="AC94:AD94"/>
    <mergeCell ref="L299:M299"/>
    <mergeCell ref="AA124:AB124"/>
    <mergeCell ref="AA118:AB118"/>
    <mergeCell ref="I132:J132"/>
    <mergeCell ref="AC311:AD311"/>
    <mergeCell ref="AA238:AB238"/>
    <mergeCell ref="K48:L48"/>
    <mergeCell ref="J380:K380"/>
    <mergeCell ref="K346:L346"/>
    <mergeCell ref="P242:Q242"/>
    <mergeCell ref="B336:J336"/>
    <mergeCell ref="U343:V343"/>
    <mergeCell ref="Y288:Z288"/>
    <mergeCell ref="X379:Y379"/>
    <mergeCell ref="U38:V38"/>
    <mergeCell ref="M112:N112"/>
    <mergeCell ref="K348:L348"/>
    <mergeCell ref="U249:V249"/>
    <mergeCell ref="X381:Y381"/>
    <mergeCell ref="Y200:Z200"/>
    <mergeCell ref="U40:V40"/>
    <mergeCell ref="X408:Y408"/>
    <mergeCell ref="M114:N114"/>
    <mergeCell ref="U338:V338"/>
    <mergeCell ref="P27:R27"/>
    <mergeCell ref="N204:O204"/>
    <mergeCell ref="O170:P170"/>
    <mergeCell ref="T402:U402"/>
    <mergeCell ref="R214:T214"/>
    <mergeCell ref="W313:X313"/>
    <mergeCell ref="Y202:Z202"/>
    <mergeCell ref="L317:M317"/>
    <mergeCell ref="V377:W377"/>
    <mergeCell ref="U96:V96"/>
    <mergeCell ref="N233:O233"/>
    <mergeCell ref="Q117:R117"/>
    <mergeCell ref="P262:Q262"/>
    <mergeCell ref="Q111:R111"/>
    <mergeCell ref="B178:J178"/>
    <mergeCell ref="Y73:Z73"/>
    <mergeCell ref="O171:P171"/>
    <mergeCell ref="AA266:AB266"/>
    <mergeCell ref="B42:F42"/>
    <mergeCell ref="K76:L76"/>
    <mergeCell ref="AA260:AB260"/>
    <mergeCell ref="M138:N138"/>
    <mergeCell ref="P291:Q291"/>
    <mergeCell ref="S175:T175"/>
    <mergeCell ref="U91:V91"/>
    <mergeCell ref="B44:F44"/>
    <mergeCell ref="K67:L67"/>
    <mergeCell ref="J393:K393"/>
    <mergeCell ref="AA261:AB261"/>
    <mergeCell ref="M36:N36"/>
    <mergeCell ref="B37:F37"/>
    <mergeCell ref="U93:V93"/>
    <mergeCell ref="B259:K259"/>
    <mergeCell ref="S335:T335"/>
    <mergeCell ref="U269:V269"/>
    <mergeCell ref="B21:B27"/>
    <mergeCell ref="J395:K395"/>
    <mergeCell ref="B225:K225"/>
    <mergeCell ref="O100:P100"/>
    <mergeCell ref="M336:N336"/>
    <mergeCell ref="W151:X151"/>
    <mergeCell ref="Y213:Z213"/>
    <mergeCell ref="N217:O217"/>
    <mergeCell ref="O66:P66"/>
    <mergeCell ref="R233:T233"/>
    <mergeCell ref="L241:M241"/>
    <mergeCell ref="O102:P102"/>
    <mergeCell ref="W326:X326"/>
    <mergeCell ref="P192:Q192"/>
    <mergeCell ref="Q158:R158"/>
    <mergeCell ref="Y215:Z215"/>
    <mergeCell ref="V390:W390"/>
    <mergeCell ref="U109:V109"/>
    <mergeCell ref="S345:T345"/>
    <mergeCell ref="O68:P68"/>
    <mergeCell ref="L243:M243"/>
    <mergeCell ref="N305:O305"/>
    <mergeCell ref="AA190:AB190"/>
    <mergeCell ref="S46:T46"/>
    <mergeCell ref="P194:Q194"/>
    <mergeCell ref="Q160:R160"/>
    <mergeCell ref="AA279:AB279"/>
    <mergeCell ref="AC37:AD37"/>
    <mergeCell ref="U111:V111"/>
    <mergeCell ref="B96:F96"/>
    <mergeCell ref="B251:K251"/>
    <mergeCell ref="O97:P97"/>
    <mergeCell ref="AC254:AD254"/>
    <mergeCell ref="P187:Q187"/>
    <mergeCell ref="M64:N64"/>
    <mergeCell ref="AC248:AD248"/>
    <mergeCell ref="S48:T48"/>
    <mergeCell ref="K122:L122"/>
    <mergeCell ref="P223:Q223"/>
    <mergeCell ref="U104:V104"/>
    <mergeCell ref="S346:T346"/>
    <mergeCell ref="M178:N178"/>
    <mergeCell ref="B98:F98"/>
    <mergeCell ref="R259:T259"/>
    <mergeCell ref="W79:X79"/>
    <mergeCell ref="B280:K280"/>
    <mergeCell ref="P189:Q189"/>
    <mergeCell ref="W54:X54"/>
    <mergeCell ref="O128:P128"/>
    <mergeCell ref="AE312:AF312"/>
    <mergeCell ref="F374:G374"/>
    <mergeCell ref="S348:T348"/>
    <mergeCell ref="B193:K193"/>
    <mergeCell ref="M29:O29"/>
    <mergeCell ref="Y302:Z302"/>
    <mergeCell ref="B406:G406"/>
    <mergeCell ref="M23:O23"/>
    <mergeCell ref="R261:T261"/>
    <mergeCell ref="W81:X81"/>
    <mergeCell ref="B282:K282"/>
    <mergeCell ref="W56:X56"/>
    <mergeCell ref="P218:Q218"/>
    <mergeCell ref="AE314:AF314"/>
    <mergeCell ref="L383:M383"/>
    <mergeCell ref="N363:S363"/>
    <mergeCell ref="O123:P123"/>
    <mergeCell ref="Y145:Z145"/>
    <mergeCell ref="Y139:Z139"/>
    <mergeCell ref="AA201:AB201"/>
    <mergeCell ref="AD377:AE377"/>
    <mergeCell ref="K148:L148"/>
    <mergeCell ref="P205:Q205"/>
    <mergeCell ref="W226:X226"/>
    <mergeCell ref="B124:F124"/>
    <mergeCell ref="AA203:AB203"/>
    <mergeCell ref="B126:F126"/>
    <mergeCell ref="B109:F109"/>
    <mergeCell ref="AC267:AD267"/>
    <mergeCell ref="W221:X221"/>
    <mergeCell ref="B300:K300"/>
    <mergeCell ref="B183:K183"/>
    <mergeCell ref="T396:U396"/>
    <mergeCell ref="AE183:AF183"/>
    <mergeCell ref="R183:T183"/>
    <mergeCell ref="Q326:R326"/>
    <mergeCell ref="Y286:Z286"/>
    <mergeCell ref="M49:N49"/>
    <mergeCell ref="U36:V36"/>
    <mergeCell ref="R272:T272"/>
    <mergeCell ref="W92:X92"/>
    <mergeCell ref="AB12:AD14"/>
    <mergeCell ref="G39:H39"/>
    <mergeCell ref="U334:V334"/>
    <mergeCell ref="W223:X223"/>
    <mergeCell ref="T398:U398"/>
    <mergeCell ref="B212:K212"/>
    <mergeCell ref="R185:T185"/>
    <mergeCell ref="S117:T117"/>
    <mergeCell ref="B206:K206"/>
    <mergeCell ref="M78:N78"/>
    <mergeCell ref="U336:V336"/>
    <mergeCell ref="AA229:AB229"/>
    <mergeCell ref="W94:X94"/>
    <mergeCell ref="I103:J103"/>
    <mergeCell ref="Y287:Z287"/>
    <mergeCell ref="G51:H51"/>
    <mergeCell ref="AA45:AB45"/>
    <mergeCell ref="I97:J97"/>
    <mergeCell ref="A102:A106"/>
    <mergeCell ref="K159:L159"/>
    <mergeCell ref="V7:X7"/>
    <mergeCell ref="O167:P167"/>
    <mergeCell ref="Y158:Z158"/>
    <mergeCell ref="N231:O231"/>
    <mergeCell ref="AC109:AD109"/>
    <mergeCell ref="K161:L161"/>
    <mergeCell ref="B343:J343"/>
    <mergeCell ref="Y168:Z168"/>
    <mergeCell ref="U62:V62"/>
    <mergeCell ref="M136:N136"/>
    <mergeCell ref="AA46:AB46"/>
    <mergeCell ref="J389:K389"/>
    <mergeCell ref="P289:Q289"/>
    <mergeCell ref="B345:J345"/>
    <mergeCell ref="Z408:AA408"/>
    <mergeCell ref="U64:V64"/>
    <mergeCell ref="B139:F139"/>
    <mergeCell ref="AC51:AD51"/>
    <mergeCell ref="W120:X120"/>
    <mergeCell ref="P9:R9"/>
    <mergeCell ref="G50:H50"/>
    <mergeCell ref="B196:K196"/>
    <mergeCell ref="R196:T196"/>
    <mergeCell ref="A120:A124"/>
    <mergeCell ref="P290:Q290"/>
    <mergeCell ref="Y184:Z184"/>
    <mergeCell ref="B346:J346"/>
    <mergeCell ref="N257:O257"/>
    <mergeCell ref="N213:O213"/>
    <mergeCell ref="M10:O10"/>
    <mergeCell ref="P11:R11"/>
    <mergeCell ref="G52:H52"/>
    <mergeCell ref="S174:T174"/>
    <mergeCell ref="C17:L17"/>
    <mergeCell ref="R198:T198"/>
    <mergeCell ref="P305:Q305"/>
    <mergeCell ref="B66:F66"/>
    <mergeCell ref="L186:M186"/>
    <mergeCell ref="N242:O242"/>
    <mergeCell ref="C19:L19"/>
    <mergeCell ref="S19:U19"/>
    <mergeCell ref="K91:L91"/>
    <mergeCell ref="K85:L85"/>
    <mergeCell ref="AF376:AG376"/>
    <mergeCell ref="U204:V204"/>
    <mergeCell ref="R379:S379"/>
    <mergeCell ref="B67:F67"/>
    <mergeCell ref="B61:F61"/>
    <mergeCell ref="AC43:AD43"/>
    <mergeCell ref="B59:E59"/>
    <mergeCell ref="W296:X296"/>
    <mergeCell ref="K84:L84"/>
    <mergeCell ref="U75:V75"/>
    <mergeCell ref="AF378:AG378"/>
    <mergeCell ref="P272:Q272"/>
    <mergeCell ref="R406:S406"/>
    <mergeCell ref="R381:S381"/>
    <mergeCell ref="P308:Q308"/>
    <mergeCell ref="W262:X262"/>
    <mergeCell ref="B69:F69"/>
    <mergeCell ref="B276:K276"/>
    <mergeCell ref="O336:P336"/>
    <mergeCell ref="AC72:AD72"/>
    <mergeCell ref="K86:L86"/>
    <mergeCell ref="S344:T344"/>
    <mergeCell ref="Y237:Z237"/>
    <mergeCell ref="M151:N151"/>
    <mergeCell ref="L212:M212"/>
    <mergeCell ref="J404:K404"/>
    <mergeCell ref="Q129:R129"/>
    <mergeCell ref="B278:K278"/>
    <mergeCell ref="B253:K253"/>
    <mergeCell ref="W52:X52"/>
    <mergeCell ref="S158:T158"/>
    <mergeCell ref="Y108:Z108"/>
    <mergeCell ref="Y239:Z239"/>
    <mergeCell ref="AA301:AB301"/>
    <mergeCell ref="W166:X166"/>
    <mergeCell ref="I38:J38"/>
    <mergeCell ref="U133:V133"/>
    <mergeCell ref="B64:F64"/>
    <mergeCell ref="W357:AB357"/>
    <mergeCell ref="N270:O270"/>
    <mergeCell ref="Y238:Z238"/>
    <mergeCell ref="AA303:AB303"/>
    <mergeCell ref="Y268:Z268"/>
    <mergeCell ref="I40:J40"/>
    <mergeCell ref="AC61:AD61"/>
    <mergeCell ref="AC359:AD359"/>
    <mergeCell ref="AC219:AD219"/>
    <mergeCell ref="Y240:Z240"/>
    <mergeCell ref="L380:M380"/>
    <mergeCell ref="U251:V251"/>
    <mergeCell ref="S72:T72"/>
    <mergeCell ref="U128:V128"/>
    <mergeCell ref="AC96:AD96"/>
    <mergeCell ref="M177:N177"/>
    <mergeCell ref="K104:L104"/>
    <mergeCell ref="B122:F122"/>
    <mergeCell ref="AE283:AF283"/>
    <mergeCell ref="Y255:Z255"/>
    <mergeCell ref="AC62:AD62"/>
    <mergeCell ref="M79:N79"/>
    <mergeCell ref="AA298:AB298"/>
    <mergeCell ref="U136:V136"/>
    <mergeCell ref="W192:X192"/>
    <mergeCell ref="R269:T269"/>
    <mergeCell ref="B306:K306"/>
    <mergeCell ref="W63:X63"/>
    <mergeCell ref="K99:L99"/>
    <mergeCell ref="W194:X194"/>
    <mergeCell ref="I66:J66"/>
    <mergeCell ref="R298:T298"/>
    <mergeCell ref="Y250:Z250"/>
    <mergeCell ref="Q324:R324"/>
    <mergeCell ref="Y110:Z110"/>
    <mergeCell ref="M74:N74"/>
    <mergeCell ref="R270:T270"/>
    <mergeCell ref="R297:T297"/>
    <mergeCell ref="B291:K291"/>
    <mergeCell ref="O139:P139"/>
    <mergeCell ref="N200:O200"/>
    <mergeCell ref="T362:U362"/>
    <mergeCell ref="U146:V146"/>
    <mergeCell ref="AC230:AD230"/>
    <mergeCell ref="U304:V304"/>
    <mergeCell ref="R299:T299"/>
    <mergeCell ref="B293:K293"/>
    <mergeCell ref="N202:O202"/>
    <mergeCell ref="Q325:R325"/>
    <mergeCell ref="T364:U364"/>
    <mergeCell ref="AC232:AD232"/>
    <mergeCell ref="B133:F133"/>
    <mergeCell ref="J366:L366"/>
    <mergeCell ref="N195:O195"/>
    <mergeCell ref="P224:Q224"/>
    <mergeCell ref="S85:T85"/>
    <mergeCell ref="P260:Q260"/>
    <mergeCell ref="U60:V60"/>
    <mergeCell ref="B135:F135"/>
    <mergeCell ref="R296:T296"/>
    <mergeCell ref="N197:O197"/>
    <mergeCell ref="P259:Q259"/>
    <mergeCell ref="B317:K317"/>
    <mergeCell ref="K152:L152"/>
    <mergeCell ref="M92:N92"/>
    <mergeCell ref="W205:X205"/>
    <mergeCell ref="Z406:AA406"/>
    <mergeCell ref="L278:M278"/>
    <mergeCell ref="Q37:R37"/>
    <mergeCell ref="W124:X124"/>
    <mergeCell ref="J363:L363"/>
    <mergeCell ref="W118:X118"/>
    <mergeCell ref="B319:K319"/>
    <mergeCell ref="M6:O6"/>
    <mergeCell ref="N184:O184"/>
    <mergeCell ref="G48:H48"/>
    <mergeCell ref="J355:L355"/>
    <mergeCell ref="J391:K391"/>
    <mergeCell ref="C13:L13"/>
    <mergeCell ref="Q343:R343"/>
    <mergeCell ref="J365:L365"/>
    <mergeCell ref="Q38:R38"/>
    <mergeCell ref="J357:L357"/>
    <mergeCell ref="AA98:AB98"/>
    <mergeCell ref="I112:J112"/>
    <mergeCell ref="C15:L15"/>
    <mergeCell ref="B158:J158"/>
    <mergeCell ref="K56:L56"/>
    <mergeCell ref="T408:U408"/>
    <mergeCell ref="Q40:R40"/>
    <mergeCell ref="I114:J114"/>
    <mergeCell ref="N215:O215"/>
    <mergeCell ref="AC162:AD162"/>
    <mergeCell ref="Q338:R338"/>
    <mergeCell ref="K170:L170"/>
    <mergeCell ref="W292:X292"/>
    <mergeCell ref="B160:J160"/>
    <mergeCell ref="P402:Q402"/>
    <mergeCell ref="B146:F146"/>
    <mergeCell ref="M120:N120"/>
    <mergeCell ref="R377:S377"/>
    <mergeCell ref="W258:X258"/>
    <mergeCell ref="AE226:AF226"/>
    <mergeCell ref="C10:L10"/>
    <mergeCell ref="V17:X17"/>
    <mergeCell ref="AC164:AD164"/>
    <mergeCell ref="O332:P332"/>
    <mergeCell ref="W294:X294"/>
    <mergeCell ref="U73:V73"/>
    <mergeCell ref="N210:O210"/>
    <mergeCell ref="U231:V231"/>
    <mergeCell ref="G76:H76"/>
    <mergeCell ref="I138:J138"/>
    <mergeCell ref="W287:X287"/>
    <mergeCell ref="B249:K249"/>
    <mergeCell ref="L297:M297"/>
    <mergeCell ref="B243:K243"/>
    <mergeCell ref="L291:M291"/>
    <mergeCell ref="M115:N115"/>
    <mergeCell ref="P299:Q299"/>
    <mergeCell ref="Q91:R91"/>
    <mergeCell ref="N266:O266"/>
    <mergeCell ref="I140:J140"/>
    <mergeCell ref="W289:X289"/>
    <mergeCell ref="AA82:AB82"/>
    <mergeCell ref="L293:M293"/>
    <mergeCell ref="Y264:Z264"/>
    <mergeCell ref="N268:O268"/>
    <mergeCell ref="Y55:Z55"/>
    <mergeCell ref="AA117:AB117"/>
    <mergeCell ref="AC146:AD146"/>
    <mergeCell ref="AA111:AB111"/>
    <mergeCell ref="U247:V247"/>
    <mergeCell ref="AC304:AD304"/>
    <mergeCell ref="AC86:AD86"/>
    <mergeCell ref="U213:V213"/>
    <mergeCell ref="AC175:AD175"/>
    <mergeCell ref="AC58:AD58"/>
    <mergeCell ref="AN23:AP23"/>
    <mergeCell ref="S30:U30"/>
    <mergeCell ref="S326:T326"/>
    <mergeCell ref="AA112:AB112"/>
    <mergeCell ref="U215:V215"/>
    <mergeCell ref="G87:H87"/>
    <mergeCell ref="R390:S390"/>
    <mergeCell ref="S29:U29"/>
    <mergeCell ref="Q109:R109"/>
    <mergeCell ref="O345:P345"/>
    <mergeCell ref="M168:N168"/>
    <mergeCell ref="I62:J62"/>
    <mergeCell ref="O46:P46"/>
    <mergeCell ref="R389:S389"/>
    <mergeCell ref="L221:M221"/>
    <mergeCell ref="Y37:Z37"/>
    <mergeCell ref="S31:U31"/>
    <mergeCell ref="N408:O408"/>
    <mergeCell ref="B262:K262"/>
    <mergeCell ref="K97:L97"/>
    <mergeCell ref="W219:X219"/>
    <mergeCell ref="I64:J64"/>
    <mergeCell ref="O48:P48"/>
    <mergeCell ref="L223:M223"/>
    <mergeCell ref="O346:P346"/>
    <mergeCell ref="N279:O279"/>
    <mergeCell ref="I153:J153"/>
    <mergeCell ref="T360:U360"/>
    <mergeCell ref="S54:T54"/>
    <mergeCell ref="Y283:Z283"/>
    <mergeCell ref="K128:L128"/>
    <mergeCell ref="N281:O281"/>
    <mergeCell ref="AC228:AD228"/>
    <mergeCell ref="M342:N342"/>
    <mergeCell ref="N403:O403"/>
    <mergeCell ref="K121:L121"/>
    <mergeCell ref="W333:X333"/>
    <mergeCell ref="S56:T56"/>
    <mergeCell ref="L218:M218"/>
    <mergeCell ref="N280:O280"/>
    <mergeCell ref="AA43:AB43"/>
    <mergeCell ref="Y63:Z63"/>
    <mergeCell ref="AE292:AF292"/>
    <mergeCell ref="M344:N344"/>
    <mergeCell ref="N193:O193"/>
    <mergeCell ref="B313:K313"/>
    <mergeCell ref="X402:Y402"/>
    <mergeCell ref="K123:L123"/>
    <mergeCell ref="Z377:AA377"/>
    <mergeCell ref="L249:M249"/>
    <mergeCell ref="Q130:R130"/>
    <mergeCell ref="L205:M205"/>
    <mergeCell ref="AE294:AF294"/>
    <mergeCell ref="Q166:R166"/>
    <mergeCell ref="P257:Q257"/>
    <mergeCell ref="B315:K315"/>
    <mergeCell ref="AE173:AF173"/>
    <mergeCell ref="AC231:AD231"/>
    <mergeCell ref="Y303:Z303"/>
    <mergeCell ref="I75:J75"/>
    <mergeCell ref="AE287:AF287"/>
    <mergeCell ref="Q132:R132"/>
    <mergeCell ref="AE165:AF165"/>
    <mergeCell ref="N307:O307"/>
    <mergeCell ref="L234:M234"/>
    <mergeCell ref="AB7:AD7"/>
    <mergeCell ref="Y311:Z311"/>
    <mergeCell ref="AA69:AB69"/>
    <mergeCell ref="AC256:AD256"/>
    <mergeCell ref="AE318:AF318"/>
    <mergeCell ref="L236:M236"/>
    <mergeCell ref="P396:Q396"/>
    <mergeCell ref="M326:N326"/>
    <mergeCell ref="AA35:AB35"/>
    <mergeCell ref="U288:V288"/>
    <mergeCell ref="Q36:R36"/>
    <mergeCell ref="S136:T136"/>
    <mergeCell ref="Q334:R334"/>
    <mergeCell ref="AC133:AD133"/>
    <mergeCell ref="AC127:AD127"/>
    <mergeCell ref="P398:Q398"/>
    <mergeCell ref="AE320:AF320"/>
    <mergeCell ref="AC247:AD247"/>
    <mergeCell ref="M57:N57"/>
    <mergeCell ref="Y306:Z306"/>
    <mergeCell ref="AA64:AB64"/>
    <mergeCell ref="I78:J78"/>
    <mergeCell ref="AC99:AD99"/>
    <mergeCell ref="U200:V200"/>
    <mergeCell ref="U173:V173"/>
    <mergeCell ref="W229:X229"/>
    <mergeCell ref="S94:T94"/>
    <mergeCell ref="O121:P121"/>
    <mergeCell ref="R305:T305"/>
    <mergeCell ref="N206:O206"/>
    <mergeCell ref="AC128:AD128"/>
    <mergeCell ref="G72:H72"/>
    <mergeCell ref="U202:V202"/>
    <mergeCell ref="B186:K186"/>
    <mergeCell ref="K167:L167"/>
    <mergeCell ref="U158:V158"/>
    <mergeCell ref="Y147:Z147"/>
    <mergeCell ref="L262:M262"/>
    <mergeCell ref="AA209:AB209"/>
    <mergeCell ref="M111:N111"/>
    <mergeCell ref="U168:V168"/>
    <mergeCell ref="Q179:R179"/>
    <mergeCell ref="Q62:R62"/>
    <mergeCell ref="I136:J136"/>
    <mergeCell ref="W260:X260"/>
    <mergeCell ref="L289:M289"/>
    <mergeCell ref="AA211:AB211"/>
    <mergeCell ref="I129:J129"/>
    <mergeCell ref="Q64:R64"/>
    <mergeCell ref="N358:S358"/>
    <mergeCell ref="S120:T120"/>
    <mergeCell ref="J402:K402"/>
    <mergeCell ref="AC275:AD275"/>
    <mergeCell ref="AC269:AD269"/>
    <mergeCell ref="B185:K185"/>
    <mergeCell ref="Q93:R93"/>
    <mergeCell ref="L290:M290"/>
    <mergeCell ref="U184:V184"/>
    <mergeCell ref="B177:J177"/>
    <mergeCell ref="AC302:AD302"/>
    <mergeCell ref="W100:X100"/>
    <mergeCell ref="O174:P174"/>
    <mergeCell ref="S151:T151"/>
    <mergeCell ref="AC173:AD173"/>
    <mergeCell ref="AA110:AB110"/>
    <mergeCell ref="A66:A70"/>
    <mergeCell ref="L192:M192"/>
    <mergeCell ref="G91:H91"/>
    <mergeCell ref="U240:V240"/>
    <mergeCell ref="G85:H85"/>
    <mergeCell ref="S27:U27"/>
    <mergeCell ref="N379:O379"/>
    <mergeCell ref="AB383:AG383"/>
    <mergeCell ref="Y160:Z160"/>
    <mergeCell ref="G84:H84"/>
    <mergeCell ref="L194:M194"/>
    <mergeCell ref="Q75:R75"/>
    <mergeCell ref="AA141:AB141"/>
    <mergeCell ref="W304:X304"/>
    <mergeCell ref="N250:O250"/>
    <mergeCell ref="AA135:AB135"/>
    <mergeCell ref="Y72:Z72"/>
    <mergeCell ref="L187:M187"/>
    <mergeCell ref="G86:H86"/>
    <mergeCell ref="R232:T232"/>
    <mergeCell ref="I151:J151"/>
    <mergeCell ref="AC199:AD199"/>
    <mergeCell ref="X396:Y396"/>
    <mergeCell ref="I29:L29"/>
    <mergeCell ref="W329:X329"/>
    <mergeCell ref="M129:N129"/>
    <mergeCell ref="S52:T52"/>
    <mergeCell ref="L214:M214"/>
    <mergeCell ref="N276:O276"/>
    <mergeCell ref="L189:M189"/>
    <mergeCell ref="U108:V108"/>
    <mergeCell ref="AA136:AB136"/>
    <mergeCell ref="B43:F43"/>
    <mergeCell ref="B41:E41"/>
    <mergeCell ref="U266:V266"/>
    <mergeCell ref="I144:J144"/>
    <mergeCell ref="I31:L31"/>
    <mergeCell ref="W331:X331"/>
    <mergeCell ref="N278:O278"/>
    <mergeCell ref="AC194:AD194"/>
    <mergeCell ref="U268:V268"/>
    <mergeCell ref="H383:I383"/>
    <mergeCell ref="Y88:Z88"/>
    <mergeCell ref="W330:X330"/>
    <mergeCell ref="Q162:R162"/>
    <mergeCell ref="Y219:Z219"/>
    <mergeCell ref="M335:N335"/>
    <mergeCell ref="N303:O303"/>
    <mergeCell ref="Y90:Z90"/>
    <mergeCell ref="G104:H104"/>
    <mergeCell ref="W332:X332"/>
    <mergeCell ref="U255:V255"/>
    <mergeCell ref="AF384:AG384"/>
    <mergeCell ref="AA277:AB277"/>
    <mergeCell ref="L240:M240"/>
    <mergeCell ref="AE285:AF285"/>
    <mergeCell ref="AA154:AB154"/>
    <mergeCell ref="P183:Q183"/>
    <mergeCell ref="U284:V284"/>
    <mergeCell ref="S63:T63"/>
    <mergeCell ref="G99:H99"/>
    <mergeCell ref="AE316:AF316"/>
    <mergeCell ref="U250:V250"/>
    <mergeCell ref="M324:N324"/>
    <mergeCell ref="U110:V110"/>
    <mergeCell ref="U286:V286"/>
    <mergeCell ref="W44:X44"/>
    <mergeCell ref="I74:J74"/>
    <mergeCell ref="V376:W376"/>
    <mergeCell ref="N306:O306"/>
    <mergeCell ref="AE309:AF309"/>
    <mergeCell ref="W355:AB355"/>
    <mergeCell ref="B62:F62"/>
    <mergeCell ref="G130:H130"/>
    <mergeCell ref="M55:N55"/>
    <mergeCell ref="U279:V279"/>
    <mergeCell ref="O117:P117"/>
    <mergeCell ref="Q146:R146"/>
    <mergeCell ref="W174:X174"/>
    <mergeCell ref="AC124:AD124"/>
    <mergeCell ref="Y230:Z230"/>
    <mergeCell ref="V405:W405"/>
    <mergeCell ref="W254:X254"/>
    <mergeCell ref="AE311:AF311"/>
    <mergeCell ref="N291:O291"/>
    <mergeCell ref="M48:N48"/>
    <mergeCell ref="L258:M258"/>
    <mergeCell ref="W45:X45"/>
    <mergeCell ref="G132:H132"/>
    <mergeCell ref="U281:V281"/>
    <mergeCell ref="W343:X343"/>
    <mergeCell ref="Q175:R175"/>
    <mergeCell ref="AC126:AD126"/>
    <mergeCell ref="Y232:Z232"/>
    <mergeCell ref="V407:W407"/>
    <mergeCell ref="W256:X256"/>
    <mergeCell ref="O112:P112"/>
    <mergeCell ref="L260:M260"/>
    <mergeCell ref="AA207:AB207"/>
    <mergeCell ref="V379:W379"/>
    <mergeCell ref="W345:X345"/>
    <mergeCell ref="Q177:R177"/>
    <mergeCell ref="P238:Q238"/>
    <mergeCell ref="N354:S354"/>
    <mergeCell ref="AA296:AB296"/>
    <mergeCell ref="L259:M259"/>
    <mergeCell ref="Y320:Z320"/>
    <mergeCell ref="AA78:AB78"/>
    <mergeCell ref="G152:H152"/>
    <mergeCell ref="Y314:Z314"/>
    <mergeCell ref="O114:P114"/>
    <mergeCell ref="Q176:R176"/>
    <mergeCell ref="AC271:AD271"/>
    <mergeCell ref="P204:Q204"/>
    <mergeCell ref="M81:N81"/>
    <mergeCell ref="AC265:AD265"/>
    <mergeCell ref="M37:N37"/>
    <mergeCell ref="U339:V339"/>
    <mergeCell ref="N356:S356"/>
    <mergeCell ref="B173:J173"/>
    <mergeCell ref="AA202:AB202"/>
    <mergeCell ref="N317:O317"/>
    <mergeCell ref="AA80:AB80"/>
    <mergeCell ref="O109:P109"/>
    <mergeCell ref="AC142:AD142"/>
    <mergeCell ref="B107:E107"/>
    <mergeCell ref="P206:Q206"/>
    <mergeCell ref="AC108:AD108"/>
    <mergeCell ref="K160:L160"/>
    <mergeCell ref="S147:T147"/>
    <mergeCell ref="G54:H54"/>
    <mergeCell ref="N319:O319"/>
    <mergeCell ref="AC266:AD266"/>
    <mergeCell ref="M38:N38"/>
    <mergeCell ref="W98:X98"/>
    <mergeCell ref="B110:F110"/>
    <mergeCell ref="U211:V211"/>
    <mergeCell ref="G56:H56"/>
    <mergeCell ref="AC268:AD268"/>
    <mergeCell ref="Y162:Z162"/>
    <mergeCell ref="M338:N338"/>
    <mergeCell ref="L402:M402"/>
    <mergeCell ref="BE6:BI6"/>
    <mergeCell ref="I120:J120"/>
    <mergeCell ref="N377:O377"/>
    <mergeCell ref="Y164:Z164"/>
    <mergeCell ref="K36:L36"/>
    <mergeCell ref="AC293:AD293"/>
    <mergeCell ref="AA220:AB220"/>
    <mergeCell ref="K334:L334"/>
    <mergeCell ref="V6:X6"/>
    <mergeCell ref="L183:M183"/>
    <mergeCell ref="L395:M395"/>
    <mergeCell ref="Y35:Z35"/>
    <mergeCell ref="AA222:AB222"/>
    <mergeCell ref="AC284:AD284"/>
    <mergeCell ref="P217:Q217"/>
    <mergeCell ref="L185:M185"/>
    <mergeCell ref="P13:R13"/>
    <mergeCell ref="M94:N94"/>
    <mergeCell ref="B200:K200"/>
    <mergeCell ref="I115:J115"/>
    <mergeCell ref="K336:L336"/>
    <mergeCell ref="R200:T200"/>
    <mergeCell ref="B194:K194"/>
    <mergeCell ref="O69:P69"/>
    <mergeCell ref="W126:X126"/>
    <mergeCell ref="Y188:Z188"/>
    <mergeCell ref="B344:J344"/>
    <mergeCell ref="W109:X109"/>
    <mergeCell ref="P15:R15"/>
    <mergeCell ref="O158:P158"/>
    <mergeCell ref="AC165:AD165"/>
    <mergeCell ref="R202:T202"/>
    <mergeCell ref="U239:V239"/>
    <mergeCell ref="B223:K223"/>
    <mergeCell ref="W295:X295"/>
    <mergeCell ref="Y190:Z190"/>
    <mergeCell ref="AC279:AD279"/>
    <mergeCell ref="W117:X117"/>
    <mergeCell ref="AA246:AB246"/>
    <mergeCell ref="B195:K195"/>
    <mergeCell ref="R195:T195"/>
    <mergeCell ref="B231:K231"/>
    <mergeCell ref="O64:P64"/>
    <mergeCell ref="R231:T231"/>
    <mergeCell ref="Y61:Z61"/>
    <mergeCell ref="P10:R10"/>
    <mergeCell ref="AF380:AG380"/>
    <mergeCell ref="AA248:AB248"/>
    <mergeCell ref="Y175:Z175"/>
    <mergeCell ref="O72:P72"/>
    <mergeCell ref="B369:I369"/>
    <mergeCell ref="Q128:R128"/>
    <mergeCell ref="W112:X112"/>
    <mergeCell ref="U79:V79"/>
    <mergeCell ref="B368:I368"/>
    <mergeCell ref="AC312:AD312"/>
    <mergeCell ref="N390:O390"/>
    <mergeCell ref="K49:L49"/>
    <mergeCell ref="Y56:Z56"/>
    <mergeCell ref="B65:E65"/>
    <mergeCell ref="N389:O389"/>
    <mergeCell ref="U81:V81"/>
    <mergeCell ref="B241:K241"/>
    <mergeCell ref="G97:H97"/>
    <mergeCell ref="L198:M198"/>
    <mergeCell ref="B58:F58"/>
    <mergeCell ref="B213:K213"/>
    <mergeCell ref="B52:F52"/>
    <mergeCell ref="AF377:AG377"/>
    <mergeCell ref="R213:T213"/>
    <mergeCell ref="M148:N148"/>
    <mergeCell ref="W139:X139"/>
    <mergeCell ref="Y201:Z201"/>
    <mergeCell ref="AA147:AB147"/>
    <mergeCell ref="O54:P54"/>
    <mergeCell ref="B60:F60"/>
    <mergeCell ref="G128:H128"/>
    <mergeCell ref="B242:K242"/>
    <mergeCell ref="R215:T215"/>
    <mergeCell ref="Y228:Z228"/>
    <mergeCell ref="Y203:Z203"/>
    <mergeCell ref="V403:W403"/>
    <mergeCell ref="P30:R30"/>
    <mergeCell ref="B208:K208"/>
    <mergeCell ref="G121:H121"/>
    <mergeCell ref="S333:T333"/>
    <mergeCell ref="A138:A142"/>
    <mergeCell ref="W43:X43"/>
    <mergeCell ref="Y105:Z105"/>
    <mergeCell ref="A132:A136"/>
    <mergeCell ref="AA172:AB172"/>
    <mergeCell ref="AA292:AB292"/>
    <mergeCell ref="AC50:AD50"/>
    <mergeCell ref="B210:K210"/>
    <mergeCell ref="G123:H123"/>
    <mergeCell ref="B84:F84"/>
    <mergeCell ref="O110:P110"/>
    <mergeCell ref="AC60:AD60"/>
    <mergeCell ref="AC236:AD236"/>
    <mergeCell ref="AC358:AD358"/>
    <mergeCell ref="V398:W398"/>
    <mergeCell ref="AA294:AB294"/>
    <mergeCell ref="M166:N166"/>
    <mergeCell ref="N313:O313"/>
    <mergeCell ref="M9:O9"/>
    <mergeCell ref="Y100:Z100"/>
    <mergeCell ref="AA173:AB173"/>
    <mergeCell ref="W67:X67"/>
    <mergeCell ref="P202:Q202"/>
    <mergeCell ref="U303:V303"/>
    <mergeCell ref="B80:F80"/>
    <mergeCell ref="Q174:R174"/>
    <mergeCell ref="AE300:AF300"/>
    <mergeCell ref="AA287:AB287"/>
    <mergeCell ref="AA165:AB165"/>
    <mergeCell ref="Q168:R168"/>
    <mergeCell ref="B376:E376"/>
    <mergeCell ref="V406:W406"/>
    <mergeCell ref="N315:O315"/>
    <mergeCell ref="M11:O11"/>
    <mergeCell ref="W69:X69"/>
    <mergeCell ref="P231:Q231"/>
    <mergeCell ref="Y256:Z256"/>
    <mergeCell ref="AA318:AB318"/>
    <mergeCell ref="T358:U358"/>
    <mergeCell ref="AC264:AD264"/>
    <mergeCell ref="O136:P136"/>
    <mergeCell ref="AE295:AF295"/>
    <mergeCell ref="Y133:Z133"/>
    <mergeCell ref="Y127:Z127"/>
    <mergeCell ref="L398:M398"/>
    <mergeCell ref="Y285:Z285"/>
    <mergeCell ref="I57:J57"/>
    <mergeCell ref="BJ7:BL7"/>
    <mergeCell ref="AC78:AD78"/>
    <mergeCell ref="B401:AA401"/>
    <mergeCell ref="W64:X64"/>
    <mergeCell ref="AB16:AF16"/>
    <mergeCell ref="AA191:AB191"/>
    <mergeCell ref="K330:L330"/>
    <mergeCell ref="P220:Q220"/>
    <mergeCell ref="Y128:Z128"/>
    <mergeCell ref="B131:E131"/>
    <mergeCell ref="K332:L332"/>
    <mergeCell ref="P213:Q213"/>
    <mergeCell ref="U147:V147"/>
    <mergeCell ref="W209:X209"/>
    <mergeCell ref="I111:J111"/>
    <mergeCell ref="AE253:AF277"/>
    <mergeCell ref="P249:Q249"/>
    <mergeCell ref="W122:X122"/>
    <mergeCell ref="B99:F99"/>
    <mergeCell ref="P221:Q221"/>
    <mergeCell ref="N186:O186"/>
    <mergeCell ref="P215:Q215"/>
    <mergeCell ref="O154:P154"/>
    <mergeCell ref="W211:X211"/>
    <mergeCell ref="Y267:Z267"/>
    <mergeCell ref="Z379:AA379"/>
    <mergeCell ref="Q341:R341"/>
    <mergeCell ref="B3:G3"/>
    <mergeCell ref="M91:N91"/>
    <mergeCell ref="Y186:Z186"/>
    <mergeCell ref="K327:L327"/>
    <mergeCell ref="L295:M295"/>
    <mergeCell ref="AA242:AB242"/>
    <mergeCell ref="W82:X82"/>
    <mergeCell ref="T379:U379"/>
    <mergeCell ref="Y269:Z269"/>
    <mergeCell ref="A90:A94"/>
    <mergeCell ref="V20:X20"/>
    <mergeCell ref="R280:T280"/>
    <mergeCell ref="M93:N93"/>
    <mergeCell ref="AC277:AD277"/>
    <mergeCell ref="N183:O183"/>
    <mergeCell ref="P6:R6"/>
    <mergeCell ref="AA244:AB244"/>
    <mergeCell ref="J354:L354"/>
    <mergeCell ref="B182:AF182"/>
    <mergeCell ref="Q342:R342"/>
    <mergeCell ref="R193:T193"/>
    <mergeCell ref="S100:T100"/>
    <mergeCell ref="Q336:R336"/>
    <mergeCell ref="P275:Q275"/>
    <mergeCell ref="Q124:R124"/>
    <mergeCell ref="B150:F150"/>
    <mergeCell ref="P247:Q247"/>
    <mergeCell ref="O151:P151"/>
    <mergeCell ref="AC308:AD308"/>
    <mergeCell ref="P241:Q241"/>
    <mergeCell ref="K45:L45"/>
    <mergeCell ref="Q344:R344"/>
    <mergeCell ref="S102:T102"/>
    <mergeCell ref="K343:L343"/>
    <mergeCell ref="V15:X15"/>
    <mergeCell ref="B333:J333"/>
    <mergeCell ref="Q126:R126"/>
    <mergeCell ref="AA245:AB245"/>
    <mergeCell ref="W110:X110"/>
    <mergeCell ref="AA239:AB239"/>
    <mergeCell ref="AC301:AD301"/>
    <mergeCell ref="B152:F152"/>
    <mergeCell ref="AC179:AD179"/>
    <mergeCell ref="K169:L169"/>
    <mergeCell ref="M109:N109"/>
    <mergeCell ref="J379:K379"/>
    <mergeCell ref="U166:V166"/>
    <mergeCell ref="B323:X323"/>
    <mergeCell ref="K345:L345"/>
    <mergeCell ref="B145:F145"/>
    <mergeCell ref="U246:V246"/>
    <mergeCell ref="R184:T184"/>
    <mergeCell ref="AC303:AD303"/>
    <mergeCell ref="AA230:AB230"/>
    <mergeCell ref="K40:L40"/>
    <mergeCell ref="K46:L46"/>
    <mergeCell ref="M75:N75"/>
    <mergeCell ref="U37:V37"/>
    <mergeCell ref="W141:X141"/>
    <mergeCell ref="W135:X135"/>
    <mergeCell ref="J408:K408"/>
    <mergeCell ref="W224:X224"/>
    <mergeCell ref="U72:V72"/>
    <mergeCell ref="B238:K238"/>
    <mergeCell ref="R211:T211"/>
    <mergeCell ref="U248:V248"/>
    <mergeCell ref="B147:F147"/>
    <mergeCell ref="M104:N104"/>
    <mergeCell ref="Y199:Z199"/>
    <mergeCell ref="J374:K374"/>
    <mergeCell ref="AA255:AB255"/>
    <mergeCell ref="S329:T329"/>
    <mergeCell ref="N230:O230"/>
    <mergeCell ref="O79:P79"/>
    <mergeCell ref="B240:K240"/>
    <mergeCell ref="W136:X136"/>
    <mergeCell ref="Y70:Z70"/>
    <mergeCell ref="M106:N106"/>
    <mergeCell ref="AA263:AB263"/>
    <mergeCell ref="N196:O196"/>
    <mergeCell ref="K73:L73"/>
    <mergeCell ref="R212:T212"/>
    <mergeCell ref="O81:P81"/>
    <mergeCell ref="Y194:Z194"/>
    <mergeCell ref="S330:T330"/>
    <mergeCell ref="U88:V88"/>
    <mergeCell ref="N198:O198"/>
    <mergeCell ref="M162:N162"/>
    <mergeCell ref="S324:T324"/>
    <mergeCell ref="C27:L27"/>
    <mergeCell ref="Q139:R139"/>
    <mergeCell ref="AA258:AB258"/>
    <mergeCell ref="S332:T332"/>
    <mergeCell ref="U90:V90"/>
    <mergeCell ref="W146:X146"/>
    <mergeCell ref="M13:O13"/>
    <mergeCell ref="AB384:AC384"/>
    <mergeCell ref="M7:O7"/>
    <mergeCell ref="AB378:AC378"/>
    <mergeCell ref="AN22:AP22"/>
    <mergeCell ref="V30:X30"/>
    <mergeCell ref="B266:K266"/>
    <mergeCell ref="R239:T239"/>
    <mergeCell ref="Y252:Z252"/>
    <mergeCell ref="W154:X154"/>
    <mergeCell ref="AE291:AF291"/>
    <mergeCell ref="B268:K268"/>
    <mergeCell ref="R268:T268"/>
    <mergeCell ref="R230:T230"/>
    <mergeCell ref="R224:T224"/>
    <mergeCell ref="AA316:AB316"/>
    <mergeCell ref="M8:O8"/>
    <mergeCell ref="U302:V302"/>
    <mergeCell ref="B261:K261"/>
    <mergeCell ref="AE293:AF293"/>
    <mergeCell ref="AA309:AB309"/>
    <mergeCell ref="U116:V116"/>
    <mergeCell ref="I55:J55"/>
    <mergeCell ref="AC103:AD103"/>
    <mergeCell ref="K117:L117"/>
    <mergeCell ref="Y124:Z124"/>
    <mergeCell ref="U230:V230"/>
    <mergeCell ref="R225:T225"/>
    <mergeCell ref="R405:S405"/>
    <mergeCell ref="O94:P94"/>
    <mergeCell ref="AA311:AB311"/>
    <mergeCell ref="P184:Q184"/>
    <mergeCell ref="I48:J48"/>
    <mergeCell ref="M61:N61"/>
    <mergeCell ref="S45:T45"/>
    <mergeCell ref="U118:V118"/>
    <mergeCell ref="AE167:AF167"/>
    <mergeCell ref="S343:T343"/>
    <mergeCell ref="Y97:Z97"/>
    <mergeCell ref="M175:N175"/>
    <mergeCell ref="B250:K250"/>
    <mergeCell ref="R250:T250"/>
    <mergeCell ref="K112:L112"/>
    <mergeCell ref="W207:X207"/>
    <mergeCell ref="L238:M238"/>
    <mergeCell ref="B97:F97"/>
    <mergeCell ref="M56:N56"/>
    <mergeCell ref="B279:K279"/>
    <mergeCell ref="M176:N176"/>
    <mergeCell ref="Y271:Z271"/>
    <mergeCell ref="I81:J81"/>
    <mergeCell ref="AE162:AF162"/>
    <mergeCell ref="Y265:Z265"/>
    <mergeCell ref="R408:S408"/>
    <mergeCell ref="B396:G396"/>
    <mergeCell ref="B90:F90"/>
    <mergeCell ref="R276:T276"/>
    <mergeCell ref="R402:S402"/>
    <mergeCell ref="O120:P120"/>
    <mergeCell ref="W202:X202"/>
    <mergeCell ref="B281:K281"/>
    <mergeCell ref="T377:U377"/>
    <mergeCell ref="S96:T96"/>
    <mergeCell ref="AE164:AF164"/>
    <mergeCell ref="AD374:AE374"/>
    <mergeCell ref="L233:M233"/>
    <mergeCell ref="AA58:AB58"/>
    <mergeCell ref="M21:O21"/>
    <mergeCell ref="Y294:Z294"/>
    <mergeCell ref="AC87:AD87"/>
    <mergeCell ref="N362:S362"/>
    <mergeCell ref="B398:G398"/>
    <mergeCell ref="N298:O298"/>
    <mergeCell ref="Y266:Z266"/>
    <mergeCell ref="I76:J76"/>
    <mergeCell ref="B113:E113"/>
    <mergeCell ref="S98:T98"/>
    <mergeCell ref="S73:T73"/>
    <mergeCell ref="K138:L138"/>
    <mergeCell ref="P273:Q273"/>
    <mergeCell ref="AA60:AB60"/>
    <mergeCell ref="N364:S364"/>
    <mergeCell ref="Z392:AA392"/>
    <mergeCell ref="AC116:AD116"/>
    <mergeCell ref="AC88:AD88"/>
    <mergeCell ref="U162:V162"/>
    <mergeCell ref="AC82:AD82"/>
    <mergeCell ref="T393:U393"/>
    <mergeCell ref="B116:F116"/>
    <mergeCell ref="W228:X228"/>
    <mergeCell ref="B330:J330"/>
    <mergeCell ref="B108:F108"/>
    <mergeCell ref="P268:Q268"/>
    <mergeCell ref="AC90:AD90"/>
    <mergeCell ref="AC117:AD117"/>
    <mergeCell ref="W264:X264"/>
    <mergeCell ref="U164:V164"/>
    <mergeCell ref="AA84:AB84"/>
    <mergeCell ref="W220:X220"/>
    <mergeCell ref="B324:J324"/>
    <mergeCell ref="T359:U359"/>
    <mergeCell ref="T395:U395"/>
    <mergeCell ref="B118:F118"/>
    <mergeCell ref="M100:N100"/>
    <mergeCell ref="AA50:AB50"/>
    <mergeCell ref="S124:T124"/>
    <mergeCell ref="J406:K406"/>
    <mergeCell ref="N226:O226"/>
    <mergeCell ref="W222:X222"/>
    <mergeCell ref="Y284:Z284"/>
    <mergeCell ref="AA42:AB42"/>
    <mergeCell ref="I94:J94"/>
    <mergeCell ref="AC115:AD115"/>
    <mergeCell ref="M102:N102"/>
    <mergeCell ref="M343:N343"/>
    <mergeCell ref="N192:O192"/>
    <mergeCell ref="K69:L69"/>
    <mergeCell ref="U188:V188"/>
    <mergeCell ref="N228:O228"/>
    <mergeCell ref="S109:T109"/>
    <mergeCell ref="T390:U390"/>
    <mergeCell ref="P284:Q284"/>
    <mergeCell ref="AC144:AD144"/>
    <mergeCell ref="K158:L158"/>
    <mergeCell ref="L305:M305"/>
    <mergeCell ref="Y165:Z165"/>
    <mergeCell ref="B134:F134"/>
    <mergeCell ref="O160:P160"/>
    <mergeCell ref="N221:O221"/>
    <mergeCell ref="Y279:Z279"/>
    <mergeCell ref="P250:Q250"/>
    <mergeCell ref="W246:X246"/>
    <mergeCell ref="B166:J166"/>
    <mergeCell ref="P286:Q286"/>
    <mergeCell ref="Z405:AA405"/>
    <mergeCell ref="AA254:AB254"/>
    <mergeCell ref="K64:L64"/>
    <mergeCell ref="U61:V61"/>
    <mergeCell ref="P258:Q258"/>
    <mergeCell ref="N223:O223"/>
    <mergeCell ref="AB380:AC380"/>
    <mergeCell ref="B174:J174"/>
    <mergeCell ref="W248:X248"/>
    <mergeCell ref="B168:J168"/>
    <mergeCell ref="W275:X275"/>
    <mergeCell ref="K72:L72"/>
    <mergeCell ref="Z407:AA407"/>
    <mergeCell ref="M128:N128"/>
    <mergeCell ref="B353:L353"/>
    <mergeCell ref="P287:Q287"/>
    <mergeCell ref="Q79:R79"/>
    <mergeCell ref="P281:Q281"/>
    <mergeCell ref="J390:K390"/>
    <mergeCell ref="W277:X277"/>
    <mergeCell ref="G49:H49"/>
    <mergeCell ref="AA70:AB70"/>
    <mergeCell ref="R264:T264"/>
    <mergeCell ref="U56:V56"/>
    <mergeCell ref="R317:T317"/>
    <mergeCell ref="AC314:AD314"/>
    <mergeCell ref="B169:J169"/>
    <mergeCell ref="N247:O247"/>
    <mergeCell ref="Q81:R81"/>
    <mergeCell ref="O344:P344"/>
    <mergeCell ref="P312:Q312"/>
    <mergeCell ref="AA99:AB99"/>
    <mergeCell ref="W145:X145"/>
    <mergeCell ref="C16:L16"/>
    <mergeCell ref="S16:U16"/>
    <mergeCell ref="AB377:AC377"/>
    <mergeCell ref="I148:J148"/>
    <mergeCell ref="N249:O249"/>
    <mergeCell ref="N205:O205"/>
    <mergeCell ref="K82:L82"/>
    <mergeCell ref="S139:T139"/>
    <mergeCell ref="U201:V201"/>
    <mergeCell ref="N241:O241"/>
    <mergeCell ref="AC188:AD188"/>
    <mergeCell ref="C9:L9"/>
    <mergeCell ref="W147:X147"/>
    <mergeCell ref="U114:V114"/>
    <mergeCell ref="S18:U18"/>
    <mergeCell ref="P307:Q307"/>
    <mergeCell ref="M146:N146"/>
    <mergeCell ref="U203:V203"/>
    <mergeCell ref="S51:T51"/>
    <mergeCell ref="C11:L11"/>
    <mergeCell ref="O333:P333"/>
    <mergeCell ref="AA267:AB267"/>
    <mergeCell ref="P8:R8"/>
    <mergeCell ref="W172:X172"/>
    <mergeCell ref="Y234:Z234"/>
    <mergeCell ref="O326:P326"/>
    <mergeCell ref="M52:N52"/>
    <mergeCell ref="B275:K275"/>
    <mergeCell ref="R248:T248"/>
    <mergeCell ref="W171:X171"/>
    <mergeCell ref="Y236:Z236"/>
    <mergeCell ref="O36:P36"/>
    <mergeCell ref="B392:G392"/>
    <mergeCell ref="O334:P334"/>
    <mergeCell ref="Q92:R92"/>
    <mergeCell ref="R247:T247"/>
    <mergeCell ref="R398:S398"/>
    <mergeCell ref="N267:O267"/>
    <mergeCell ref="R283:T283"/>
    <mergeCell ref="B277:K277"/>
    <mergeCell ref="W173:X173"/>
    <mergeCell ref="R277:T277"/>
    <mergeCell ref="S67:T67"/>
    <mergeCell ref="G103:H103"/>
    <mergeCell ref="AA300:AB300"/>
    <mergeCell ref="M17:O17"/>
    <mergeCell ref="B394:G394"/>
    <mergeCell ref="I37:J37"/>
    <mergeCell ref="Q94:R94"/>
    <mergeCell ref="R249:T249"/>
    <mergeCell ref="N294:O294"/>
    <mergeCell ref="B362:I362"/>
    <mergeCell ref="O118:P118"/>
    <mergeCell ref="S69:T69"/>
    <mergeCell ref="L231:M231"/>
    <mergeCell ref="M19:O19"/>
    <mergeCell ref="U283:V283"/>
    <mergeCell ref="R278:T278"/>
    <mergeCell ref="K136:L136"/>
    <mergeCell ref="AA295:AB295"/>
    <mergeCell ref="U127:V127"/>
    <mergeCell ref="N289:O289"/>
    <mergeCell ref="U285:V285"/>
    <mergeCell ref="W347:X347"/>
    <mergeCell ref="S64:T64"/>
    <mergeCell ref="P239:Q239"/>
    <mergeCell ref="AA51:AB51"/>
    <mergeCell ref="W191:X191"/>
    <mergeCell ref="I63:J63"/>
    <mergeCell ref="B114:F114"/>
    <mergeCell ref="W349:X349"/>
    <mergeCell ref="L247:M247"/>
    <mergeCell ref="H402:I402"/>
    <mergeCell ref="R267:T267"/>
    <mergeCell ref="B288:K288"/>
    <mergeCell ref="L257:M257"/>
    <mergeCell ref="AE171:AF171"/>
    <mergeCell ref="I90:J90"/>
    <mergeCell ref="B298:K298"/>
    <mergeCell ref="B405:G405"/>
    <mergeCell ref="K154:L154"/>
    <mergeCell ref="B407:G407"/>
    <mergeCell ref="R262:T262"/>
    <mergeCell ref="AC229:AD229"/>
    <mergeCell ref="B130:F130"/>
    <mergeCell ref="I91:J91"/>
    <mergeCell ref="I85:J85"/>
    <mergeCell ref="W242:X242"/>
    <mergeCell ref="S82:T82"/>
    <mergeCell ref="P379:Q379"/>
    <mergeCell ref="Z376:AA376"/>
    <mergeCell ref="U296:V296"/>
    <mergeCell ref="B132:F132"/>
    <mergeCell ref="I93:J93"/>
    <mergeCell ref="N194:O194"/>
    <mergeCell ref="AC141:AD141"/>
    <mergeCell ref="AD378:AE378"/>
    <mergeCell ref="W271:X271"/>
    <mergeCell ref="P381:Q381"/>
    <mergeCell ref="Z403:AA403"/>
    <mergeCell ref="L275:M275"/>
    <mergeCell ref="W62:X62"/>
    <mergeCell ref="K151:L151"/>
    <mergeCell ref="Q44:R44"/>
    <mergeCell ref="W273:X273"/>
    <mergeCell ref="G45:H45"/>
    <mergeCell ref="AA66:AB66"/>
    <mergeCell ref="I118:J118"/>
    <mergeCell ref="Z396:AA396"/>
    <mergeCell ref="U52:V52"/>
    <mergeCell ref="B127:F127"/>
    <mergeCell ref="R288:T288"/>
    <mergeCell ref="J362:L362"/>
    <mergeCell ref="G55:H55"/>
    <mergeCell ref="Y301:Z301"/>
    <mergeCell ref="L276:M276"/>
    <mergeCell ref="S108:T108"/>
    <mergeCell ref="Z398:AA398"/>
    <mergeCell ref="L270:M270"/>
    <mergeCell ref="I109:J109"/>
    <mergeCell ref="J364:L364"/>
    <mergeCell ref="AA67:AB67"/>
    <mergeCell ref="G46:H46"/>
    <mergeCell ref="AA61:AB61"/>
    <mergeCell ref="G40:H40"/>
    <mergeCell ref="S135:T135"/>
    <mergeCell ref="K175:L175"/>
    <mergeCell ref="P310:Q310"/>
    <mergeCell ref="AA219:AB219"/>
    <mergeCell ref="AA97:AB97"/>
    <mergeCell ref="AC159:AD159"/>
    <mergeCell ref="X394:Y394"/>
    <mergeCell ref="AC153:AD153"/>
    <mergeCell ref="S14:U14"/>
    <mergeCell ref="AA96:AB96"/>
    <mergeCell ref="K177:L177"/>
    <mergeCell ref="AA90:AB90"/>
    <mergeCell ref="U199:V199"/>
    <mergeCell ref="I104:J104"/>
    <mergeCell ref="U226:V226"/>
    <mergeCell ref="S164:T164"/>
    <mergeCell ref="AC283:AD283"/>
    <mergeCell ref="W255:X255"/>
    <mergeCell ref="S13:U13"/>
    <mergeCell ref="C7:L7"/>
    <mergeCell ref="P311:Q311"/>
    <mergeCell ref="I106:J106"/>
    <mergeCell ref="AC154:AD154"/>
    <mergeCell ref="U228:V228"/>
    <mergeCell ref="AC285:AD285"/>
    <mergeCell ref="S15:U15"/>
    <mergeCell ref="K81:L81"/>
    <mergeCell ref="L288:M288"/>
    <mergeCell ref="U194:V194"/>
    <mergeCell ref="G66:H66"/>
    <mergeCell ref="O330:P330"/>
    <mergeCell ref="Q88:R88"/>
    <mergeCell ref="Q63:R63"/>
    <mergeCell ref="O324:P324"/>
    <mergeCell ref="N263:O263"/>
    <mergeCell ref="Y50:Z50"/>
    <mergeCell ref="AA123:AB123"/>
    <mergeCell ref="W286:X286"/>
    <mergeCell ref="AA237:AB237"/>
    <mergeCell ref="L200:M200"/>
    <mergeCell ref="N229:O229"/>
    <mergeCell ref="G68:H68"/>
    <mergeCell ref="Q90:R90"/>
    <mergeCell ref="O55:P55"/>
    <mergeCell ref="N265:O265"/>
    <mergeCell ref="AC212:AD212"/>
    <mergeCell ref="Y52:Z52"/>
    <mergeCell ref="X384:Y384"/>
    <mergeCell ref="S146:T146"/>
    <mergeCell ref="AA108:AB108"/>
    <mergeCell ref="X378:Y378"/>
    <mergeCell ref="L202:M202"/>
    <mergeCell ref="S25:U25"/>
    <mergeCell ref="W353:AD353"/>
    <mergeCell ref="N258:O258"/>
    <mergeCell ref="Y45:Z45"/>
    <mergeCell ref="S154:T154"/>
    <mergeCell ref="U254:V254"/>
    <mergeCell ref="B360:I360"/>
    <mergeCell ref="N260:O260"/>
    <mergeCell ref="AC207:AD207"/>
    <mergeCell ref="AA109:AB109"/>
    <mergeCell ref="U256:V256"/>
    <mergeCell ref="W318:X318"/>
    <mergeCell ref="H396:I396"/>
    <mergeCell ref="W312:X312"/>
    <mergeCell ref="S60:T60"/>
    <mergeCell ref="AA293:AB293"/>
    <mergeCell ref="B361:I361"/>
    <mergeCell ref="K92:L92"/>
    <mergeCell ref="Y42:Z42"/>
    <mergeCell ref="Q116:R116"/>
    <mergeCell ref="H398:I398"/>
    <mergeCell ref="Y103:Z103"/>
    <mergeCell ref="G117:H117"/>
    <mergeCell ref="W314:X314"/>
    <mergeCell ref="U124:V124"/>
    <mergeCell ref="AA134:AB134"/>
    <mergeCell ref="N405:O405"/>
    <mergeCell ref="L184:M184"/>
    <mergeCell ref="I61:J61"/>
    <mergeCell ref="O45:P45"/>
    <mergeCell ref="Q145:R145"/>
    <mergeCell ref="AA167:AB167"/>
    <mergeCell ref="B70:F70"/>
    <mergeCell ref="O343:P343"/>
    <mergeCell ref="I54:J54"/>
    <mergeCell ref="Y98:Z98"/>
    <mergeCell ref="L213:M213"/>
    <mergeCell ref="G112:H112"/>
    <mergeCell ref="Q147:R147"/>
    <mergeCell ref="B380:E380"/>
    <mergeCell ref="AC225:AD225"/>
    <mergeCell ref="I56:J56"/>
    <mergeCell ref="AC235:AD235"/>
    <mergeCell ref="L215:M215"/>
    <mergeCell ref="AA162:AB162"/>
    <mergeCell ref="U267:V267"/>
    <mergeCell ref="AC227:AD227"/>
    <mergeCell ref="M341:N341"/>
    <mergeCell ref="N402:O402"/>
    <mergeCell ref="N190:O190"/>
    <mergeCell ref="K120:L120"/>
    <mergeCell ref="B77:E77"/>
    <mergeCell ref="P377:Q377"/>
    <mergeCell ref="AA164:AB164"/>
    <mergeCell ref="AC226:AD226"/>
    <mergeCell ref="AC220:AD220"/>
    <mergeCell ref="W58:X58"/>
    <mergeCell ref="U294:V294"/>
    <mergeCell ref="R289:T289"/>
    <mergeCell ref="R318:T318"/>
    <mergeCell ref="W363:AB363"/>
    <mergeCell ref="G138:H138"/>
    <mergeCell ref="B377:E377"/>
    <mergeCell ref="O73:P73"/>
    <mergeCell ref="AC222:AD222"/>
    <mergeCell ref="AE284:AF284"/>
    <mergeCell ref="W60:X60"/>
    <mergeCell ref="AC251:AD251"/>
    <mergeCell ref="Y116:Z116"/>
    <mergeCell ref="R320:T320"/>
    <mergeCell ref="R314:T314"/>
    <mergeCell ref="AE172:AF172"/>
    <mergeCell ref="Y126:Z126"/>
    <mergeCell ref="AA188:AB188"/>
    <mergeCell ref="G140:H140"/>
    <mergeCell ref="W362:AB362"/>
    <mergeCell ref="AE286:AF286"/>
    <mergeCell ref="R286:T286"/>
    <mergeCell ref="BJ6:BL6"/>
    <mergeCell ref="AC253:AD253"/>
    <mergeCell ref="J360:L360"/>
    <mergeCell ref="W239:X239"/>
    <mergeCell ref="L268:M268"/>
    <mergeCell ref="Y117:Z117"/>
    <mergeCell ref="AC246:AD246"/>
    <mergeCell ref="W84:X84"/>
    <mergeCell ref="B95:E95"/>
    <mergeCell ref="R315:T315"/>
    <mergeCell ref="B89:E89"/>
    <mergeCell ref="K173:L173"/>
    <mergeCell ref="J381:K381"/>
    <mergeCell ref="K44:L44"/>
    <mergeCell ref="Q72:R72"/>
    <mergeCell ref="AC150:AD150"/>
    <mergeCell ref="G69:H69"/>
    <mergeCell ref="P390:Q390"/>
    <mergeCell ref="L284:M284"/>
    <mergeCell ref="Y144:Z144"/>
    <mergeCell ref="U165:V165"/>
    <mergeCell ref="AC152:AD152"/>
    <mergeCell ref="L286:M286"/>
    <mergeCell ref="AA233:AB233"/>
    <mergeCell ref="K347:L347"/>
    <mergeCell ref="G64:H64"/>
    <mergeCell ref="Q61:R61"/>
    <mergeCell ref="N355:S355"/>
    <mergeCell ref="X380:Y380"/>
    <mergeCell ref="G153:H153"/>
    <mergeCell ref="AA235:AB235"/>
    <mergeCell ref="AC297:AD297"/>
    <mergeCell ref="W283:X283"/>
    <mergeCell ref="AA114:AB114"/>
    <mergeCell ref="I128:J128"/>
    <mergeCell ref="N357:S357"/>
    <mergeCell ref="L287:M287"/>
    <mergeCell ref="L281:M281"/>
    <mergeCell ref="AA228:AB228"/>
    <mergeCell ref="K342:L342"/>
    <mergeCell ref="U35:V35"/>
    <mergeCell ref="B332:J332"/>
    <mergeCell ref="U333:V333"/>
    <mergeCell ref="Q56:R56"/>
    <mergeCell ref="Y43:Z43"/>
    <mergeCell ref="AA105:AB105"/>
    <mergeCell ref="U252:V252"/>
    <mergeCell ref="AC178:AD178"/>
    <mergeCell ref="B211:K211"/>
    <mergeCell ref="B143:E143"/>
    <mergeCell ref="W308:X308"/>
    <mergeCell ref="AC292:AD292"/>
    <mergeCell ref="K344:L344"/>
    <mergeCell ref="L312:M312"/>
    <mergeCell ref="W99:X99"/>
    <mergeCell ref="U341:V341"/>
    <mergeCell ref="B175:J175"/>
    <mergeCell ref="X377:Y377"/>
    <mergeCell ref="W316:X316"/>
    <mergeCell ref="Y74:Z74"/>
    <mergeCell ref="AC163:AD163"/>
    <mergeCell ref="W310:X310"/>
    <mergeCell ref="G82:H82"/>
    <mergeCell ref="M110:N110"/>
    <mergeCell ref="O166:P166"/>
    <mergeCell ref="W309:X309"/>
    <mergeCell ref="Y67:Z67"/>
    <mergeCell ref="Q141:R141"/>
    <mergeCell ref="X406:Y406"/>
    <mergeCell ref="L313:M313"/>
    <mergeCell ref="L307:M307"/>
    <mergeCell ref="AA132:AB132"/>
    <mergeCell ref="I146:J146"/>
    <mergeCell ref="O168:P168"/>
    <mergeCell ref="W311:X311"/>
    <mergeCell ref="Y69:Z69"/>
    <mergeCell ref="B38:F38"/>
    <mergeCell ref="L315:M315"/>
    <mergeCell ref="U234:V234"/>
    <mergeCell ref="AA256:AB256"/>
    <mergeCell ref="AC318:AD318"/>
    <mergeCell ref="AC196:AD196"/>
    <mergeCell ref="X393:Y393"/>
    <mergeCell ref="K326:L326"/>
    <mergeCell ref="S171:T171"/>
    <mergeCell ref="AA133:AB133"/>
    <mergeCell ref="AA127:AB127"/>
    <mergeCell ref="AA264:AB264"/>
    <mergeCell ref="B40:F40"/>
    <mergeCell ref="U263:V263"/>
    <mergeCell ref="N398:O398"/>
    <mergeCell ref="AC320:AD320"/>
    <mergeCell ref="M337:N337"/>
    <mergeCell ref="X395:Y395"/>
    <mergeCell ref="U54:V54"/>
    <mergeCell ref="O67:P67"/>
    <mergeCell ref="AC191:AD191"/>
    <mergeCell ref="R228:T228"/>
    <mergeCell ref="U265:V265"/>
    <mergeCell ref="M330:N330"/>
    <mergeCell ref="M121:N121"/>
    <mergeCell ref="S44:T44"/>
    <mergeCell ref="AE186:AF225"/>
    <mergeCell ref="B35:F35"/>
    <mergeCell ref="O96:P96"/>
    <mergeCell ref="B257:K257"/>
    <mergeCell ref="M332:N332"/>
    <mergeCell ref="X390:Y390"/>
    <mergeCell ref="R257:T257"/>
    <mergeCell ref="Y209:Z209"/>
    <mergeCell ref="Y87:Z87"/>
    <mergeCell ref="W361:AB361"/>
    <mergeCell ref="AA274:AB274"/>
    <mergeCell ref="G136:H136"/>
    <mergeCell ref="R223:T223"/>
    <mergeCell ref="O98:P98"/>
    <mergeCell ref="Q127:R127"/>
    <mergeCell ref="P188:Q188"/>
    <mergeCell ref="Q154:R154"/>
    <mergeCell ref="AC249:AD249"/>
    <mergeCell ref="Y211:Z211"/>
    <mergeCell ref="V392:W392"/>
    <mergeCell ref="S347:T347"/>
    <mergeCell ref="U105:V105"/>
    <mergeCell ref="L239:M239"/>
    <mergeCell ref="AA186:AB186"/>
    <mergeCell ref="N295:O295"/>
    <mergeCell ref="Y82:Z82"/>
    <mergeCell ref="P190:Q190"/>
    <mergeCell ref="W324:X324"/>
    <mergeCell ref="AA275:AB275"/>
    <mergeCell ref="S349:T349"/>
    <mergeCell ref="AA269:AB269"/>
    <mergeCell ref="AA57:AB57"/>
    <mergeCell ref="O93:P93"/>
    <mergeCell ref="M24:O24"/>
    <mergeCell ref="AC244:AD244"/>
    <mergeCell ref="AA146:AB146"/>
    <mergeCell ref="P219:Q219"/>
    <mergeCell ref="U100:V100"/>
    <mergeCell ref="S342:T342"/>
    <mergeCell ref="AC35:AD35"/>
    <mergeCell ref="W165:X165"/>
    <mergeCell ref="AC252:AD252"/>
    <mergeCell ref="P185:Q185"/>
    <mergeCell ref="AE308:AF308"/>
    <mergeCell ref="M45:N45"/>
    <mergeCell ref="Y140:Z140"/>
    <mergeCell ref="L255:M255"/>
    <mergeCell ref="W42:X42"/>
    <mergeCell ref="U102:V102"/>
    <mergeCell ref="Y229:Z229"/>
    <mergeCell ref="O126:P126"/>
    <mergeCell ref="AE310:AF310"/>
    <mergeCell ref="O82:P82"/>
    <mergeCell ref="AA204:AB204"/>
    <mergeCell ref="M345:N345"/>
    <mergeCell ref="L379:M379"/>
    <mergeCell ref="U190:V190"/>
    <mergeCell ref="Y141:Z141"/>
    <mergeCell ref="Z378:AA378"/>
    <mergeCell ref="L250:M250"/>
    <mergeCell ref="W37:X37"/>
    <mergeCell ref="O111:P111"/>
    <mergeCell ref="L381:M381"/>
    <mergeCell ref="P201:Q201"/>
    <mergeCell ref="AC262:AD262"/>
    <mergeCell ref="G151:H151"/>
    <mergeCell ref="AA199:AB199"/>
    <mergeCell ref="M44:N44"/>
    <mergeCell ref="B328:J328"/>
    <mergeCell ref="P203:Q203"/>
    <mergeCell ref="Q52:R52"/>
    <mergeCell ref="A72:A76"/>
    <mergeCell ref="B207:K207"/>
    <mergeCell ref="B105:F105"/>
    <mergeCell ref="AC263:AD263"/>
    <mergeCell ref="M73:N73"/>
    <mergeCell ref="O108:P108"/>
    <mergeCell ref="U337:V337"/>
    <mergeCell ref="B296:K296"/>
    <mergeCell ref="U331:V331"/>
    <mergeCell ref="F383:G383"/>
    <mergeCell ref="O162:P162"/>
    <mergeCell ref="W97:X97"/>
    <mergeCell ref="Y159:Z159"/>
    <mergeCell ref="T394:U394"/>
    <mergeCell ref="Y153:Z153"/>
    <mergeCell ref="B202:K202"/>
    <mergeCell ref="W96:X96"/>
    <mergeCell ref="U332:V332"/>
    <mergeCell ref="W90:X90"/>
    <mergeCell ref="O164:P164"/>
    <mergeCell ref="AD384:AE384"/>
    <mergeCell ref="AA217:AB217"/>
    <mergeCell ref="L311:M311"/>
    <mergeCell ref="Y154:Z154"/>
    <mergeCell ref="AC105:AD105"/>
    <mergeCell ref="B191:K191"/>
    <mergeCell ref="AC316:AD316"/>
    <mergeCell ref="M63:N63"/>
    <mergeCell ref="U50:V50"/>
    <mergeCell ref="B347:J347"/>
    <mergeCell ref="U44:V44"/>
    <mergeCell ref="B341:J341"/>
    <mergeCell ref="AE163:AF163"/>
    <mergeCell ref="W237:X237"/>
    <mergeCell ref="B226:K226"/>
    <mergeCell ref="W116:X116"/>
    <mergeCell ref="M117:N117"/>
    <mergeCell ref="U174:V174"/>
    <mergeCell ref="W108:X108"/>
    <mergeCell ref="B192:K192"/>
    <mergeCell ref="R192:T192"/>
    <mergeCell ref="AC189:AD189"/>
    <mergeCell ref="B222:K222"/>
    <mergeCell ref="U45:V45"/>
    <mergeCell ref="B342:J342"/>
    <mergeCell ref="W238:X238"/>
    <mergeCell ref="N209:O209"/>
    <mergeCell ref="P7:R7"/>
    <mergeCell ref="B39:F39"/>
    <mergeCell ref="T407:U407"/>
    <mergeCell ref="B221:K221"/>
    <mergeCell ref="R194:T194"/>
    <mergeCell ref="Y207:Z207"/>
    <mergeCell ref="N238:O238"/>
    <mergeCell ref="W263:X263"/>
    <mergeCell ref="W320:X320"/>
    <mergeCell ref="V16:X16"/>
    <mergeCell ref="P186:Q186"/>
    <mergeCell ref="Y78:Z78"/>
    <mergeCell ref="AA271:AB271"/>
    <mergeCell ref="U103:V103"/>
    <mergeCell ref="N240:O240"/>
    <mergeCell ref="W134:X134"/>
    <mergeCell ref="B367:I367"/>
    <mergeCell ref="J405:K405"/>
    <mergeCell ref="V18:X18"/>
    <mergeCell ref="Y80:Z80"/>
    <mergeCell ref="AA142:AB142"/>
    <mergeCell ref="B248:K248"/>
    <mergeCell ref="AA273:AB273"/>
    <mergeCell ref="AF374:AG374"/>
    <mergeCell ref="M145:N145"/>
    <mergeCell ref="P304:Q304"/>
    <mergeCell ref="P25:R25"/>
    <mergeCell ref="U98:V98"/>
    <mergeCell ref="AA302:AB302"/>
    <mergeCell ref="M147:N147"/>
    <mergeCell ref="P306:Q306"/>
    <mergeCell ref="Y225:Z225"/>
    <mergeCell ref="B50:F50"/>
    <mergeCell ref="B205:K205"/>
    <mergeCell ref="R205:T205"/>
    <mergeCell ref="Y235:Z235"/>
    <mergeCell ref="W162:X162"/>
    <mergeCell ref="Y227:Z227"/>
    <mergeCell ref="R238:T238"/>
    <mergeCell ref="Y106:Z106"/>
    <mergeCell ref="G120:H120"/>
    <mergeCell ref="L377:M377"/>
    <mergeCell ref="AA299:AB299"/>
    <mergeCell ref="Y226:Z226"/>
    <mergeCell ref="I36:J36"/>
    <mergeCell ref="AC57:AD57"/>
    <mergeCell ref="Y220:Z220"/>
    <mergeCell ref="S58:T58"/>
    <mergeCell ref="W164:X164"/>
    <mergeCell ref="AC355:AD355"/>
    <mergeCell ref="V395:W395"/>
    <mergeCell ref="W35:X35"/>
    <mergeCell ref="AA170:AB170"/>
    <mergeCell ref="P199:Q199"/>
    <mergeCell ref="U300:V300"/>
    <mergeCell ref="K100:L100"/>
    <mergeCell ref="AC357:AD357"/>
    <mergeCell ref="AA284:AB284"/>
    <mergeCell ref="K94:L94"/>
    <mergeCell ref="L406:M406"/>
    <mergeCell ref="Y251:Z251"/>
    <mergeCell ref="P288:Q288"/>
    <mergeCell ref="U126:V126"/>
    <mergeCell ref="W188:X188"/>
    <mergeCell ref="R265:T265"/>
    <mergeCell ref="B292:K292"/>
    <mergeCell ref="P228:Q228"/>
    <mergeCell ref="W66:X66"/>
    <mergeCell ref="K102:L102"/>
    <mergeCell ref="V396:W396"/>
    <mergeCell ref="M158:N158"/>
    <mergeCell ref="B103:F103"/>
    <mergeCell ref="B78:F78"/>
    <mergeCell ref="P200:Q200"/>
    <mergeCell ref="U301:V301"/>
    <mergeCell ref="O133:P133"/>
    <mergeCell ref="W190:X190"/>
    <mergeCell ref="B294:K294"/>
    <mergeCell ref="U117:V117"/>
    <mergeCell ref="R294:T294"/>
    <mergeCell ref="Y246:Z246"/>
    <mergeCell ref="S84:T84"/>
    <mergeCell ref="M160:N160"/>
    <mergeCell ref="R266:T266"/>
    <mergeCell ref="B287:K287"/>
    <mergeCell ref="W61:X61"/>
    <mergeCell ref="O135:P135"/>
    <mergeCell ref="Y254:Z254"/>
    <mergeCell ref="AD380:AE380"/>
    <mergeCell ref="Y248:Z248"/>
    <mergeCell ref="M72:N72"/>
    <mergeCell ref="Q163:R163"/>
    <mergeCell ref="B289:K289"/>
    <mergeCell ref="S79:T79"/>
    <mergeCell ref="P254:Q254"/>
    <mergeCell ref="L390:M390"/>
    <mergeCell ref="AA312:AB312"/>
    <mergeCell ref="AC70:AD70"/>
    <mergeCell ref="M87:N87"/>
    <mergeCell ref="U144:V144"/>
    <mergeCell ref="K329:L329"/>
    <mergeCell ref="B129:F129"/>
    <mergeCell ref="AC281:AD281"/>
    <mergeCell ref="S81:T81"/>
    <mergeCell ref="P256:Q256"/>
    <mergeCell ref="AA314:AB314"/>
    <mergeCell ref="AE159:AF159"/>
    <mergeCell ref="P222:Q222"/>
    <mergeCell ref="M88:N88"/>
    <mergeCell ref="U145:V145"/>
    <mergeCell ref="M82:N82"/>
    <mergeCell ref="K324:L324"/>
    <mergeCell ref="U139:V139"/>
    <mergeCell ref="W201:X201"/>
    <mergeCell ref="B305:K305"/>
    <mergeCell ref="R188:T188"/>
    <mergeCell ref="M54:N54"/>
    <mergeCell ref="W114:X114"/>
    <mergeCell ref="M90:N90"/>
    <mergeCell ref="AB17:AD19"/>
    <mergeCell ref="O146:P146"/>
    <mergeCell ref="AA241:AB241"/>
    <mergeCell ref="R313:T313"/>
    <mergeCell ref="W203:X203"/>
    <mergeCell ref="T403:U403"/>
    <mergeCell ref="Q35:R35"/>
    <mergeCell ref="R190:T190"/>
    <mergeCell ref="T378:U378"/>
    <mergeCell ref="Q333:R333"/>
    <mergeCell ref="Y178:Z178"/>
    <mergeCell ref="R279:T279"/>
    <mergeCell ref="AA234:AB234"/>
    <mergeCell ref="Y292:Z292"/>
    <mergeCell ref="K42:L42"/>
    <mergeCell ref="B219:K219"/>
    <mergeCell ref="S99:T99"/>
    <mergeCell ref="V12:X12"/>
    <mergeCell ref="Y49:Z49"/>
    <mergeCell ref="M85:N85"/>
    <mergeCell ref="R281:T281"/>
    <mergeCell ref="AA236:AB236"/>
    <mergeCell ref="I110:J110"/>
    <mergeCell ref="N211:O211"/>
    <mergeCell ref="S92:T92"/>
    <mergeCell ref="O60:P60"/>
    <mergeCell ref="W130:X130"/>
    <mergeCell ref="K166:L166"/>
    <mergeCell ref="V14:X14"/>
    <mergeCell ref="BE7:BI7"/>
    <mergeCell ref="U67:V67"/>
    <mergeCell ref="B142:F142"/>
    <mergeCell ref="M141:N141"/>
    <mergeCell ref="T406:U406"/>
    <mergeCell ref="AC300:AD300"/>
    <mergeCell ref="K37:L37"/>
    <mergeCell ref="V13:X13"/>
    <mergeCell ref="B29:H29"/>
    <mergeCell ref="W132:X132"/>
    <mergeCell ref="K168:L168"/>
    <mergeCell ref="P269:Q269"/>
    <mergeCell ref="M20:O20"/>
    <mergeCell ref="W290:X290"/>
    <mergeCell ref="U69:V69"/>
    <mergeCell ref="B144:F144"/>
    <mergeCell ref="M118:N118"/>
    <mergeCell ref="P302:Q302"/>
    <mergeCell ref="Y318:Z318"/>
    <mergeCell ref="Y196:Z196"/>
    <mergeCell ref="M22:O22"/>
    <mergeCell ref="B239:K239"/>
    <mergeCell ref="B201:K201"/>
    <mergeCell ref="R201:T201"/>
    <mergeCell ref="W133:X133"/>
    <mergeCell ref="W127:X127"/>
    <mergeCell ref="W285:X285"/>
    <mergeCell ref="P16:R16"/>
    <mergeCell ref="M15:O15"/>
    <mergeCell ref="Q54:R54"/>
    <mergeCell ref="R209:T209"/>
    <mergeCell ref="B203:K203"/>
    <mergeCell ref="R203:T203"/>
    <mergeCell ref="Y191:Z191"/>
    <mergeCell ref="N264:O264"/>
    <mergeCell ref="Y51:Z51"/>
    <mergeCell ref="K63:L63"/>
    <mergeCell ref="P18:R18"/>
    <mergeCell ref="O44:P44"/>
    <mergeCell ref="B232:K232"/>
    <mergeCell ref="C24:L24"/>
    <mergeCell ref="V25:X25"/>
    <mergeCell ref="AC55:AD55"/>
    <mergeCell ref="K96:L96"/>
    <mergeCell ref="U209:V209"/>
    <mergeCell ref="U87:V87"/>
    <mergeCell ref="R384:S384"/>
    <mergeCell ref="AC171:AD171"/>
    <mergeCell ref="U245:V245"/>
    <mergeCell ref="S32:U32"/>
    <mergeCell ref="C26:L26"/>
    <mergeCell ref="W301:X301"/>
    <mergeCell ref="W274:X274"/>
    <mergeCell ref="B263:K263"/>
    <mergeCell ref="S26:U26"/>
    <mergeCell ref="K98:L98"/>
    <mergeCell ref="M154:N154"/>
    <mergeCell ref="U238:V238"/>
    <mergeCell ref="O347:P347"/>
    <mergeCell ref="B74:F74"/>
    <mergeCell ref="Q105:R105"/>
    <mergeCell ref="B229:K229"/>
    <mergeCell ref="B68:F68"/>
    <mergeCell ref="AC354:AD354"/>
    <mergeCell ref="R229:T229"/>
    <mergeCell ref="W303:X303"/>
    <mergeCell ref="V394:W394"/>
    <mergeCell ref="W186:X186"/>
    <mergeCell ref="AF34:AG35"/>
    <mergeCell ref="U82:V82"/>
    <mergeCell ref="Y278:Z278"/>
    <mergeCell ref="AB376:AC376"/>
    <mergeCell ref="W269:X269"/>
    <mergeCell ref="B76:F76"/>
    <mergeCell ref="B258:K258"/>
    <mergeCell ref="K93:L93"/>
    <mergeCell ref="I60:J60"/>
    <mergeCell ref="Y244:Z244"/>
    <mergeCell ref="L219:M219"/>
    <mergeCell ref="Q100:R100"/>
    <mergeCell ref="O342:P342"/>
    <mergeCell ref="N275:O275"/>
    <mergeCell ref="B285:K285"/>
    <mergeCell ref="B260:K260"/>
    <mergeCell ref="Y121:Z121"/>
    <mergeCell ref="N406:O406"/>
    <mergeCell ref="AA308:AB308"/>
    <mergeCell ref="Y273:Z273"/>
    <mergeCell ref="I45:J45"/>
    <mergeCell ref="AC66:AD66"/>
    <mergeCell ref="N283:O283"/>
    <mergeCell ref="S42:T42"/>
    <mergeCell ref="N277:O277"/>
    <mergeCell ref="M30:O30"/>
    <mergeCell ref="U229:V229"/>
    <mergeCell ref="AA179:AB179"/>
    <mergeCell ref="P252:Q252"/>
    <mergeCell ref="AA39:AB39"/>
    <mergeCell ref="AA310:AB310"/>
    <mergeCell ref="AC68:AD68"/>
    <mergeCell ref="AC74:AD74"/>
    <mergeCell ref="K109:L109"/>
    <mergeCell ref="K126:L126"/>
    <mergeCell ref="S166:T166"/>
    <mergeCell ref="B309:K309"/>
    <mergeCell ref="AE160:AF160"/>
    <mergeCell ref="AB8:AD8"/>
    <mergeCell ref="AE9:AG9"/>
    <mergeCell ref="AC67:AD67"/>
    <mergeCell ref="U141:V141"/>
    <mergeCell ref="U135:V135"/>
    <mergeCell ref="S37:T37"/>
    <mergeCell ref="AC97:AD97"/>
    <mergeCell ref="K111:L111"/>
    <mergeCell ref="H408:I408"/>
    <mergeCell ref="AE290:AF290"/>
    <mergeCell ref="B311:K311"/>
    <mergeCell ref="B393:G393"/>
    <mergeCell ref="B87:F87"/>
    <mergeCell ref="AC69:AD69"/>
    <mergeCell ref="R309:T309"/>
    <mergeCell ref="W199:X199"/>
    <mergeCell ref="T374:U374"/>
    <mergeCell ref="AE161:AF161"/>
    <mergeCell ref="L230:M230"/>
    <mergeCell ref="B395:G395"/>
    <mergeCell ref="R275:T275"/>
    <mergeCell ref="W70:X70"/>
    <mergeCell ref="AC98:AD98"/>
    <mergeCell ref="I79:J79"/>
    <mergeCell ref="Y263:Z263"/>
    <mergeCell ref="I73:J73"/>
    <mergeCell ref="Q337:R337"/>
    <mergeCell ref="A78:A82"/>
    <mergeCell ref="Q331:R331"/>
    <mergeCell ref="L232:M232"/>
    <mergeCell ref="Y293:Z293"/>
    <mergeCell ref="N288:O288"/>
    <mergeCell ref="R304:T304"/>
    <mergeCell ref="V404:W404"/>
    <mergeCell ref="N207:O207"/>
    <mergeCell ref="S88:T88"/>
    <mergeCell ref="P236:Q236"/>
    <mergeCell ref="K162:L162"/>
    <mergeCell ref="AC123:AD123"/>
    <mergeCell ref="Q330:R330"/>
    <mergeCell ref="U197:V197"/>
    <mergeCell ref="P394:Q394"/>
    <mergeCell ref="U153:V153"/>
    <mergeCell ref="N296:O296"/>
    <mergeCell ref="B138:F138"/>
    <mergeCell ref="Q332:R332"/>
    <mergeCell ref="P271:Q271"/>
    <mergeCell ref="S90:T90"/>
    <mergeCell ref="K164:L164"/>
    <mergeCell ref="P265:Q265"/>
    <mergeCell ref="AA52:AB52"/>
    <mergeCell ref="K139:L139"/>
    <mergeCell ref="Z384:AA384"/>
    <mergeCell ref="S126:T126"/>
    <mergeCell ref="AC245:AD245"/>
    <mergeCell ref="W217:X217"/>
    <mergeCell ref="B140:F140"/>
    <mergeCell ref="B115:F115"/>
    <mergeCell ref="R301:T301"/>
    <mergeCell ref="P237:Q237"/>
    <mergeCell ref="W227:X227"/>
    <mergeCell ref="U154:V154"/>
    <mergeCell ref="S121:T121"/>
    <mergeCell ref="O328:P328"/>
    <mergeCell ref="Y319:Z319"/>
    <mergeCell ref="P266:Q266"/>
    <mergeCell ref="Q58:R58"/>
    <mergeCell ref="O172:P172"/>
    <mergeCell ref="Y291:Z291"/>
    <mergeCell ref="AA49:AB49"/>
    <mergeCell ref="J396:K396"/>
    <mergeCell ref="Q50:R50"/>
    <mergeCell ref="L285:M285"/>
    <mergeCell ref="Q60:R60"/>
    <mergeCell ref="S116:T116"/>
    <mergeCell ref="N191:O191"/>
    <mergeCell ref="I117:J117"/>
    <mergeCell ref="I92:J92"/>
    <mergeCell ref="J398:K398"/>
    <mergeCell ref="S152:T152"/>
    <mergeCell ref="B163:J163"/>
    <mergeCell ref="P405:Q405"/>
    <mergeCell ref="K61:L61"/>
    <mergeCell ref="S118:T118"/>
    <mergeCell ref="N220:O220"/>
    <mergeCell ref="AC167:AD167"/>
    <mergeCell ref="U210:V210"/>
    <mergeCell ref="B165:J165"/>
    <mergeCell ref="P407:Q407"/>
    <mergeCell ref="N222:O222"/>
    <mergeCell ref="AC169:AD169"/>
    <mergeCell ref="W299:X299"/>
    <mergeCell ref="K62:L62"/>
    <mergeCell ref="B153:F153"/>
    <mergeCell ref="M127:N127"/>
    <mergeCell ref="G81:H81"/>
    <mergeCell ref="V24:X24"/>
    <mergeCell ref="P408:Q408"/>
    <mergeCell ref="B254:K254"/>
    <mergeCell ref="R227:T227"/>
    <mergeCell ref="S134:T134"/>
    <mergeCell ref="AA121:AB121"/>
    <mergeCell ref="L190:M190"/>
    <mergeCell ref="AB374:AC374"/>
    <mergeCell ref="I145:J145"/>
    <mergeCell ref="N246:O246"/>
    <mergeCell ref="Y58:Z58"/>
    <mergeCell ref="AA87:AB87"/>
    <mergeCell ref="A150:A154"/>
    <mergeCell ref="B256:K256"/>
    <mergeCell ref="L304:M304"/>
    <mergeCell ref="Q73:R73"/>
    <mergeCell ref="W302:X302"/>
    <mergeCell ref="N273:O273"/>
    <mergeCell ref="N248:O248"/>
    <mergeCell ref="AC195:AD195"/>
    <mergeCell ref="I147:J147"/>
    <mergeCell ref="X392:Y392"/>
    <mergeCell ref="H378:I378"/>
    <mergeCell ref="AC197:AD197"/>
    <mergeCell ref="R393:S393"/>
    <mergeCell ref="W327:X327"/>
    <mergeCell ref="U106:V106"/>
    <mergeCell ref="U264:V264"/>
    <mergeCell ref="H379:I379"/>
    <mergeCell ref="Y84:Z84"/>
    <mergeCell ref="U220:V220"/>
    <mergeCell ref="R395:S395"/>
    <mergeCell ref="AB6:AD6"/>
    <mergeCell ref="S35:T35"/>
    <mergeCell ref="W170:X170"/>
    <mergeCell ref="H406:I406"/>
    <mergeCell ref="H381:I381"/>
    <mergeCell ref="AB5:AG5"/>
    <mergeCell ref="L226:M226"/>
    <mergeCell ref="L201:M201"/>
    <mergeCell ref="W284:X284"/>
    <mergeCell ref="Y86:Z86"/>
    <mergeCell ref="G94:H94"/>
    <mergeCell ref="G100:H100"/>
    <mergeCell ref="W328:X328"/>
    <mergeCell ref="R246:T246"/>
    <mergeCell ref="B359:I359"/>
    <mergeCell ref="B267:K267"/>
    <mergeCell ref="I69:J69"/>
    <mergeCell ref="R396:S396"/>
    <mergeCell ref="L228:M228"/>
    <mergeCell ref="L203:M203"/>
    <mergeCell ref="G102:H102"/>
    <mergeCell ref="AA150:AB150"/>
    <mergeCell ref="AA144:AB144"/>
    <mergeCell ref="U280:V280"/>
    <mergeCell ref="B269:K269"/>
    <mergeCell ref="K133:L133"/>
    <mergeCell ref="N292:O292"/>
    <mergeCell ref="AA152:AB152"/>
    <mergeCell ref="N286:O286"/>
    <mergeCell ref="AC208:AD208"/>
    <mergeCell ref="U282:V282"/>
    <mergeCell ref="X405:Y405"/>
    <mergeCell ref="S61:T61"/>
    <mergeCell ref="K135:L135"/>
    <mergeCell ref="Z380:AA380"/>
    <mergeCell ref="M51:N51"/>
    <mergeCell ref="U275:V275"/>
    <mergeCell ref="AE297:AF297"/>
    <mergeCell ref="AC210:AD210"/>
    <mergeCell ref="I72:J72"/>
    <mergeCell ref="B111:F111"/>
    <mergeCell ref="Q142:R142"/>
    <mergeCell ref="X407:Y407"/>
    <mergeCell ref="W340:X340"/>
    <mergeCell ref="AE185:AF185"/>
    <mergeCell ref="L254:M254"/>
    <mergeCell ref="Y315:Z315"/>
    <mergeCell ref="U277:V277"/>
    <mergeCell ref="AE299:AF299"/>
    <mergeCell ref="Q171:R171"/>
    <mergeCell ref="AC122:AD122"/>
    <mergeCell ref="B295:K295"/>
    <mergeCell ref="W252:X252"/>
    <mergeCell ref="Y281:Z281"/>
    <mergeCell ref="L256:M256"/>
    <mergeCell ref="N318:O318"/>
    <mergeCell ref="W341:X341"/>
    <mergeCell ref="Y99:Z99"/>
    <mergeCell ref="Q173:R173"/>
    <mergeCell ref="B404:G404"/>
    <mergeCell ref="Y316:Z316"/>
    <mergeCell ref="AA74:AB74"/>
    <mergeCell ref="I88:J88"/>
    <mergeCell ref="Y310:Z310"/>
    <mergeCell ref="I82:J82"/>
    <mergeCell ref="S148:T148"/>
    <mergeCell ref="N320:O320"/>
    <mergeCell ref="N314:O314"/>
    <mergeCell ref="P376:Q376"/>
    <mergeCell ref="AA163:AB163"/>
    <mergeCell ref="S114:T114"/>
    <mergeCell ref="T384:U384"/>
    <mergeCell ref="U176:V176"/>
    <mergeCell ref="AA76:AB76"/>
    <mergeCell ref="AC138:AD138"/>
    <mergeCell ref="AC132:AD132"/>
    <mergeCell ref="K146:L146"/>
    <mergeCell ref="U206:V206"/>
    <mergeCell ref="P378:Q378"/>
    <mergeCell ref="M333:N333"/>
    <mergeCell ref="AC104:AD104"/>
    <mergeCell ref="U295:V295"/>
    <mergeCell ref="U178:V178"/>
    <mergeCell ref="W234:X234"/>
    <mergeCell ref="AC140:AD140"/>
    <mergeCell ref="W270:X270"/>
    <mergeCell ref="G42:H42"/>
    <mergeCell ref="Z393:AA393"/>
    <mergeCell ref="U49:V49"/>
    <mergeCell ref="L396:M396"/>
    <mergeCell ref="J359:L359"/>
    <mergeCell ref="U207:V207"/>
    <mergeCell ref="B162:J162"/>
    <mergeCell ref="W236:X236"/>
    <mergeCell ref="O39:P39"/>
    <mergeCell ref="M334:N334"/>
    <mergeCell ref="O92:P92"/>
    <mergeCell ref="K60:L60"/>
    <mergeCell ref="Z395:AA395"/>
    <mergeCell ref="L267:M267"/>
    <mergeCell ref="Q67:R67"/>
    <mergeCell ref="AC135:AD135"/>
    <mergeCell ref="I141:J141"/>
    <mergeCell ref="P406:Q406"/>
    <mergeCell ref="Y300:Z300"/>
    <mergeCell ref="W265:X265"/>
    <mergeCell ref="G37:H37"/>
    <mergeCell ref="Q103:R103"/>
    <mergeCell ref="O339:P339"/>
    <mergeCell ref="L269:M269"/>
    <mergeCell ref="AA216:AB216"/>
    <mergeCell ref="Q69:R69"/>
    <mergeCell ref="N244:O244"/>
    <mergeCell ref="P300:Q300"/>
    <mergeCell ref="L302:M302"/>
    <mergeCell ref="AA218:AB218"/>
    <mergeCell ref="AC280:AD280"/>
    <mergeCell ref="AC274:AD274"/>
    <mergeCell ref="S133:T133"/>
    <mergeCell ref="Q98:R98"/>
    <mergeCell ref="AC193:AD193"/>
    <mergeCell ref="S127:T127"/>
    <mergeCell ref="U347:V347"/>
    <mergeCell ref="AC282:AD282"/>
    <mergeCell ref="S12:U12"/>
    <mergeCell ref="S162:T162"/>
    <mergeCell ref="U191:V191"/>
    <mergeCell ref="G63:H63"/>
    <mergeCell ref="U51:V51"/>
    <mergeCell ref="U349:V349"/>
    <mergeCell ref="P303:Q303"/>
    <mergeCell ref="H377:I377"/>
    <mergeCell ref="G96:H96"/>
    <mergeCell ref="W293:X293"/>
    <mergeCell ref="B355:I355"/>
    <mergeCell ref="S7:U7"/>
    <mergeCell ref="Q87:R87"/>
    <mergeCell ref="N384:O384"/>
    <mergeCell ref="Y171:Z171"/>
    <mergeCell ref="B365:I365"/>
    <mergeCell ref="AE252:AF252"/>
    <mergeCell ref="G98:H98"/>
    <mergeCell ref="L199:M199"/>
    <mergeCell ref="U222:V222"/>
    <mergeCell ref="N255:O255"/>
    <mergeCell ref="AA115:AB115"/>
    <mergeCell ref="I154:J154"/>
    <mergeCell ref="B357:I357"/>
    <mergeCell ref="Y173:Z173"/>
    <mergeCell ref="O341:P341"/>
    <mergeCell ref="AA148:AB148"/>
    <mergeCell ref="Q82:R82"/>
    <mergeCell ref="AC204:AD204"/>
    <mergeCell ref="Y44:Z44"/>
    <mergeCell ref="O49:P49"/>
    <mergeCell ref="Q118:R118"/>
    <mergeCell ref="B237:K237"/>
    <mergeCell ref="X376:Y376"/>
    <mergeCell ref="H393:I393"/>
    <mergeCell ref="G93:H93"/>
    <mergeCell ref="B358:I358"/>
    <mergeCell ref="B209:K209"/>
    <mergeCell ref="O84:P84"/>
    <mergeCell ref="AC206:AD206"/>
    <mergeCell ref="N381:O381"/>
    <mergeCell ref="P24:R24"/>
    <mergeCell ref="O50:P50"/>
    <mergeCell ref="G124:H124"/>
    <mergeCell ref="U273:V273"/>
    <mergeCell ref="O42:P42"/>
    <mergeCell ref="O80:P80"/>
    <mergeCell ref="P26:R26"/>
    <mergeCell ref="O52:P52"/>
    <mergeCell ref="L252:M252"/>
    <mergeCell ref="W39:X39"/>
    <mergeCell ref="Q108:R108"/>
    <mergeCell ref="W337:X337"/>
    <mergeCell ref="G109:H109"/>
    <mergeCell ref="H390:I390"/>
    <mergeCell ref="Q169:R169"/>
    <mergeCell ref="Q144:R144"/>
    <mergeCell ref="R293:T293"/>
    <mergeCell ref="AA160:AB160"/>
    <mergeCell ref="B51:F51"/>
    <mergeCell ref="N316:O316"/>
    <mergeCell ref="O37:P37"/>
    <mergeCell ref="W339:X339"/>
    <mergeCell ref="G111:H111"/>
    <mergeCell ref="AA159:AB159"/>
    <mergeCell ref="B379:E379"/>
    <mergeCell ref="AA290:AB290"/>
  </mergeCells>
  <conditionalFormatting sqref="S6:U27">
    <cfRule type="expression" priority="4" dxfId="11">
      <formula>OR($AY$3="101",$AY$3="302")</formula>
    </cfRule>
  </conditionalFormatting>
  <conditionalFormatting sqref="S29:U32">
    <cfRule type="expression" priority="1" dxfId="11">
      <formula>OR($AY$3="101",$AY$3="302")</formula>
    </cfRule>
  </conditionalFormatting>
  <dataValidations count="3">
    <dataValidation sqref="AE6:AG6" showDropDown="0" showInputMessage="1" showErrorMessage="1" allowBlank="1" type="list">
      <formula1>IF($AY$3="Sek",$AZ$5:$AZ$6,IF($AY$3="101",$BA$5:$BA$9,IF($AY$3="103",$BB$5:$BB$7,IF($AY$3="302",$BC$5:$BC$7))))</formula1>
    </dataValidation>
    <dataValidation sqref="H3:U3" showDropDown="0" showInputMessage="1" showErrorMessage="1" allowBlank="1" type="list">
      <formula1>Sektör_Seçiniz101</formula1>
    </dataValidation>
    <dataValidation sqref="AW11 AY3" showDropDown="0" showInputMessage="1" showErrorMessage="1" allowBlank="1" type="list">
      <formula1>#REF!</formula1>
    </dataValidation>
  </dataValidations>
  <pageMargins left="0.7" right="0.7" top="0.75" bottom="0.75" header="0.3" footer="0.3"/>
  <pageSetup orientation="landscape" paperSize="9" scale="67"/>
  <rowBreaks count="2" manualBreakCount="2">
    <brk id="309" min="0" max="33" man="1"/>
    <brk id="351" min="0" max="33" man="1"/>
  </row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ayfa3">
    <tabColor theme="0"/>
    <outlinePr summaryBelow="1" summaryRight="1"/>
    <pageSetUpPr/>
  </sheetPr>
  <dimension ref="B2:AA43"/>
  <sheetViews>
    <sheetView showGridLines="0" showRowColHeaders="0" showZeros="0" zoomScale="80" zoomScaleNormal="80" zoomScaleSheetLayoutView="80" zoomScalePageLayoutView="70" workbookViewId="0">
      <selection activeCell="B19" sqref="B19:K19"/>
    </sheetView>
  </sheetViews>
  <sheetFormatPr baseColWidth="8" defaultColWidth="0" defaultRowHeight="15" zeroHeight="1"/>
  <cols>
    <col width="13.7109375" customWidth="1" style="52" min="1" max="1"/>
    <col width="5.7109375" customWidth="1" style="52" min="2" max="14"/>
    <col width="6.28515625" customWidth="1" style="52" min="15" max="15"/>
    <col width="5.7109375" customWidth="1" style="52" min="16" max="25"/>
    <col width="7.5703125" customWidth="1" style="52" min="26" max="26"/>
    <col hidden="1" width="5.7109375" customWidth="1" style="52" min="27" max="27"/>
    <col hidden="1" width="1.5703125" customWidth="1" style="52" min="28" max="28"/>
    <col hidden="1" width="5.7109375" customWidth="1" style="52" min="29" max="85"/>
    <col hidden="1" width="9.140625" customWidth="1" style="52" min="86" max="16384"/>
  </cols>
  <sheetData>
    <row r="1" ht="18" customFormat="1" customHeight="1" s="52"/>
    <row r="2" ht="18" customFormat="1" customHeight="1" s="52">
      <c r="B2" s="49" t="n"/>
      <c r="C2" s="49" t="n"/>
      <c r="D2" s="49" t="n"/>
      <c r="E2" s="50" t="n"/>
      <c r="F2" s="50" t="n"/>
      <c r="G2" s="50" t="n"/>
      <c r="H2" s="50" t="n"/>
      <c r="I2" s="50" t="n"/>
      <c r="J2" s="50" t="n"/>
      <c r="K2" s="50" t="n"/>
      <c r="L2" s="50" t="n"/>
      <c r="M2" s="50" t="n"/>
      <c r="N2" s="50" t="n"/>
      <c r="O2" s="50" t="n"/>
      <c r="P2" s="50" t="n"/>
      <c r="Q2" s="50" t="n"/>
      <c r="R2" s="50" t="n"/>
      <c r="S2" s="50" t="n"/>
      <c r="T2" s="50" t="n"/>
      <c r="U2" s="51" t="n"/>
      <c r="V2" s="51" t="n"/>
      <c r="W2" s="51" t="n"/>
      <c r="X2" s="51" t="n"/>
      <c r="Y2" s="51" t="n"/>
      <c r="Z2" s="52" t="n"/>
      <c r="AA2" s="52" t="n"/>
    </row>
    <row r="3" ht="18" customFormat="1" customHeight="1" s="52">
      <c r="B3" s="892" t="inlineStr">
        <is>
          <t>Tahmini IPARD Destek Miktarı</t>
        </is>
      </c>
      <c r="C3" s="773" t="n"/>
      <c r="D3" s="773" t="n"/>
      <c r="E3" s="773" t="n"/>
      <c r="F3" s="773" t="n"/>
      <c r="G3" s="773" t="n"/>
      <c r="H3" s="773" t="n"/>
      <c r="I3" s="773" t="n"/>
      <c r="J3" s="773" t="n"/>
      <c r="K3" s="773" t="n"/>
      <c r="L3" s="774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</row>
    <row r="4" ht="39" customFormat="1" customHeight="1" s="52">
      <c r="B4" s="529" t="inlineStr">
        <is>
          <t>Taksitler</t>
        </is>
      </c>
      <c r="C4" s="773" t="n"/>
      <c r="D4" s="774" t="n"/>
      <c r="E4" s="530" t="inlineStr">
        <is>
          <t>Uygun Harcamalar Toplamı</t>
        </is>
      </c>
      <c r="F4" s="773" t="n"/>
      <c r="G4" s="773" t="n"/>
      <c r="H4" s="774" t="n"/>
      <c r="I4" s="530" t="inlineStr">
        <is>
          <t>IPARD Destek Miktarı</t>
        </is>
      </c>
      <c r="J4" s="773" t="n"/>
      <c r="K4" s="773" t="n"/>
      <c r="L4" s="774" t="n"/>
      <c r="M4" s="53" t="n"/>
      <c r="N4" s="53" t="n"/>
      <c r="O4" s="53" t="n"/>
      <c r="P4" s="53" t="n"/>
      <c r="Q4" s="53" t="n"/>
      <c r="R4" s="53" t="n"/>
      <c r="S4" s="53" t="n"/>
      <c r="T4" s="53" t="n"/>
      <c r="U4" s="53" t="n"/>
      <c r="V4" s="53" t="n"/>
      <c r="W4" s="52" t="n"/>
      <c r="X4" s="52" t="n"/>
    </row>
    <row r="5" ht="18" customFormat="1" customHeight="1" s="52">
      <c r="B5" s="531" t="inlineStr">
        <is>
          <t>1.Taksit</t>
        </is>
      </c>
      <c r="C5" s="773" t="n"/>
      <c r="D5" s="774" t="n"/>
      <c r="E5" s="532">
        <f>VeriGiris!M7</f>
        <v/>
      </c>
      <c r="F5" s="773" t="n"/>
      <c r="G5" s="773" t="n"/>
      <c r="H5" s="774" t="n"/>
      <c r="I5" s="532">
        <f>VeriGiris!AE7</f>
        <v/>
      </c>
      <c r="J5" s="773" t="n"/>
      <c r="K5" s="773" t="n"/>
      <c r="L5" s="774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</row>
    <row r="6" ht="18" customFormat="1" customHeight="1" s="52">
      <c r="B6" s="531" t="inlineStr">
        <is>
          <t>2.Taksit</t>
        </is>
      </c>
      <c r="C6" s="773" t="n"/>
      <c r="D6" s="774" t="n"/>
      <c r="E6" s="532">
        <f>VeriGiris!P7</f>
        <v/>
      </c>
      <c r="F6" s="773" t="n"/>
      <c r="G6" s="773" t="n"/>
      <c r="H6" s="774" t="n"/>
      <c r="I6" s="532">
        <f>VeriGiris!AE8</f>
        <v/>
      </c>
      <c r="J6" s="773" t="n"/>
      <c r="K6" s="773" t="n"/>
      <c r="L6" s="774" t="n"/>
      <c r="M6" s="54" t="n"/>
      <c r="N6" s="54" t="n"/>
      <c r="O6" s="54" t="n"/>
      <c r="P6" s="54" t="n"/>
      <c r="Q6" s="54" t="n"/>
      <c r="R6" s="54" t="n"/>
      <c r="S6" s="54" t="n"/>
      <c r="T6" s="54" t="n"/>
      <c r="U6" s="52" t="n"/>
      <c r="V6" s="52" t="n"/>
      <c r="W6" s="52" t="n"/>
      <c r="X6" s="52" t="n"/>
    </row>
    <row r="7" ht="18" customFormat="1" customHeight="1" s="52">
      <c r="B7" s="531" t="inlineStr">
        <is>
          <t>3.Taksit</t>
        </is>
      </c>
      <c r="C7" s="773" t="n"/>
      <c r="D7" s="774" t="n"/>
      <c r="E7" s="532">
        <f>VeriGiris!S7</f>
        <v/>
      </c>
      <c r="F7" s="773" t="n"/>
      <c r="G7" s="773" t="n"/>
      <c r="H7" s="774" t="n"/>
      <c r="I7" s="532">
        <f>VeriGiris!AE9</f>
        <v/>
      </c>
      <c r="J7" s="773" t="n"/>
      <c r="K7" s="773" t="n"/>
      <c r="L7" s="774" t="n"/>
      <c r="M7" s="54" t="n"/>
      <c r="N7" s="54" t="n"/>
      <c r="O7" s="54" t="n"/>
      <c r="P7" s="54" t="n"/>
      <c r="Q7" s="54" t="n"/>
      <c r="R7" s="54" t="n"/>
      <c r="S7" s="54" t="n"/>
      <c r="T7" s="54" t="n"/>
      <c r="U7" s="52" t="n"/>
      <c r="V7" s="52" t="n"/>
      <c r="W7" s="52" t="n"/>
      <c r="X7" s="52" t="n"/>
    </row>
    <row r="8" ht="18" customFormat="1" customHeight="1" s="52">
      <c r="B8" s="534" t="inlineStr">
        <is>
          <t>Toplam</t>
        </is>
      </c>
      <c r="C8" s="773" t="n"/>
      <c r="D8" s="774" t="n"/>
      <c r="E8" s="535">
        <f>SUM(E5:H7)</f>
        <v/>
      </c>
      <c r="F8" s="773" t="n"/>
      <c r="G8" s="773" t="n"/>
      <c r="H8" s="774" t="n"/>
      <c r="I8" s="535">
        <f>SUM(I5:L7)</f>
        <v/>
      </c>
      <c r="J8" s="773" t="n"/>
      <c r="K8" s="773" t="n"/>
      <c r="L8" s="774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</row>
    <row r="9" ht="18" customHeight="1" s="321">
      <c r="B9" s="55" t="n"/>
      <c r="C9" s="55" t="n"/>
      <c r="D9" s="55" t="n"/>
      <c r="E9" s="55" t="n"/>
      <c r="F9" s="55" t="n"/>
      <c r="G9" s="55" t="n"/>
      <c r="H9" s="55" t="n"/>
      <c r="I9" s="55" t="n"/>
      <c r="J9" s="55" t="n"/>
      <c r="K9" s="55" t="n"/>
      <c r="L9" s="55" t="n"/>
      <c r="M9" s="55" t="n"/>
      <c r="N9" s="55" t="n"/>
      <c r="O9" s="55" t="n"/>
      <c r="P9" s="55" t="n"/>
      <c r="Q9" s="55" t="n"/>
      <c r="R9" s="55" t="n"/>
      <c r="S9" s="55" t="n"/>
      <c r="T9" s="55" t="n"/>
      <c r="U9" s="55" t="n"/>
      <c r="V9" s="55" t="n"/>
      <c r="W9" s="55" t="n"/>
      <c r="X9" s="55" t="n"/>
      <c r="Y9" s="55" t="n"/>
      <c r="Z9" s="44" t="n"/>
      <c r="AA9" s="44" t="n"/>
    </row>
    <row r="10" ht="18" customHeight="1" s="321"/>
    <row r="11" ht="18" customHeight="1" s="321">
      <c r="B11" s="893" t="inlineStr">
        <is>
          <t>Table 3-Toplam Yatırım Bütçesi ve Finansmanı Tablosu</t>
        </is>
      </c>
      <c r="C11" s="776" t="n"/>
      <c r="D11" s="776" t="n"/>
      <c r="E11" s="776" t="n"/>
      <c r="F11" s="776" t="n"/>
      <c r="G11" s="776" t="n"/>
      <c r="H11" s="776" t="n"/>
      <c r="I11" s="776" t="n"/>
      <c r="J11" s="776" t="n"/>
      <c r="K11" s="776" t="n"/>
      <c r="L11" s="776" t="n"/>
      <c r="M11" s="776" t="n"/>
      <c r="N11" s="776" t="n"/>
      <c r="O11" s="776" t="n"/>
      <c r="P11" s="776" t="n"/>
      <c r="Q11" s="776" t="n"/>
      <c r="R11" s="776" t="n"/>
      <c r="S11" s="776" t="n"/>
      <c r="T11" s="776" t="n"/>
      <c r="U11" s="776" t="n"/>
      <c r="V11" s="776" t="n"/>
      <c r="W11" s="777" t="n"/>
      <c r="X11" s="60" t="n"/>
      <c r="Y11" s="60" t="n"/>
      <c r="Z11" s="23" t="n"/>
    </row>
    <row r="12" ht="55.5" customHeight="1" s="321">
      <c r="B12" s="894" t="inlineStr">
        <is>
          <t>YATIRIM BÜTÇESİ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538" t="inlineStr">
        <is>
          <t>1. Taksit Dönemi</t>
        </is>
      </c>
      <c r="M12" s="773" t="n"/>
      <c r="N12" s="774" t="n"/>
      <c r="O12" s="538" t="inlineStr">
        <is>
          <t>2. Taksit
Dönemi</t>
        </is>
      </c>
      <c r="P12" s="773" t="n"/>
      <c r="Q12" s="774" t="n"/>
      <c r="R12" s="538" t="inlineStr">
        <is>
          <t>3. Taksit Dönemi</t>
        </is>
      </c>
      <c r="S12" s="773" t="n"/>
      <c r="T12" s="774" t="n"/>
      <c r="U12" s="529" t="inlineStr">
        <is>
          <t>Toplam Tutar (TL)
(KDV Hariç)</t>
        </is>
      </c>
      <c r="V12" s="773" t="n"/>
      <c r="W12" s="774" t="n"/>
      <c r="X12" s="61" t="n"/>
      <c r="Y12" s="61" t="n"/>
    </row>
    <row r="13" ht="36" customHeight="1" s="321">
      <c r="B13" s="371" t="inlineStr">
        <is>
          <t>A-UYGUN HARCAMALAR 
        (A1+A2+A3+A4)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543">
        <f>VeriGiris!M7</f>
        <v/>
      </c>
      <c r="M13" s="773" t="n"/>
      <c r="N13" s="774" t="n"/>
      <c r="O13" s="543">
        <f>VeriGiris!P7</f>
        <v/>
      </c>
      <c r="P13" s="773" t="n"/>
      <c r="Q13" s="774" t="n"/>
      <c r="R13" s="543">
        <f>VeriGiris!S7</f>
        <v/>
      </c>
      <c r="S13" s="773" t="n"/>
      <c r="T13" s="774" t="n"/>
      <c r="U13" s="543">
        <f>VeriGiris!V7</f>
        <v/>
      </c>
      <c r="V13" s="773" t="n"/>
      <c r="W13" s="774" t="n"/>
      <c r="X13" s="62" t="n"/>
      <c r="Y13" s="62" t="n"/>
    </row>
    <row r="14" ht="18" customHeight="1" s="321">
      <c r="B14" s="332" t="inlineStr">
        <is>
          <t>A1 – Yapım İşleri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544">
        <f>VeriGiris!M8</f>
        <v/>
      </c>
      <c r="M14" s="773" t="n"/>
      <c r="N14" s="774" t="n"/>
      <c r="O14" s="544">
        <f>VeriGiris!P8</f>
        <v/>
      </c>
      <c r="P14" s="773" t="n"/>
      <c r="Q14" s="774" t="n"/>
      <c r="R14" s="544">
        <f>VeriGiris!S8</f>
        <v/>
      </c>
      <c r="S14" s="773" t="n"/>
      <c r="T14" s="774" t="n"/>
      <c r="U14" s="544">
        <f>VeriGiris!V8</f>
        <v/>
      </c>
      <c r="V14" s="773" t="n"/>
      <c r="W14" s="774" t="n"/>
      <c r="X14" s="62" t="n"/>
      <c r="Y14" s="62" t="n"/>
    </row>
    <row r="15" ht="18" customHeight="1" s="321">
      <c r="B15" s="332" t="inlineStr">
        <is>
          <t>A2 – Makine ve Ekipman Alımları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544">
        <f>VeriGiris!M9</f>
        <v/>
      </c>
      <c r="M15" s="773" t="n"/>
      <c r="N15" s="774" t="n"/>
      <c r="O15" s="544">
        <f>VeriGiris!P9</f>
        <v/>
      </c>
      <c r="P15" s="773" t="n"/>
      <c r="Q15" s="774" t="n"/>
      <c r="R15" s="544">
        <f>VeriGiris!S9</f>
        <v/>
      </c>
      <c r="S15" s="773" t="n"/>
      <c r="T15" s="774" t="n"/>
      <c r="U15" s="544">
        <f>VeriGiris!V9</f>
        <v/>
      </c>
      <c r="V15" s="773" t="n"/>
      <c r="W15" s="774" t="n"/>
      <c r="X15" s="62" t="n"/>
      <c r="Y15" s="62" t="n"/>
    </row>
    <row r="16" ht="18" customHeight="1" s="321">
      <c r="B16" s="332" t="inlineStr">
        <is>
          <t>A3 – Genel Harcamalar (Hizmet Alımları)</t>
        </is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544">
        <f>VeriGiris!M10</f>
        <v/>
      </c>
      <c r="M16" s="773" t="n"/>
      <c r="N16" s="774" t="n"/>
      <c r="O16" s="544">
        <f>VeriGiris!P10</f>
        <v/>
      </c>
      <c r="P16" s="773" t="n"/>
      <c r="Q16" s="774" t="n"/>
      <c r="R16" s="544">
        <f>VeriGiris!S10</f>
        <v/>
      </c>
      <c r="S16" s="773" t="n"/>
      <c r="T16" s="774" t="n"/>
      <c r="U16" s="544">
        <f>VeriGiris!V10</f>
        <v/>
      </c>
      <c r="V16" s="773" t="n"/>
      <c r="W16" s="774" t="n"/>
      <c r="X16" s="62" t="n"/>
      <c r="Y16" s="62" t="n"/>
    </row>
    <row r="17" ht="18" customHeight="1" s="321">
      <c r="B17" s="332" t="inlineStr">
        <is>
          <t>A4 – Görünürlük Harcamaları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544">
        <f>VeriGiris!M11</f>
        <v/>
      </c>
      <c r="M17" s="773" t="n"/>
      <c r="N17" s="774" t="n"/>
      <c r="O17" s="544">
        <f>VeriGiris!P11</f>
        <v/>
      </c>
      <c r="P17" s="773" t="n"/>
      <c r="Q17" s="774" t="n"/>
      <c r="R17" s="544">
        <f>VeriGiris!S11</f>
        <v/>
      </c>
      <c r="S17" s="773" t="n"/>
      <c r="T17" s="774" t="n"/>
      <c r="U17" s="544">
        <f>VeriGiris!V11</f>
        <v/>
      </c>
      <c r="V17" s="773" t="n"/>
      <c r="W17" s="774" t="n"/>
      <c r="X17" s="62" t="n"/>
      <c r="Y17" s="62" t="n"/>
    </row>
    <row r="18" ht="35.25" customHeight="1" s="321">
      <c r="B18" s="371" t="inlineStr">
        <is>
          <t>B- UYGUN OLMAYAN HARCAMALAR 
          (B1+B2+B3+B4+B5+B6+B7)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543">
        <f>VeriGiris!M12</f>
        <v/>
      </c>
      <c r="M18" s="773" t="n"/>
      <c r="N18" s="774" t="n"/>
      <c r="O18" s="543">
        <f>VeriGiris!P12</f>
        <v/>
      </c>
      <c r="P18" s="773" t="n"/>
      <c r="Q18" s="774" t="n"/>
      <c r="R18" s="543">
        <f>VeriGiris!S12</f>
        <v/>
      </c>
      <c r="S18" s="773" t="n"/>
      <c r="T18" s="774" t="n"/>
      <c r="U18" s="543">
        <f>VeriGiris!V12</f>
        <v/>
      </c>
      <c r="V18" s="773" t="n"/>
      <c r="W18" s="774" t="n"/>
      <c r="X18" s="62" t="n"/>
      <c r="Y18" s="62" t="n"/>
    </row>
    <row r="19" ht="18" customHeight="1" s="321">
      <c r="B19" s="332" t="inlineStr">
        <is>
          <t>B1 – Yapım İşleri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544">
        <f>VeriGiris!M13</f>
        <v/>
      </c>
      <c r="M19" s="773" t="n"/>
      <c r="N19" s="774" t="n"/>
      <c r="O19" s="544">
        <f>VeriGiris!P13</f>
        <v/>
      </c>
      <c r="P19" s="773" t="n"/>
      <c r="Q19" s="774" t="n"/>
      <c r="R19" s="544">
        <f>VeriGiris!S13</f>
        <v/>
      </c>
      <c r="S19" s="773" t="n"/>
      <c r="T19" s="774" t="n"/>
      <c r="U19" s="544">
        <f>VeriGiris!V13</f>
        <v/>
      </c>
      <c r="V19" s="773" t="n"/>
      <c r="W19" s="774" t="n"/>
      <c r="X19" s="62" t="n"/>
      <c r="Y19" s="62" t="n"/>
    </row>
    <row r="20" ht="18" customHeight="1" s="321">
      <c r="B20" s="332" t="inlineStr">
        <is>
          <t>B2 – Makine ve Ekipman Alımları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544">
        <f>VeriGiris!M14</f>
        <v/>
      </c>
      <c r="M20" s="773" t="n"/>
      <c r="N20" s="774" t="n"/>
      <c r="O20" s="544">
        <f>VeriGiris!P14</f>
        <v/>
      </c>
      <c r="P20" s="773" t="n"/>
      <c r="Q20" s="774" t="n"/>
      <c r="R20" s="544">
        <f>VeriGiris!S14</f>
        <v/>
      </c>
      <c r="S20" s="773" t="n"/>
      <c r="T20" s="774" t="n"/>
      <c r="U20" s="544">
        <f>VeriGiris!V14</f>
        <v/>
      </c>
      <c r="V20" s="773" t="n"/>
      <c r="W20" s="774" t="n"/>
      <c r="X20" s="62" t="n"/>
      <c r="Y20" s="62" t="n"/>
    </row>
    <row r="21" ht="18" customHeight="1" s="321">
      <c r="B21" s="332" t="inlineStr">
        <is>
          <t>B3 – Diğer Harcamalar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544">
        <f>VeriGiris!M15</f>
        <v/>
      </c>
      <c r="M21" s="773" t="n"/>
      <c r="N21" s="774" t="n"/>
      <c r="O21" s="544">
        <f>VeriGiris!P15</f>
        <v/>
      </c>
      <c r="P21" s="773" t="n"/>
      <c r="Q21" s="774" t="n"/>
      <c r="R21" s="544">
        <f>VeriGiris!S15</f>
        <v/>
      </c>
      <c r="S21" s="773" t="n"/>
      <c r="T21" s="774" t="n"/>
      <c r="U21" s="544">
        <f>VeriGiris!V15</f>
        <v/>
      </c>
      <c r="V21" s="773" t="n"/>
      <c r="W21" s="774" t="n"/>
      <c r="X21" s="62" t="n"/>
      <c r="Y21" s="62" t="n"/>
    </row>
    <row r="22" ht="18" customHeight="1" s="321">
      <c r="B22" s="332" t="inlineStr">
        <is>
          <t>B4 - Genel Harcamalar (Hizmet Alımları)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544">
        <f>VeriGiris!M16</f>
        <v/>
      </c>
      <c r="M22" s="773" t="n"/>
      <c r="N22" s="774" t="n"/>
      <c r="O22" s="544">
        <f>VeriGiris!P16</f>
        <v/>
      </c>
      <c r="P22" s="773" t="n"/>
      <c r="Q22" s="774" t="n"/>
      <c r="R22" s="544">
        <f>VeriGiris!S16</f>
        <v/>
      </c>
      <c r="S22" s="773" t="n"/>
      <c r="T22" s="774" t="n"/>
      <c r="U22" s="544">
        <f>VeriGiris!V16</f>
        <v/>
      </c>
      <c r="V22" s="773" t="n"/>
      <c r="W22" s="774" t="n"/>
      <c r="X22" s="62" t="n"/>
      <c r="Y22" s="62" t="n"/>
    </row>
    <row r="23" ht="18" customHeight="1" s="321">
      <c r="B23" s="332" t="inlineStr">
        <is>
          <t xml:space="preserve">B5 – İşletme Sermayesi Değişimi 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544">
        <f>VeriGiris!M17</f>
        <v/>
      </c>
      <c r="M23" s="773" t="n"/>
      <c r="N23" s="774" t="n"/>
      <c r="O23" s="544">
        <f>VeriGiris!P17</f>
        <v/>
      </c>
      <c r="P23" s="773" t="n"/>
      <c r="Q23" s="774" t="n"/>
      <c r="R23" s="544">
        <f>VeriGiris!S17</f>
        <v/>
      </c>
      <c r="S23" s="773" t="n"/>
      <c r="T23" s="774" t="n"/>
      <c r="U23" s="544">
        <f>VeriGiris!V17</f>
        <v/>
      </c>
      <c r="V23" s="773" t="n"/>
      <c r="W23" s="774" t="n"/>
      <c r="X23" s="62" t="n"/>
      <c r="Y23" s="62" t="n"/>
    </row>
    <row r="24" ht="18" customHeight="1" s="321">
      <c r="B24" s="332" t="inlineStr">
        <is>
          <t>B6 – Yatırım Dönemi Finansman Giderleri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544">
        <f>VeriGiris!M18</f>
        <v/>
      </c>
      <c r="M24" s="773" t="n"/>
      <c r="N24" s="774" t="n"/>
      <c r="O24" s="544">
        <f>VeriGiris!P18</f>
        <v/>
      </c>
      <c r="P24" s="773" t="n"/>
      <c r="Q24" s="774" t="n"/>
      <c r="R24" s="544">
        <f>VeriGiris!S18</f>
        <v/>
      </c>
      <c r="S24" s="773" t="n"/>
      <c r="T24" s="774" t="n"/>
      <c r="U24" s="544">
        <f>VeriGiris!V18</f>
        <v/>
      </c>
      <c r="V24" s="773" t="n"/>
      <c r="W24" s="774" t="n"/>
      <c r="X24" s="62" t="n"/>
      <c r="Y24" s="62" t="n"/>
    </row>
    <row r="25" ht="18" customHeight="1" s="321">
      <c r="B25" s="332" t="inlineStr">
        <is>
          <t>B7 – Yatırım Dönemi KDV Ödemeleri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544">
        <f>VeriGiris!M19</f>
        <v/>
      </c>
      <c r="M25" s="773" t="n"/>
      <c r="N25" s="774" t="n"/>
      <c r="O25" s="544">
        <f>VeriGiris!P19</f>
        <v/>
      </c>
      <c r="P25" s="773" t="n"/>
      <c r="Q25" s="774" t="n"/>
      <c r="R25" s="544">
        <f>VeriGiris!S19</f>
        <v/>
      </c>
      <c r="S25" s="773" t="n"/>
      <c r="T25" s="774" t="n"/>
      <c r="U25" s="544">
        <f>VeriGiris!V19</f>
        <v/>
      </c>
      <c r="V25" s="773" t="n"/>
      <c r="W25" s="774" t="n"/>
      <c r="X25" s="62" t="n"/>
      <c r="Y25" s="62" t="n"/>
    </row>
    <row r="26" ht="21" customHeight="1" s="321">
      <c r="B26" s="895" t="inlineStr">
        <is>
          <t>C- TOPLAM YATIRIM TUTARI (A+B)</t>
        </is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551">
        <f>VeriGiris!M20</f>
        <v/>
      </c>
      <c r="M26" s="773" t="n"/>
      <c r="N26" s="774" t="n"/>
      <c r="O26" s="551">
        <f>VeriGiris!P20</f>
        <v/>
      </c>
      <c r="P26" s="773" t="n"/>
      <c r="Q26" s="774" t="n"/>
      <c r="R26" s="551">
        <f>VeriGiris!S20</f>
        <v/>
      </c>
      <c r="S26" s="773" t="n"/>
      <c r="T26" s="774" t="n"/>
      <c r="U26" s="551">
        <f>VeriGiris!V20</f>
        <v/>
      </c>
      <c r="V26" s="773" t="n"/>
      <c r="W26" s="774" t="n"/>
      <c r="X26" s="62" t="n"/>
      <c r="Y26" s="62" t="n"/>
    </row>
    <row r="27" ht="44.25" customHeight="1" s="321">
      <c r="B27" s="894" t="inlineStr">
        <is>
          <t>FİNANSMAN KAYNAKLARI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538" t="inlineStr">
        <is>
          <t>1. Taksit Dönemi</t>
        </is>
      </c>
      <c r="M27" s="773" t="n"/>
      <c r="N27" s="774" t="n"/>
      <c r="O27" s="538" t="inlineStr">
        <is>
          <t>2. Taksit
Dönemi</t>
        </is>
      </c>
      <c r="P27" s="773" t="n"/>
      <c r="Q27" s="774" t="n"/>
      <c r="R27" s="538" t="inlineStr">
        <is>
          <t>3. Taksit Dönemi</t>
        </is>
      </c>
      <c r="S27" s="773" t="n"/>
      <c r="T27" s="774" t="n"/>
      <c r="U27" s="529" t="inlineStr">
        <is>
          <t>Toplam (TL)</t>
        </is>
      </c>
      <c r="V27" s="773" t="n"/>
      <c r="W27" s="774" t="n"/>
      <c r="X27" s="62" t="n"/>
      <c r="Y27" s="62" t="n"/>
    </row>
    <row r="28" ht="18" customHeight="1" s="321">
      <c r="B28" s="483" t="inlineStr">
        <is>
          <t>D- ÖZKAYNAK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544">
        <f>VeriGiris!M21</f>
        <v/>
      </c>
      <c r="M28" s="773" t="n"/>
      <c r="N28" s="774" t="n"/>
      <c r="O28" s="544">
        <f>VeriGiris!P21</f>
        <v/>
      </c>
      <c r="P28" s="773" t="n"/>
      <c r="Q28" s="774" t="n"/>
      <c r="R28" s="544">
        <f>VeriGiris!S21</f>
        <v/>
      </c>
      <c r="S28" s="773" t="n"/>
      <c r="T28" s="774" t="n"/>
      <c r="U28" s="544">
        <f>VeriGiris!V21</f>
        <v/>
      </c>
      <c r="V28" s="773" t="n"/>
      <c r="W28" s="774" t="n"/>
      <c r="X28" s="62" t="n"/>
      <c r="Y28" s="62" t="n"/>
    </row>
    <row r="29" ht="18" customHeight="1" s="321">
      <c r="B29" s="483" t="inlineStr">
        <is>
          <t>E- BANKA KREDİSİ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544">
        <f>VeriGiris!M22</f>
        <v/>
      </c>
      <c r="M29" s="773" t="n"/>
      <c r="N29" s="774" t="n"/>
      <c r="O29" s="544">
        <f>VeriGiris!P22</f>
        <v/>
      </c>
      <c r="P29" s="773" t="n"/>
      <c r="Q29" s="774" t="n"/>
      <c r="R29" s="544">
        <f>VeriGiris!S22</f>
        <v/>
      </c>
      <c r="S29" s="773" t="n"/>
      <c r="T29" s="774" t="n"/>
      <c r="U29" s="544">
        <f>VeriGiris!V22</f>
        <v/>
      </c>
      <c r="V29" s="773" t="n"/>
      <c r="W29" s="774" t="n"/>
      <c r="X29" s="62" t="n"/>
      <c r="Y29" s="62" t="n"/>
    </row>
    <row r="30" ht="18" customHeight="1" s="321">
      <c r="B30" s="483" t="inlineStr">
        <is>
          <t>F- IPARD DESTEK TUTARI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544">
        <f>VeriGiris!M23</f>
        <v/>
      </c>
      <c r="M30" s="773" t="n"/>
      <c r="N30" s="774" t="n"/>
      <c r="O30" s="544">
        <f>VeriGiris!P23</f>
        <v/>
      </c>
      <c r="P30" s="773" t="n"/>
      <c r="Q30" s="774" t="n"/>
      <c r="R30" s="544">
        <f>VeriGiris!S23</f>
        <v/>
      </c>
      <c r="S30" s="773" t="n"/>
      <c r="T30" s="774" t="n"/>
      <c r="U30" s="544">
        <f>VeriGiris!V23</f>
        <v/>
      </c>
      <c r="V30" s="773" t="n"/>
      <c r="W30" s="774" t="n"/>
      <c r="X30" s="62" t="n"/>
      <c r="Y30" s="62" t="n"/>
    </row>
    <row r="31" ht="18" customHeight="1" s="321">
      <c r="B31" s="332" t="inlineStr">
        <is>
          <t>F1 -  1.Taksit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558" t="n"/>
      <c r="M31" s="773" t="n"/>
      <c r="N31" s="774" t="n"/>
      <c r="O31" s="544">
        <f>VeriGiris!P24</f>
        <v/>
      </c>
      <c r="P31" s="773" t="n"/>
      <c r="Q31" s="774" t="n"/>
      <c r="R31" s="544">
        <f>VeriGiris!S24</f>
        <v/>
      </c>
      <c r="S31" s="773" t="n"/>
      <c r="T31" s="774" t="n"/>
      <c r="U31" s="544">
        <f>VeriGiris!V24</f>
        <v/>
      </c>
      <c r="V31" s="773" t="n"/>
      <c r="W31" s="774" t="n"/>
      <c r="X31" s="62" t="n"/>
      <c r="Y31" s="62" t="n"/>
    </row>
    <row r="32" ht="18" customHeight="1" s="321">
      <c r="B32" s="332" t="inlineStr">
        <is>
          <t>F2 -  2.Taksit</t>
        </is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558" t="n"/>
      <c r="M32" s="773" t="n"/>
      <c r="N32" s="774" t="n"/>
      <c r="O32" s="558" t="n"/>
      <c r="P32" s="773" t="n"/>
      <c r="Q32" s="774" t="n"/>
      <c r="R32" s="544">
        <f>VeriGiris!S25</f>
        <v/>
      </c>
      <c r="S32" s="773" t="n"/>
      <c r="T32" s="774" t="n"/>
      <c r="U32" s="544">
        <f>VeriGiris!V25</f>
        <v/>
      </c>
      <c r="V32" s="773" t="n"/>
      <c r="W32" s="774" t="n"/>
      <c r="X32" s="62" t="n"/>
      <c r="Y32" s="62" t="n"/>
    </row>
    <row r="33" ht="18" customHeight="1" s="321">
      <c r="B33" s="483" t="inlineStr">
        <is>
          <t>G-DİĞER KAYNAKLAR</t>
        </is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544">
        <f>VeriGiris!M26</f>
        <v/>
      </c>
      <c r="M33" s="773" t="n"/>
      <c r="N33" s="774" t="n"/>
      <c r="O33" s="544">
        <f>VeriGiris!P26</f>
        <v/>
      </c>
      <c r="P33" s="773" t="n"/>
      <c r="Q33" s="774" t="n"/>
      <c r="R33" s="544">
        <f>VeriGiris!S26</f>
        <v/>
      </c>
      <c r="S33" s="773" t="n"/>
      <c r="T33" s="774" t="n"/>
      <c r="U33" s="544">
        <f>VeriGiris!V26</f>
        <v/>
      </c>
      <c r="V33" s="773" t="n"/>
      <c r="W33" s="774" t="n"/>
      <c r="X33" s="62" t="n"/>
      <c r="Y33" s="62" t="n"/>
    </row>
    <row r="34" ht="19.5" customHeight="1" s="321">
      <c r="B34" s="895" t="inlineStr">
        <is>
          <t>H-FİNANSMAN KAYNAKLARI TOPLAMI  (D+E+F+G)</t>
        </is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551">
        <f>VeriGiris!M27</f>
        <v/>
      </c>
      <c r="M34" s="773" t="n"/>
      <c r="N34" s="774" t="n"/>
      <c r="O34" s="551">
        <f>VeriGiris!P27</f>
        <v/>
      </c>
      <c r="P34" s="773" t="n"/>
      <c r="Q34" s="774" t="n"/>
      <c r="R34" s="551">
        <f>VeriGiris!S27</f>
        <v/>
      </c>
      <c r="S34" s="773" t="n"/>
      <c r="T34" s="774" t="n"/>
      <c r="U34" s="551">
        <f>VeriGiris!V27</f>
        <v/>
      </c>
      <c r="V34" s="773" t="n"/>
      <c r="W34" s="774" t="n"/>
      <c r="X34" s="62" t="n"/>
      <c r="Y34" s="62" t="n"/>
    </row>
    <row r="35" ht="9.75" customHeight="1" s="321">
      <c r="B35" s="56" t="n"/>
      <c r="C35" s="56" t="n"/>
      <c r="D35" s="56" t="n"/>
      <c r="E35" s="56" t="n"/>
      <c r="F35" s="56" t="n"/>
      <c r="G35" s="56" t="n"/>
      <c r="H35" s="56" t="n"/>
      <c r="I35" s="56" t="n"/>
      <c r="J35" s="56" t="n"/>
      <c r="K35" s="56" t="n"/>
      <c r="L35" s="57" t="n"/>
      <c r="M35" s="57" t="n"/>
      <c r="N35" s="57" t="n"/>
      <c r="O35" s="57" t="n"/>
      <c r="P35" s="57" t="n"/>
      <c r="Q35" s="58" t="n"/>
      <c r="R35" s="58" t="n"/>
      <c r="S35" s="58" t="n"/>
      <c r="T35" s="58" t="n"/>
      <c r="U35" s="58" t="n"/>
      <c r="V35" s="58" t="n"/>
      <c r="W35" s="58" t="n"/>
      <c r="X35" s="59" t="n"/>
      <c r="Y35" s="52" t="n"/>
    </row>
    <row r="36" ht="21.75" customHeight="1" s="321">
      <c r="B36" s="895" t="inlineStr">
        <is>
          <t>YATIRIM DÖNEMİ NET NAKİT AKIŞI (H-C)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551">
        <f>L34-L26</f>
        <v/>
      </c>
      <c r="M36" s="773" t="n"/>
      <c r="N36" s="774" t="n"/>
      <c r="O36" s="551">
        <f>O34-O26</f>
        <v/>
      </c>
      <c r="P36" s="773" t="n"/>
      <c r="Q36" s="774" t="n"/>
      <c r="R36" s="551">
        <f>R34-R26</f>
        <v/>
      </c>
      <c r="S36" s="773" t="n"/>
      <c r="T36" s="774" t="n"/>
      <c r="U36" s="551">
        <f>U34-U26</f>
        <v/>
      </c>
      <c r="V36" s="773" t="n"/>
      <c r="W36" s="774" t="n"/>
      <c r="X36" s="62" t="n"/>
      <c r="Y36" s="62" t="n"/>
    </row>
    <row r="37" ht="39" customHeight="1" s="321">
      <c r="B37" s="895" t="inlineStr">
        <is>
          <t>YATIRIM DÖNEMİ KÜMÜLATİF NET NAKİT AKIŞ</t>
        </is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560">
        <f>L36</f>
        <v/>
      </c>
      <c r="M37" s="773" t="n"/>
      <c r="N37" s="774" t="n"/>
      <c r="O37" s="561">
        <f>IF(taksit_sayisi&gt;1,L37+O36,"")</f>
        <v/>
      </c>
      <c r="P37" s="773" t="n"/>
      <c r="Q37" s="774" t="n"/>
      <c r="R37" s="562">
        <f>IF(taksit_sayisi&gt;2,O37+R36,"")</f>
        <v/>
      </c>
      <c r="S37" s="773" t="n"/>
      <c r="T37" s="774" t="n"/>
      <c r="U37" s="562">
        <f>U36</f>
        <v/>
      </c>
      <c r="V37" s="773" t="n"/>
      <c r="W37" s="774" t="n"/>
      <c r="X37" s="62" t="n"/>
      <c r="Y37" s="62" t="n"/>
    </row>
    <row r="38" ht="4.5" customHeight="1" s="321">
      <c r="B38" s="30" t="n"/>
      <c r="C38" s="30" t="n"/>
      <c r="D38" s="30" t="n"/>
      <c r="E38" s="30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  <c r="Y38" s="30" t="n"/>
    </row>
    <row r="39" ht="4.5" customHeight="1" s="321"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</row>
    <row r="40" ht="4.5" customHeight="1" s="321"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</row>
    <row r="41" ht="65.25" customHeight="1" s="321">
      <c r="B41" s="559">
        <f>IF(OR(L37&lt;0,O37&lt;0,R37&lt;0),"DİKKAT! Yatırım dönemi için taksitler bazında belirtilen finansman kaynakları yetersizdir. Bu haliyle proje 'Mali Sürdürebilirlik' kriterini sağlamamaktadır. 'Kümülatif net Nakit Akış' satırında negatif değer bulunmamalıdır.","")</f>
        <v/>
      </c>
      <c r="X41" s="48" t="n"/>
      <c r="Y41" s="48" t="n"/>
    </row>
    <row r="42" ht="34.5" customHeight="1" s="321"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48" t="n"/>
      <c r="V42" s="48" t="n"/>
      <c r="W42" s="48" t="n"/>
      <c r="X42" s="48" t="n"/>
      <c r="Y42" s="48" t="n"/>
    </row>
    <row r="43" ht="34.5" customHeight="1" s="321">
      <c r="B43" s="53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sMyqoUYpJRS14EC8FuQruw==" formatRows="0" sort="1" spinCount="100000" hashValue="pjOnI5UkJlyVbBdqcYQDCRO2pWzyTFu6NYlLTKR/M6xRRX3IfOuZLds30vkZNA1x4MHbwQGCuQE5AZZw21g7Tw=="/>
  <mergeCells count="144">
    <mergeCell ref="O29:Q29"/>
    <mergeCell ref="L33:N33"/>
    <mergeCell ref="R27:T27"/>
    <mergeCell ref="U32:W32"/>
    <mergeCell ref="U37:W37"/>
    <mergeCell ref="R36:T36"/>
    <mergeCell ref="B30:K30"/>
    <mergeCell ref="O22:Q22"/>
    <mergeCell ref="I4:L4"/>
    <mergeCell ref="O31:Q31"/>
    <mergeCell ref="U13:W13"/>
    <mergeCell ref="B20:K20"/>
    <mergeCell ref="R20:T20"/>
    <mergeCell ref="O21:Q21"/>
    <mergeCell ref="L25:N25"/>
    <mergeCell ref="R22:T22"/>
    <mergeCell ref="U18:W18"/>
    <mergeCell ref="B6:D6"/>
    <mergeCell ref="E8:H8"/>
    <mergeCell ref="B4:D4"/>
    <mergeCell ref="R14:T14"/>
    <mergeCell ref="R23:T23"/>
    <mergeCell ref="U34:W34"/>
    <mergeCell ref="O19:Q19"/>
    <mergeCell ref="L32:N32"/>
    <mergeCell ref="O33:Q33"/>
    <mergeCell ref="B17:K17"/>
    <mergeCell ref="U27:W27"/>
    <mergeCell ref="L13:N13"/>
    <mergeCell ref="U36:W36"/>
    <mergeCell ref="U30:W30"/>
    <mergeCell ref="B28:K28"/>
    <mergeCell ref="U17:W17"/>
    <mergeCell ref="B19:K19"/>
    <mergeCell ref="R24:T24"/>
    <mergeCell ref="L15:N15"/>
    <mergeCell ref="L24:N24"/>
    <mergeCell ref="L18:N18"/>
    <mergeCell ref="B8:D8"/>
    <mergeCell ref="B3:L3"/>
    <mergeCell ref="R26:T26"/>
    <mergeCell ref="L26:N26"/>
    <mergeCell ref="B36:K36"/>
    <mergeCell ref="U12:W12"/>
    <mergeCell ref="U21:W21"/>
    <mergeCell ref="B41:W41"/>
    <mergeCell ref="O12:Q12"/>
    <mergeCell ref="R17:T17"/>
    <mergeCell ref="I6:L6"/>
    <mergeCell ref="L34:N34"/>
    <mergeCell ref="E5:H5"/>
    <mergeCell ref="B31:K31"/>
    <mergeCell ref="O14:Q14"/>
    <mergeCell ref="B5:D5"/>
    <mergeCell ref="O23:Q23"/>
    <mergeCell ref="L36:N36"/>
    <mergeCell ref="E4:H4"/>
    <mergeCell ref="B21:K21"/>
    <mergeCell ref="O13:Q13"/>
    <mergeCell ref="U26:W26"/>
    <mergeCell ref="I7:L7"/>
    <mergeCell ref="B43:Z43"/>
    <mergeCell ref="R29:T29"/>
    <mergeCell ref="B23:K23"/>
    <mergeCell ref="O15:Q15"/>
    <mergeCell ref="O24:Q24"/>
    <mergeCell ref="L28:N28"/>
    <mergeCell ref="O18:Q18"/>
    <mergeCell ref="B13:K13"/>
    <mergeCell ref="L37:N37"/>
    <mergeCell ref="R13:T13"/>
    <mergeCell ref="L12:N12"/>
    <mergeCell ref="R31:T31"/>
    <mergeCell ref="R15:T15"/>
    <mergeCell ref="U16:W16"/>
    <mergeCell ref="U25:W25"/>
    <mergeCell ref="R37:T37"/>
    <mergeCell ref="L14:N14"/>
    <mergeCell ref="L23:N23"/>
    <mergeCell ref="R12:T12"/>
    <mergeCell ref="R21:T21"/>
    <mergeCell ref="O25:Q25"/>
    <mergeCell ref="U28:W28"/>
    <mergeCell ref="O27:Q27"/>
    <mergeCell ref="B25:K25"/>
    <mergeCell ref="O17:Q17"/>
    <mergeCell ref="U20:W20"/>
    <mergeCell ref="U14:W14"/>
    <mergeCell ref="U29:W29"/>
    <mergeCell ref="B22:K22"/>
    <mergeCell ref="R33:T33"/>
    <mergeCell ref="U23:W23"/>
    <mergeCell ref="L27:N27"/>
    <mergeCell ref="O37:Q37"/>
    <mergeCell ref="B12:K12"/>
    <mergeCell ref="U22:W22"/>
    <mergeCell ref="U31:W31"/>
    <mergeCell ref="L17:N17"/>
    <mergeCell ref="B11:W11"/>
    <mergeCell ref="U15:W15"/>
    <mergeCell ref="B14:K14"/>
    <mergeCell ref="R19:T19"/>
    <mergeCell ref="R28:T28"/>
    <mergeCell ref="L19:N19"/>
    <mergeCell ref="E6:H6"/>
    <mergeCell ref="B29:K29"/>
    <mergeCell ref="R25:T25"/>
    <mergeCell ref="R30:T30"/>
    <mergeCell ref="I8:L8"/>
    <mergeCell ref="O32:Q32"/>
    <mergeCell ref="O26:Q26"/>
    <mergeCell ref="L30:N30"/>
    <mergeCell ref="B15:K15"/>
    <mergeCell ref="E7:H7"/>
    <mergeCell ref="B24:K24"/>
    <mergeCell ref="B33:K33"/>
    <mergeCell ref="L20:N20"/>
    <mergeCell ref="O16:Q16"/>
    <mergeCell ref="L29:N29"/>
    <mergeCell ref="U24:W24"/>
    <mergeCell ref="B32:K32"/>
    <mergeCell ref="R32:T32"/>
    <mergeCell ref="U33:W33"/>
    <mergeCell ref="B26:K26"/>
    <mergeCell ref="L22:N22"/>
    <mergeCell ref="L31:N31"/>
    <mergeCell ref="B16:K16"/>
    <mergeCell ref="L21:N21"/>
    <mergeCell ref="U19:W19"/>
    <mergeCell ref="B27:K27"/>
    <mergeCell ref="B18:K18"/>
    <mergeCell ref="R18:T18"/>
    <mergeCell ref="B7:D7"/>
    <mergeCell ref="O34:Q34"/>
    <mergeCell ref="O28:Q28"/>
    <mergeCell ref="L16:N16"/>
    <mergeCell ref="O36:Q36"/>
    <mergeCell ref="O30:Q30"/>
    <mergeCell ref="B34:K34"/>
    <mergeCell ref="R34:T34"/>
    <mergeCell ref="O20:Q20"/>
    <mergeCell ref="R16:T16"/>
    <mergeCell ref="I5:L5"/>
    <mergeCell ref="B37:K37"/>
  </mergeCells>
  <conditionalFormatting sqref="B43:Z43">
    <cfRule type="containsText" priority="4" operator="containsText" dxfId="10" text="TABLODA HATA VAR">
      <formula>NOT(ISERROR(SEARCH("TABLODA HATA VAR",B43)))</formula>
    </cfRule>
  </conditionalFormatting>
  <conditionalFormatting sqref="B41:W41">
    <cfRule type="cellIs" priority="3" operator="notEqual" dxfId="9">
      <formula>""</formula>
    </cfRule>
  </conditionalFormatting>
  <conditionalFormatting sqref="L37:T37">
    <cfRule type="cellIs" priority="2" operator="lessThan" dxfId="7">
      <formula>0</formula>
    </cfRule>
  </conditionalFormatting>
  <conditionalFormatting sqref="U37:W37">
    <cfRule type="cellIs" priority="1" operator="lessThan" dxfId="7">
      <formula>0</formula>
    </cfRule>
  </conditionalFormatting>
  <pageMargins left="0.7086614173228347" right="0.7086614173228347" top="0.7480314960629921" bottom="0.7480314960629921" header="0.3149606299212598" footer="0.3149606299212598"/>
  <pageSetup orientation="portrait" paperSize="9" scale="54"/>
  <headerFooter>
    <oddHeader/>
    <oddFooter>&amp;R&amp;A - &amp;P</oddFooter>
    <evenHeader/>
    <evenFooter/>
    <firstHeader/>
    <firstFooter/>
  </headerFooter>
  <colBreaks count="2" manualBreakCount="2">
    <brk id="26" min="0" max="50" man="1"/>
    <brk id="27" min="0" max="50" man="1"/>
  </colBreaks>
</worksheet>
</file>

<file path=xl/worksheets/sheet3.xml><?xml version="1.0" encoding="utf-8"?>
<worksheet xmlns="http://schemas.openxmlformats.org/spreadsheetml/2006/main">
  <sheetPr codeName="Sayfa4">
    <tabColor theme="0"/>
    <outlinePr summaryBelow="1" summaryRight="1"/>
    <pageSetUpPr/>
  </sheetPr>
  <dimension ref="A1:AG163"/>
  <sheetViews>
    <sheetView showGridLines="0" showRowColHeaders="0" zoomScale="80" zoomScaleNormal="80" zoomScaleSheetLayoutView="70" zoomScalePageLayoutView="55" workbookViewId="0">
      <selection activeCell="B10" sqref="B10:AD10"/>
    </sheetView>
  </sheetViews>
  <sheetFormatPr baseColWidth="8" defaultColWidth="9.140625" defaultRowHeight="12.75" zeroHeight="1"/>
  <cols>
    <col width="10.5703125" customWidth="1" style="7" min="1" max="1"/>
    <col width="5.7109375" customWidth="1" style="8" min="2" max="30"/>
    <col width="14.140625" customWidth="1" style="8" min="31" max="31"/>
    <col width="5.7109375" customWidth="1" style="8" min="32" max="32"/>
    <col width="1.42578125" customWidth="1" style="34" min="33" max="33"/>
    <col width="5.7109375" customWidth="1" style="8" min="34" max="38"/>
    <col width="10.85546875" customWidth="1" style="8" min="39" max="39"/>
    <col width="5.7109375" customWidth="1" style="8" min="40" max="78"/>
    <col width="9.140625" customWidth="1" style="8" min="79" max="16384"/>
  </cols>
  <sheetData>
    <row r="1" ht="3.75" customFormat="1" customHeight="1" s="52">
      <c r="AG1" s="33" t="n"/>
    </row>
    <row r="2" ht="3.7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3.7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3.7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3.7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3.7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3.7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3.75" customFormat="1" customHeight="1" s="52">
      <c r="AG8" s="33" t="n"/>
    </row>
    <row r="9" ht="14.25" customHeight="1" s="321">
      <c r="B9" s="68" t="n"/>
      <c r="C9" s="68" t="n"/>
      <c r="D9" s="68" t="n"/>
      <c r="E9" s="68" t="n"/>
      <c r="F9" s="68" t="n"/>
      <c r="G9" s="68" t="n"/>
      <c r="H9" s="68" t="n"/>
      <c r="I9" s="68" t="n"/>
      <c r="J9" s="68" t="n"/>
      <c r="K9" s="68" t="n"/>
      <c r="L9" s="68" t="n"/>
      <c r="M9" s="68" t="n"/>
      <c r="N9" s="68" t="n"/>
      <c r="O9" s="68" t="n"/>
      <c r="P9" s="68" t="n"/>
      <c r="Q9" s="68" t="n"/>
      <c r="R9" s="68" t="n"/>
      <c r="S9" s="68" t="n"/>
      <c r="T9" s="68" t="n"/>
      <c r="U9" s="68" t="n"/>
      <c r="V9" s="68" t="n"/>
      <c r="W9" s="68" t="n"/>
      <c r="X9" s="68" t="n"/>
      <c r="Y9" s="68" t="n"/>
      <c r="Z9" s="68" t="n"/>
      <c r="AA9" s="68" t="n"/>
      <c r="AB9" s="68" t="n"/>
      <c r="AC9" s="68" t="n"/>
      <c r="AD9" s="68" t="n"/>
      <c r="AE9" s="68" t="n"/>
      <c r="AF9" s="68" t="n"/>
    </row>
    <row r="10" ht="16.5" customHeight="1" s="321">
      <c r="B10" s="563" t="inlineStr">
        <is>
          <t>Tablo 4- Kurulu Kapasite ve Tahmini Üretim Miktarı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4" t="n"/>
      <c r="AE10" s="97" t="n"/>
      <c r="AF10" s="97" t="n"/>
    </row>
    <row r="11" ht="30" customHeight="1" s="321">
      <c r="B11" s="896" t="n"/>
      <c r="C11" s="773" t="n"/>
      <c r="D11" s="773" t="n"/>
      <c r="E11" s="773" t="n"/>
      <c r="F11" s="774" t="n"/>
      <c r="G11" s="656" t="inlineStr">
        <is>
          <t>Birim (Ton, Kg, Lt, vb.)</t>
        </is>
      </c>
      <c r="H11" s="774" t="n"/>
      <c r="I11" s="656">
        <f>VeriGiris!I35</f>
        <v/>
      </c>
      <c r="J11" s="774" t="n"/>
      <c r="K11" s="656">
        <f>VeriGiris!K35</f>
        <v/>
      </c>
      <c r="L11" s="774" t="n"/>
      <c r="M11" s="656">
        <f>VeriGiris!M35</f>
        <v/>
      </c>
      <c r="N11" s="774" t="n"/>
      <c r="O11" s="656">
        <f>VeriGiris!O35</f>
        <v/>
      </c>
      <c r="P11" s="774" t="n"/>
      <c r="Q11" s="656">
        <f>VeriGiris!Q35</f>
        <v/>
      </c>
      <c r="R11" s="774" t="n"/>
      <c r="S11" s="656">
        <f>VeriGiris!S35</f>
        <v/>
      </c>
      <c r="T11" s="774" t="n"/>
      <c r="U11" s="656">
        <f>VeriGiris!U35</f>
        <v/>
      </c>
      <c r="V11" s="774" t="n"/>
      <c r="W11" s="656">
        <f>VeriGiris!W35</f>
        <v/>
      </c>
      <c r="X11" s="774" t="n"/>
      <c r="Y11" s="656">
        <f>VeriGiris!Y35</f>
        <v/>
      </c>
      <c r="Z11" s="774" t="n"/>
      <c r="AA11" s="656">
        <f>VeriGiris!AA35</f>
        <v/>
      </c>
      <c r="AB11" s="774" t="n"/>
      <c r="AC11" s="656">
        <f>VeriGiris!AC35</f>
        <v/>
      </c>
      <c r="AD11" s="774" t="n"/>
      <c r="AE11" s="64" t="n"/>
      <c r="AF11" s="64" t="n"/>
    </row>
    <row r="12" ht="17.25" customFormat="1" customHeight="1" s="10">
      <c r="A12" s="9" t="n">
        <v>1</v>
      </c>
      <c r="B12" s="572">
        <f>VeriGiris!B36</f>
        <v/>
      </c>
      <c r="C12" s="773" t="n"/>
      <c r="D12" s="773" t="n"/>
      <c r="E12" s="773" t="n"/>
      <c r="F12" s="774" t="n"/>
      <c r="G12" s="570" t="n"/>
      <c r="H12" s="774" t="n"/>
      <c r="I12" s="570" t="n"/>
      <c r="J12" s="774" t="n"/>
      <c r="K12" s="570" t="n"/>
      <c r="L12" s="774" t="n"/>
      <c r="M12" s="570" t="n"/>
      <c r="N12" s="774" t="n"/>
      <c r="O12" s="570" t="n"/>
      <c r="P12" s="774" t="n"/>
      <c r="Q12" s="570" t="n"/>
      <c r="R12" s="774" t="n"/>
      <c r="S12" s="570" t="n"/>
      <c r="T12" s="774" t="n"/>
      <c r="U12" s="570" t="n"/>
      <c r="V12" s="774" t="n"/>
      <c r="W12" s="570" t="n"/>
      <c r="X12" s="774" t="n"/>
      <c r="Y12" s="570" t="n"/>
      <c r="Z12" s="774" t="n"/>
      <c r="AA12" s="570" t="n"/>
      <c r="AB12" s="774" t="n"/>
      <c r="AC12" s="570" t="n"/>
      <c r="AD12" s="774" t="n"/>
      <c r="AE12" s="65" t="n"/>
      <c r="AF12" s="65" t="n"/>
      <c r="AG12" s="35" t="n"/>
    </row>
    <row r="13" ht="16.9" customFormat="1" customHeight="1" s="10">
      <c r="A13" s="9" t="n"/>
      <c r="B13" s="717" t="inlineStr">
        <is>
          <t xml:space="preserve">A1- Kurulu Kapasite </t>
        </is>
      </c>
      <c r="C13" s="773" t="n"/>
      <c r="D13" s="773" t="n"/>
      <c r="E13" s="773" t="n"/>
      <c r="F13" s="774" t="n"/>
      <c r="G13" s="569">
        <f>VeriGiris!G37</f>
        <v/>
      </c>
      <c r="H13" s="774" t="n"/>
      <c r="I13" s="749">
        <f>VeriGiris!I37</f>
        <v/>
      </c>
      <c r="J13" s="774" t="n"/>
      <c r="K13" s="749">
        <f>VeriGiris!K37</f>
        <v/>
      </c>
      <c r="L13" s="774" t="n"/>
      <c r="M13" s="749">
        <f>VeriGiris!M37</f>
        <v/>
      </c>
      <c r="N13" s="774" t="n"/>
      <c r="O13" s="749">
        <f>VeriGiris!O37</f>
        <v/>
      </c>
      <c r="P13" s="774" t="n"/>
      <c r="Q13" s="749">
        <f>VeriGiris!Q37</f>
        <v/>
      </c>
      <c r="R13" s="774" t="n"/>
      <c r="S13" s="749">
        <f>VeriGiris!S37</f>
        <v/>
      </c>
      <c r="T13" s="774" t="n"/>
      <c r="U13" s="749">
        <f>VeriGiris!U37</f>
        <v/>
      </c>
      <c r="V13" s="774" t="n"/>
      <c r="W13" s="749">
        <f>VeriGiris!W37</f>
        <v/>
      </c>
      <c r="X13" s="774" t="n"/>
      <c r="Y13" s="749">
        <f>VeriGiris!Y37</f>
        <v/>
      </c>
      <c r="Z13" s="774" t="n"/>
      <c r="AA13" s="749">
        <f>VeriGiris!AA37</f>
        <v/>
      </c>
      <c r="AB13" s="774" t="n"/>
      <c r="AC13" s="749">
        <f>VeriGiris!AC37</f>
        <v/>
      </c>
      <c r="AD13" s="774" t="n"/>
      <c r="AE13" s="66" t="n"/>
      <c r="AF13" s="66" t="n"/>
      <c r="AG13" s="35" t="n"/>
    </row>
    <row r="14" ht="17.25" customFormat="1" customHeight="1" s="10">
      <c r="A14" s="9" t="n"/>
      <c r="B14" s="717" t="inlineStr">
        <is>
          <t>B1- Üretim Miktarı</t>
        </is>
      </c>
      <c r="C14" s="773" t="n"/>
      <c r="D14" s="773" t="n"/>
      <c r="E14" s="773" t="n"/>
      <c r="F14" s="774" t="n"/>
      <c r="G14" s="569">
        <f>VeriGiris!G38</f>
        <v/>
      </c>
      <c r="H14" s="774" t="n"/>
      <c r="I14" s="749">
        <f>VeriGiris!I38</f>
        <v/>
      </c>
      <c r="J14" s="774" t="n"/>
      <c r="K14" s="749">
        <f>VeriGiris!K38</f>
        <v/>
      </c>
      <c r="L14" s="774" t="n"/>
      <c r="M14" s="749">
        <f>VeriGiris!M38</f>
        <v/>
      </c>
      <c r="N14" s="774" t="n"/>
      <c r="O14" s="749">
        <f>VeriGiris!O38</f>
        <v/>
      </c>
      <c r="P14" s="774" t="n"/>
      <c r="Q14" s="749">
        <f>VeriGiris!Q38</f>
        <v/>
      </c>
      <c r="R14" s="774" t="n"/>
      <c r="S14" s="749">
        <f>VeriGiris!S38</f>
        <v/>
      </c>
      <c r="T14" s="774" t="n"/>
      <c r="U14" s="749">
        <f>VeriGiris!U38</f>
        <v/>
      </c>
      <c r="V14" s="774" t="n"/>
      <c r="W14" s="749">
        <f>VeriGiris!W38</f>
        <v/>
      </c>
      <c r="X14" s="774" t="n"/>
      <c r="Y14" s="749">
        <f>VeriGiris!Y38</f>
        <v/>
      </c>
      <c r="Z14" s="774" t="n"/>
      <c r="AA14" s="749">
        <f>VeriGiris!AA38</f>
        <v/>
      </c>
      <c r="AB14" s="774" t="n"/>
      <c r="AC14" s="749">
        <f>VeriGiris!AC38</f>
        <v/>
      </c>
      <c r="AD14" s="774" t="n"/>
      <c r="AE14" s="66" t="n"/>
      <c r="AF14" s="66" t="n"/>
      <c r="AG14" s="35" t="n"/>
    </row>
    <row r="15" ht="17.25" customFormat="1" customHeight="1" s="10">
      <c r="A15" s="9" t="n"/>
      <c r="B15" s="717" t="inlineStr">
        <is>
          <t>C1-Birim Satış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66" t="n"/>
      <c r="AF15" s="66" t="n"/>
      <c r="AG15" s="35" t="n"/>
    </row>
    <row r="16" ht="27" customFormat="1" customHeight="1" s="10">
      <c r="A16" s="9" t="n"/>
      <c r="B16" s="717" t="inlineStr">
        <is>
          <t xml:space="preserve">Kapasite Kullanım Oranı
KKO1=% [(B1/A1)*100])
</t>
        </is>
      </c>
      <c r="C16" s="773" t="n"/>
      <c r="D16" s="773" t="n"/>
      <c r="E16" s="773" t="n"/>
      <c r="F16" s="774" t="n"/>
      <c r="G16" s="571" t="inlineStr">
        <is>
          <t>-</t>
        </is>
      </c>
      <c r="H16" s="774" t="n"/>
      <c r="I16" s="566">
        <f>IFERROR(I14/I13,0)</f>
        <v/>
      </c>
      <c r="J16" s="774" t="n"/>
      <c r="K16" s="566">
        <f>IFERROR(K14/K13,0)</f>
        <v/>
      </c>
      <c r="L16" s="774" t="n"/>
      <c r="M16" s="566">
        <f>IFERROR(M14/M13,0)</f>
        <v/>
      </c>
      <c r="N16" s="774" t="n"/>
      <c r="O16" s="566">
        <f>IFERROR(O14/O13,0)</f>
        <v/>
      </c>
      <c r="P16" s="774" t="n"/>
      <c r="Q16" s="566">
        <f>IFERROR(Q14/Q13,0)</f>
        <v/>
      </c>
      <c r="R16" s="774" t="n"/>
      <c r="S16" s="566">
        <f>IFERROR(S14/S13,0)</f>
        <v/>
      </c>
      <c r="T16" s="774" t="n"/>
      <c r="U16" s="566">
        <f>IFERROR(U14/U13,0)</f>
        <v/>
      </c>
      <c r="V16" s="774" t="n"/>
      <c r="W16" s="566">
        <f>IFERROR(W14/W13,0)</f>
        <v/>
      </c>
      <c r="X16" s="774" t="n"/>
      <c r="Y16" s="566">
        <f>IFERROR(Y14/Y13,0)</f>
        <v/>
      </c>
      <c r="Z16" s="774" t="n"/>
      <c r="AA16" s="566">
        <f>IFERROR(AA14/AA13,0)</f>
        <v/>
      </c>
      <c r="AB16" s="774" t="n"/>
      <c r="AC16" s="566">
        <f>IFERROR(AC14/AC13,0)</f>
        <v/>
      </c>
      <c r="AD16" s="774" t="n"/>
      <c r="AE16" s="67" t="n"/>
      <c r="AF16" s="67" t="n"/>
      <c r="AG16" s="35" t="n"/>
    </row>
    <row r="17" hidden="1" ht="17.25" customFormat="1" customHeight="1" s="10">
      <c r="A17" s="9" t="n">
        <v>2</v>
      </c>
      <c r="B17" s="572">
        <f>VeriGiris!B42</f>
        <v/>
      </c>
      <c r="C17" s="773" t="n"/>
      <c r="D17" s="773" t="n"/>
      <c r="E17" s="773" t="n"/>
      <c r="F17" s="774" t="n"/>
      <c r="G17" s="570" t="n"/>
      <c r="H17" s="774" t="n"/>
      <c r="I17" s="570" t="n"/>
      <c r="J17" s="774" t="n"/>
      <c r="K17" s="570" t="n"/>
      <c r="L17" s="774" t="n"/>
      <c r="M17" s="570" t="n"/>
      <c r="N17" s="774" t="n"/>
      <c r="O17" s="570" t="n"/>
      <c r="P17" s="774" t="n"/>
      <c r="Q17" s="570" t="n"/>
      <c r="R17" s="774" t="n"/>
      <c r="S17" s="570" t="n"/>
      <c r="T17" s="774" t="n"/>
      <c r="U17" s="570" t="n"/>
      <c r="V17" s="774" t="n"/>
      <c r="W17" s="570" t="n"/>
      <c r="X17" s="774" t="n"/>
      <c r="Y17" s="570" t="n"/>
      <c r="Z17" s="774" t="n"/>
      <c r="AA17" s="570" t="n"/>
      <c r="AB17" s="774" t="n"/>
      <c r="AC17" s="570" t="n"/>
      <c r="AD17" s="774" t="n"/>
      <c r="AE17" s="65" t="n"/>
      <c r="AF17" s="65" t="n"/>
      <c r="AG17" s="35" t="n"/>
    </row>
    <row r="18" hidden="1" ht="17.25" customFormat="1" customHeight="1" s="10">
      <c r="A18" s="9" t="n"/>
      <c r="B18" s="717" t="inlineStr">
        <is>
          <t xml:space="preserve">A2- Kurulu Kapasite </t>
        </is>
      </c>
      <c r="C18" s="773" t="n"/>
      <c r="D18" s="773" t="n"/>
      <c r="E18" s="773" t="n"/>
      <c r="F18" s="774" t="n"/>
      <c r="G18" s="569">
        <f>VeriGiris!G43</f>
        <v/>
      </c>
      <c r="H18" s="774" t="n"/>
      <c r="I18" s="749">
        <f>VeriGiris!I43</f>
        <v/>
      </c>
      <c r="J18" s="774" t="n"/>
      <c r="K18" s="749">
        <f>VeriGiris!K43</f>
        <v/>
      </c>
      <c r="L18" s="774" t="n"/>
      <c r="M18" s="749">
        <f>VeriGiris!M43</f>
        <v/>
      </c>
      <c r="N18" s="774" t="n"/>
      <c r="O18" s="749">
        <f>VeriGiris!O43</f>
        <v/>
      </c>
      <c r="P18" s="774" t="n"/>
      <c r="Q18" s="749">
        <f>VeriGiris!Q43</f>
        <v/>
      </c>
      <c r="R18" s="774" t="n"/>
      <c r="S18" s="749">
        <f>VeriGiris!S43</f>
        <v/>
      </c>
      <c r="T18" s="774" t="n"/>
      <c r="U18" s="749">
        <f>VeriGiris!U43</f>
        <v/>
      </c>
      <c r="V18" s="774" t="n"/>
      <c r="W18" s="749">
        <f>VeriGiris!W43</f>
        <v/>
      </c>
      <c r="X18" s="774" t="n"/>
      <c r="Y18" s="749">
        <f>VeriGiris!Y43</f>
        <v/>
      </c>
      <c r="Z18" s="774" t="n"/>
      <c r="AA18" s="749">
        <f>VeriGiris!AA43</f>
        <v/>
      </c>
      <c r="AB18" s="774" t="n"/>
      <c r="AC18" s="749">
        <f>VeriGiris!AC43</f>
        <v/>
      </c>
      <c r="AD18" s="774" t="n"/>
      <c r="AE18" s="66" t="n"/>
      <c r="AF18" s="66" t="n"/>
      <c r="AG18" s="35" t="n"/>
    </row>
    <row r="19" hidden="1" ht="17.25" customFormat="1" customHeight="1" s="10">
      <c r="A19" s="9" t="n"/>
      <c r="B19" s="717" t="inlineStr">
        <is>
          <t>B2- Üretim Miktarı</t>
        </is>
      </c>
      <c r="C19" s="773" t="n"/>
      <c r="D19" s="773" t="n"/>
      <c r="E19" s="773" t="n"/>
      <c r="F19" s="774" t="n"/>
      <c r="G19" s="569">
        <f>VeriGiris!G44</f>
        <v/>
      </c>
      <c r="H19" s="774" t="n"/>
      <c r="I19" s="749">
        <f>VeriGiris!I44</f>
        <v/>
      </c>
      <c r="J19" s="774" t="n"/>
      <c r="K19" s="749">
        <f>VeriGiris!K44</f>
        <v/>
      </c>
      <c r="L19" s="774" t="n"/>
      <c r="M19" s="749">
        <f>VeriGiris!M44</f>
        <v/>
      </c>
      <c r="N19" s="774" t="n"/>
      <c r="O19" s="749">
        <f>VeriGiris!O44</f>
        <v/>
      </c>
      <c r="P19" s="774" t="n"/>
      <c r="Q19" s="749">
        <f>VeriGiris!Q44</f>
        <v/>
      </c>
      <c r="R19" s="774" t="n"/>
      <c r="S19" s="749">
        <f>VeriGiris!S44</f>
        <v/>
      </c>
      <c r="T19" s="774" t="n"/>
      <c r="U19" s="749">
        <f>VeriGiris!U44</f>
        <v/>
      </c>
      <c r="V19" s="774" t="n"/>
      <c r="W19" s="749">
        <f>VeriGiris!W44</f>
        <v/>
      </c>
      <c r="X19" s="774" t="n"/>
      <c r="Y19" s="749">
        <f>VeriGiris!Y44</f>
        <v/>
      </c>
      <c r="Z19" s="774" t="n"/>
      <c r="AA19" s="749">
        <f>VeriGiris!AA44</f>
        <v/>
      </c>
      <c r="AB19" s="774" t="n"/>
      <c r="AC19" s="749">
        <f>VeriGiris!AC44</f>
        <v/>
      </c>
      <c r="AD19" s="774" t="n"/>
      <c r="AE19" s="66" t="n"/>
      <c r="AF19" s="66" t="n"/>
      <c r="AG19" s="35" t="n"/>
    </row>
    <row r="20" hidden="1" ht="17.25" customFormat="1" customHeight="1" s="10">
      <c r="A20" s="9" t="n"/>
      <c r="B20" s="717" t="inlineStr">
        <is>
          <t>C2-Birim Satış Fiyatı</t>
        </is>
      </c>
      <c r="C20" s="773" t="n"/>
      <c r="D20" s="773" t="n"/>
      <c r="E20" s="773" t="n"/>
      <c r="F20" s="774" t="n"/>
      <c r="G20" s="569">
        <f>VeriGiris!G46</f>
        <v/>
      </c>
      <c r="H20" s="774" t="n"/>
      <c r="I20" s="749">
        <f>VeriGiris!I46</f>
        <v/>
      </c>
      <c r="J20" s="774" t="n"/>
      <c r="K20" s="749">
        <f>VeriGiris!K46</f>
        <v/>
      </c>
      <c r="L20" s="774" t="n"/>
      <c r="M20" s="749">
        <f>VeriGiris!M46</f>
        <v/>
      </c>
      <c r="N20" s="774" t="n"/>
      <c r="O20" s="749">
        <f>VeriGiris!O46</f>
        <v/>
      </c>
      <c r="P20" s="774" t="n"/>
      <c r="Q20" s="749">
        <f>VeriGiris!Q46</f>
        <v/>
      </c>
      <c r="R20" s="774" t="n"/>
      <c r="S20" s="749">
        <f>VeriGiris!S46</f>
        <v/>
      </c>
      <c r="T20" s="774" t="n"/>
      <c r="U20" s="749">
        <f>VeriGiris!U46</f>
        <v/>
      </c>
      <c r="V20" s="774" t="n"/>
      <c r="W20" s="749">
        <f>VeriGiris!W46</f>
        <v/>
      </c>
      <c r="X20" s="774" t="n"/>
      <c r="Y20" s="749">
        <f>VeriGiris!Y46</f>
        <v/>
      </c>
      <c r="Z20" s="774" t="n"/>
      <c r="AA20" s="749">
        <f>VeriGiris!AA46</f>
        <v/>
      </c>
      <c r="AB20" s="774" t="n"/>
      <c r="AC20" s="749">
        <f>VeriGiris!AC46</f>
        <v/>
      </c>
      <c r="AD20" s="774" t="n"/>
      <c r="AE20" s="66" t="n"/>
      <c r="AF20" s="66" t="n"/>
      <c r="AG20" s="35" t="n"/>
    </row>
    <row r="21" hidden="1" ht="27" customFormat="1" customHeight="1" s="10">
      <c r="A21" s="9" t="n"/>
      <c r="B21" s="717" t="inlineStr">
        <is>
          <t>Kapasite Kullanım Oranı
KKO2=% [(B2/A2)*100])</t>
        </is>
      </c>
      <c r="C21" s="773" t="n"/>
      <c r="D21" s="773" t="n"/>
      <c r="E21" s="773" t="n"/>
      <c r="F21" s="774" t="n"/>
      <c r="G21" s="571" t="inlineStr">
        <is>
          <t>-</t>
        </is>
      </c>
      <c r="H21" s="774" t="n"/>
      <c r="I21" s="566">
        <f>IFERROR(I19/I18,0)</f>
        <v/>
      </c>
      <c r="J21" s="774" t="n"/>
      <c r="K21" s="566">
        <f>IFERROR(K19/K18,0)</f>
        <v/>
      </c>
      <c r="L21" s="774" t="n"/>
      <c r="M21" s="566">
        <f>IFERROR(M19/M18,0)</f>
        <v/>
      </c>
      <c r="N21" s="774" t="n"/>
      <c r="O21" s="566">
        <f>IFERROR(O19/O18,0)</f>
        <v/>
      </c>
      <c r="P21" s="774" t="n"/>
      <c r="Q21" s="566">
        <f>IFERROR(Q19/Q18,0)</f>
        <v/>
      </c>
      <c r="R21" s="774" t="n"/>
      <c r="S21" s="566">
        <f>IFERROR(S19/S18,0)</f>
        <v/>
      </c>
      <c r="T21" s="774" t="n"/>
      <c r="U21" s="566">
        <f>IFERROR(U19/U18,0)</f>
        <v/>
      </c>
      <c r="V21" s="774" t="n"/>
      <c r="W21" s="566">
        <f>IFERROR(W19/W18,0)</f>
        <v/>
      </c>
      <c r="X21" s="774" t="n"/>
      <c r="Y21" s="566">
        <f>IFERROR(Y19/Y18,0)</f>
        <v/>
      </c>
      <c r="Z21" s="774" t="n"/>
      <c r="AA21" s="566">
        <f>IFERROR(AA19/AA18,0)</f>
        <v/>
      </c>
      <c r="AB21" s="774" t="n"/>
      <c r="AC21" s="566">
        <f>IFERROR(AC19/AC18,0)</f>
        <v/>
      </c>
      <c r="AD21" s="774" t="n"/>
      <c r="AE21" s="67" t="n"/>
      <c r="AF21" s="67" t="n"/>
      <c r="AG21" s="35" t="n"/>
    </row>
    <row r="22" hidden="1" ht="17.25" customFormat="1" customHeight="1" s="10">
      <c r="A22" s="9" t="n">
        <v>3</v>
      </c>
      <c r="B22" s="572">
        <f>VeriGiris!B48</f>
        <v/>
      </c>
      <c r="C22" s="773" t="n"/>
      <c r="D22" s="773" t="n"/>
      <c r="E22" s="773" t="n"/>
      <c r="F22" s="774" t="n"/>
      <c r="G22" s="570" t="n"/>
      <c r="H22" s="774" t="n"/>
      <c r="I22" s="570" t="n"/>
      <c r="J22" s="774" t="n"/>
      <c r="K22" s="570" t="n"/>
      <c r="L22" s="774" t="n"/>
      <c r="M22" s="570" t="n"/>
      <c r="N22" s="774" t="n"/>
      <c r="O22" s="570" t="n"/>
      <c r="P22" s="774" t="n"/>
      <c r="Q22" s="570" t="n"/>
      <c r="R22" s="774" t="n"/>
      <c r="S22" s="570" t="n"/>
      <c r="T22" s="774" t="n"/>
      <c r="U22" s="570" t="n"/>
      <c r="V22" s="774" t="n"/>
      <c r="W22" s="570" t="n"/>
      <c r="X22" s="774" t="n"/>
      <c r="Y22" s="570" t="n"/>
      <c r="Z22" s="774" t="n"/>
      <c r="AA22" s="570" t="n"/>
      <c r="AB22" s="774" t="n"/>
      <c r="AC22" s="570" t="n"/>
      <c r="AD22" s="774" t="n"/>
      <c r="AE22" s="65" t="n"/>
      <c r="AF22" s="65" t="n"/>
      <c r="AG22" s="35" t="n"/>
    </row>
    <row r="23" hidden="1" ht="17.25" customFormat="1" customHeight="1" s="10">
      <c r="A23" s="9" t="n"/>
      <c r="B23" s="717" t="inlineStr">
        <is>
          <t xml:space="preserve">A3- Kurulu Kapasite </t>
        </is>
      </c>
      <c r="C23" s="773" t="n"/>
      <c r="D23" s="773" t="n"/>
      <c r="E23" s="773" t="n"/>
      <c r="F23" s="774" t="n"/>
      <c r="G23" s="569">
        <f>VeriGiris!G49</f>
        <v/>
      </c>
      <c r="H23" s="774" t="n"/>
      <c r="I23" s="749">
        <f>VeriGiris!I49</f>
        <v/>
      </c>
      <c r="J23" s="774" t="n"/>
      <c r="K23" s="749">
        <f>VeriGiris!K49</f>
        <v/>
      </c>
      <c r="L23" s="774" t="n"/>
      <c r="M23" s="749">
        <f>VeriGiris!M49</f>
        <v/>
      </c>
      <c r="N23" s="774" t="n"/>
      <c r="O23" s="749">
        <f>VeriGiris!O49</f>
        <v/>
      </c>
      <c r="P23" s="774" t="n"/>
      <c r="Q23" s="749">
        <f>VeriGiris!Q49</f>
        <v/>
      </c>
      <c r="R23" s="774" t="n"/>
      <c r="S23" s="749">
        <f>VeriGiris!S49</f>
        <v/>
      </c>
      <c r="T23" s="774" t="n"/>
      <c r="U23" s="749">
        <f>VeriGiris!U49</f>
        <v/>
      </c>
      <c r="V23" s="774" t="n"/>
      <c r="W23" s="749">
        <f>VeriGiris!W49</f>
        <v/>
      </c>
      <c r="X23" s="774" t="n"/>
      <c r="Y23" s="749">
        <f>VeriGiris!Y49</f>
        <v/>
      </c>
      <c r="Z23" s="774" t="n"/>
      <c r="AA23" s="749">
        <f>VeriGiris!AA49</f>
        <v/>
      </c>
      <c r="AB23" s="774" t="n"/>
      <c r="AC23" s="749">
        <f>VeriGiris!AC49</f>
        <v/>
      </c>
      <c r="AD23" s="774" t="n"/>
      <c r="AE23" s="66" t="n"/>
      <c r="AF23" s="66" t="n"/>
      <c r="AG23" s="35" t="n"/>
    </row>
    <row r="24" hidden="1" ht="17.25" customFormat="1" customHeight="1" s="10">
      <c r="A24" s="9" t="n"/>
      <c r="B24" s="717" t="inlineStr">
        <is>
          <t>B3- Üretim Miktarı</t>
        </is>
      </c>
      <c r="C24" s="773" t="n"/>
      <c r="D24" s="773" t="n"/>
      <c r="E24" s="773" t="n"/>
      <c r="F24" s="774" t="n"/>
      <c r="G24" s="569">
        <f>VeriGiris!G50</f>
        <v/>
      </c>
      <c r="H24" s="774" t="n"/>
      <c r="I24" s="749">
        <f>VeriGiris!I50</f>
        <v/>
      </c>
      <c r="J24" s="774" t="n"/>
      <c r="K24" s="749">
        <f>VeriGiris!K50</f>
        <v/>
      </c>
      <c r="L24" s="774" t="n"/>
      <c r="M24" s="749">
        <f>VeriGiris!M50</f>
        <v/>
      </c>
      <c r="N24" s="774" t="n"/>
      <c r="O24" s="749">
        <f>VeriGiris!O50</f>
        <v/>
      </c>
      <c r="P24" s="774" t="n"/>
      <c r="Q24" s="749">
        <f>VeriGiris!Q50</f>
        <v/>
      </c>
      <c r="R24" s="774" t="n"/>
      <c r="S24" s="749">
        <f>VeriGiris!S50</f>
        <v/>
      </c>
      <c r="T24" s="774" t="n"/>
      <c r="U24" s="749">
        <f>VeriGiris!U50</f>
        <v/>
      </c>
      <c r="V24" s="774" t="n"/>
      <c r="W24" s="749">
        <f>VeriGiris!W50</f>
        <v/>
      </c>
      <c r="X24" s="774" t="n"/>
      <c r="Y24" s="749">
        <f>VeriGiris!Y50</f>
        <v/>
      </c>
      <c r="Z24" s="774" t="n"/>
      <c r="AA24" s="749">
        <f>VeriGiris!AA50</f>
        <v/>
      </c>
      <c r="AB24" s="774" t="n"/>
      <c r="AC24" s="749">
        <f>VeriGiris!AC50</f>
        <v/>
      </c>
      <c r="AD24" s="774" t="n"/>
      <c r="AE24" s="66" t="n"/>
      <c r="AF24" s="66" t="n"/>
      <c r="AG24" s="35" t="n"/>
    </row>
    <row r="25" hidden="1" ht="17.25" customFormat="1" customHeight="1" s="10">
      <c r="A25" s="9" t="n"/>
      <c r="B25" s="717" t="inlineStr">
        <is>
          <t>C3-Birim Satış Fiyatı</t>
        </is>
      </c>
      <c r="C25" s="773" t="n"/>
      <c r="D25" s="773" t="n"/>
      <c r="E25" s="773" t="n"/>
      <c r="F25" s="774" t="n"/>
      <c r="G25" s="569">
        <f>VeriGiris!G52</f>
        <v/>
      </c>
      <c r="H25" s="774" t="n"/>
      <c r="I25" s="749">
        <f>VeriGiris!I52</f>
        <v/>
      </c>
      <c r="J25" s="774" t="n"/>
      <c r="K25" s="749">
        <f>VeriGiris!K52</f>
        <v/>
      </c>
      <c r="L25" s="774" t="n"/>
      <c r="M25" s="749">
        <f>VeriGiris!M52</f>
        <v/>
      </c>
      <c r="N25" s="774" t="n"/>
      <c r="O25" s="749">
        <f>VeriGiris!O52</f>
        <v/>
      </c>
      <c r="P25" s="774" t="n"/>
      <c r="Q25" s="749">
        <f>VeriGiris!Q52</f>
        <v/>
      </c>
      <c r="R25" s="774" t="n"/>
      <c r="S25" s="749">
        <f>VeriGiris!S52</f>
        <v/>
      </c>
      <c r="T25" s="774" t="n"/>
      <c r="U25" s="749">
        <f>VeriGiris!U52</f>
        <v/>
      </c>
      <c r="V25" s="774" t="n"/>
      <c r="W25" s="749">
        <f>VeriGiris!W52</f>
        <v/>
      </c>
      <c r="X25" s="774" t="n"/>
      <c r="Y25" s="749">
        <f>VeriGiris!Y52</f>
        <v/>
      </c>
      <c r="Z25" s="774" t="n"/>
      <c r="AA25" s="749">
        <f>VeriGiris!AA52</f>
        <v/>
      </c>
      <c r="AB25" s="774" t="n"/>
      <c r="AC25" s="749">
        <f>VeriGiris!AC52</f>
        <v/>
      </c>
      <c r="AD25" s="774" t="n"/>
      <c r="AE25" s="66" t="n"/>
      <c r="AF25" s="66" t="n"/>
      <c r="AG25" s="35" t="n"/>
    </row>
    <row r="26" hidden="1" ht="27" customFormat="1" customHeight="1" s="10">
      <c r="A26" s="9" t="n"/>
      <c r="B26" s="717" t="inlineStr">
        <is>
          <t>Kapasite Kullanım Oranı
KKO3=% [(B3/A3)*100])</t>
        </is>
      </c>
      <c r="C26" s="773" t="n"/>
      <c r="D26" s="773" t="n"/>
      <c r="E26" s="773" t="n"/>
      <c r="F26" s="774" t="n"/>
      <c r="G26" s="571" t="inlineStr">
        <is>
          <t>-</t>
        </is>
      </c>
      <c r="H26" s="774" t="n"/>
      <c r="I26" s="566">
        <f>IFERROR(I24/I23,0)</f>
        <v/>
      </c>
      <c r="J26" s="774" t="n"/>
      <c r="K26" s="566">
        <f>IFERROR(K24/K23,0)</f>
        <v/>
      </c>
      <c r="L26" s="774" t="n"/>
      <c r="M26" s="566">
        <f>IFERROR(M24/M23,0)</f>
        <v/>
      </c>
      <c r="N26" s="774" t="n"/>
      <c r="O26" s="566">
        <f>IFERROR(O24/O23,0)</f>
        <v/>
      </c>
      <c r="P26" s="774" t="n"/>
      <c r="Q26" s="566">
        <f>IFERROR(Q24/Q23,0)</f>
        <v/>
      </c>
      <c r="R26" s="774" t="n"/>
      <c r="S26" s="566">
        <f>IFERROR(S24/S23,0)</f>
        <v/>
      </c>
      <c r="T26" s="774" t="n"/>
      <c r="U26" s="566">
        <f>IFERROR(U24/U23,0)</f>
        <v/>
      </c>
      <c r="V26" s="774" t="n"/>
      <c r="W26" s="566">
        <f>IFERROR(W24/W23,0)</f>
        <v/>
      </c>
      <c r="X26" s="774" t="n"/>
      <c r="Y26" s="566">
        <f>IFERROR(Y24/Y23,0)</f>
        <v/>
      </c>
      <c r="Z26" s="774" t="n"/>
      <c r="AA26" s="566">
        <f>IFERROR(AA24/AA23,0)</f>
        <v/>
      </c>
      <c r="AB26" s="774" t="n"/>
      <c r="AC26" s="566">
        <f>IFERROR(AC24/AC23,0)</f>
        <v/>
      </c>
      <c r="AD26" s="774" t="n"/>
      <c r="AE26" s="67" t="n"/>
      <c r="AF26" s="67" t="n"/>
      <c r="AG26" s="35" t="n"/>
    </row>
    <row r="27" hidden="1" ht="17.25" customFormat="1" customHeight="1" s="10">
      <c r="A27" s="9" t="n">
        <v>4</v>
      </c>
      <c r="B27" s="572">
        <f>VeriGiris!B54</f>
        <v/>
      </c>
      <c r="C27" s="773" t="n"/>
      <c r="D27" s="773" t="n"/>
      <c r="E27" s="773" t="n"/>
      <c r="F27" s="774" t="n"/>
      <c r="G27" s="570" t="n"/>
      <c r="H27" s="774" t="n"/>
      <c r="I27" s="570" t="n"/>
      <c r="J27" s="774" t="n"/>
      <c r="K27" s="570" t="n"/>
      <c r="L27" s="774" t="n"/>
      <c r="M27" s="570" t="n"/>
      <c r="N27" s="774" t="n"/>
      <c r="O27" s="570" t="n"/>
      <c r="P27" s="774" t="n"/>
      <c r="Q27" s="570" t="n"/>
      <c r="R27" s="774" t="n"/>
      <c r="S27" s="570" t="n"/>
      <c r="T27" s="774" t="n"/>
      <c r="U27" s="570" t="n"/>
      <c r="V27" s="774" t="n"/>
      <c r="W27" s="570" t="n"/>
      <c r="X27" s="774" t="n"/>
      <c r="Y27" s="570" t="n"/>
      <c r="Z27" s="774" t="n"/>
      <c r="AA27" s="570" t="n"/>
      <c r="AB27" s="774" t="n"/>
      <c r="AC27" s="570" t="n"/>
      <c r="AD27" s="774" t="n"/>
      <c r="AE27" s="65" t="n"/>
      <c r="AF27" s="65" t="n"/>
      <c r="AG27" s="35" t="n"/>
    </row>
    <row r="28" hidden="1" ht="17.25" customFormat="1" customHeight="1" s="10">
      <c r="A28" s="9" t="n"/>
      <c r="B28" s="717" t="inlineStr">
        <is>
          <t xml:space="preserve">A4- Kurulu Kapasite </t>
        </is>
      </c>
      <c r="C28" s="773" t="n"/>
      <c r="D28" s="773" t="n"/>
      <c r="E28" s="773" t="n"/>
      <c r="F28" s="774" t="n"/>
      <c r="G28" s="569">
        <f>VeriGiris!G55</f>
        <v/>
      </c>
      <c r="H28" s="774" t="n"/>
      <c r="I28" s="749">
        <f>VeriGiris!I55</f>
        <v/>
      </c>
      <c r="J28" s="774" t="n"/>
      <c r="K28" s="749">
        <f>VeriGiris!K55</f>
        <v/>
      </c>
      <c r="L28" s="774" t="n"/>
      <c r="M28" s="749">
        <f>VeriGiris!M55</f>
        <v/>
      </c>
      <c r="N28" s="774" t="n"/>
      <c r="O28" s="749">
        <f>VeriGiris!O55</f>
        <v/>
      </c>
      <c r="P28" s="774" t="n"/>
      <c r="Q28" s="749">
        <f>VeriGiris!Q55</f>
        <v/>
      </c>
      <c r="R28" s="774" t="n"/>
      <c r="S28" s="749">
        <f>VeriGiris!S55</f>
        <v/>
      </c>
      <c r="T28" s="774" t="n"/>
      <c r="U28" s="749">
        <f>VeriGiris!U55</f>
        <v/>
      </c>
      <c r="V28" s="774" t="n"/>
      <c r="W28" s="749">
        <f>VeriGiris!W55</f>
        <v/>
      </c>
      <c r="X28" s="774" t="n"/>
      <c r="Y28" s="749">
        <f>VeriGiris!Y55</f>
        <v/>
      </c>
      <c r="Z28" s="774" t="n"/>
      <c r="AA28" s="749">
        <f>VeriGiris!AA55</f>
        <v/>
      </c>
      <c r="AB28" s="774" t="n"/>
      <c r="AC28" s="749">
        <f>VeriGiris!AC55</f>
        <v/>
      </c>
      <c r="AD28" s="774" t="n"/>
      <c r="AE28" s="66" t="n"/>
      <c r="AF28" s="66" t="n"/>
      <c r="AG28" s="35" t="n"/>
    </row>
    <row r="29" hidden="1" ht="17.25" customFormat="1" customHeight="1" s="10">
      <c r="A29" s="9" t="n"/>
      <c r="B29" s="717" t="inlineStr">
        <is>
          <t>B4- Üretim Miktarı</t>
        </is>
      </c>
      <c r="C29" s="773" t="n"/>
      <c r="D29" s="773" t="n"/>
      <c r="E29" s="773" t="n"/>
      <c r="F29" s="774" t="n"/>
      <c r="G29" s="569">
        <f>VeriGiris!G56</f>
        <v/>
      </c>
      <c r="H29" s="774" t="n"/>
      <c r="I29" s="749">
        <f>VeriGiris!I56</f>
        <v/>
      </c>
      <c r="J29" s="774" t="n"/>
      <c r="K29" s="749">
        <f>VeriGiris!K56</f>
        <v/>
      </c>
      <c r="L29" s="774" t="n"/>
      <c r="M29" s="749">
        <f>VeriGiris!M56</f>
        <v/>
      </c>
      <c r="N29" s="774" t="n"/>
      <c r="O29" s="749">
        <f>VeriGiris!O56</f>
        <v/>
      </c>
      <c r="P29" s="774" t="n"/>
      <c r="Q29" s="749">
        <f>VeriGiris!Q56</f>
        <v/>
      </c>
      <c r="R29" s="774" t="n"/>
      <c r="S29" s="749">
        <f>VeriGiris!S56</f>
        <v/>
      </c>
      <c r="T29" s="774" t="n"/>
      <c r="U29" s="749">
        <f>VeriGiris!U56</f>
        <v/>
      </c>
      <c r="V29" s="774" t="n"/>
      <c r="W29" s="749">
        <f>VeriGiris!W56</f>
        <v/>
      </c>
      <c r="X29" s="774" t="n"/>
      <c r="Y29" s="749">
        <f>VeriGiris!Y56</f>
        <v/>
      </c>
      <c r="Z29" s="774" t="n"/>
      <c r="AA29" s="749">
        <f>VeriGiris!AA56</f>
        <v/>
      </c>
      <c r="AB29" s="774" t="n"/>
      <c r="AC29" s="749">
        <f>VeriGiris!AC56</f>
        <v/>
      </c>
      <c r="AD29" s="774" t="n"/>
      <c r="AE29" s="66" t="n"/>
      <c r="AF29" s="66" t="n"/>
      <c r="AG29" s="35" t="n"/>
    </row>
    <row r="30" hidden="1" ht="17.25" customFormat="1" customHeight="1" s="10">
      <c r="A30" s="9" t="n"/>
      <c r="B30" s="717" t="inlineStr">
        <is>
          <t>C4-Birim Satış Fiyatı</t>
        </is>
      </c>
      <c r="C30" s="773" t="n"/>
      <c r="D30" s="773" t="n"/>
      <c r="E30" s="773" t="n"/>
      <c r="F30" s="774" t="n"/>
      <c r="G30" s="569">
        <f>VeriGiris!G58</f>
        <v/>
      </c>
      <c r="H30" s="774" t="n"/>
      <c r="I30" s="749">
        <f>VeriGiris!I58</f>
        <v/>
      </c>
      <c r="J30" s="774" t="n"/>
      <c r="K30" s="749">
        <f>VeriGiris!K58</f>
        <v/>
      </c>
      <c r="L30" s="774" t="n"/>
      <c r="M30" s="749">
        <f>VeriGiris!M58</f>
        <v/>
      </c>
      <c r="N30" s="774" t="n"/>
      <c r="O30" s="749">
        <f>VeriGiris!O58</f>
        <v/>
      </c>
      <c r="P30" s="774" t="n"/>
      <c r="Q30" s="749">
        <f>VeriGiris!Q58</f>
        <v/>
      </c>
      <c r="R30" s="774" t="n"/>
      <c r="S30" s="749">
        <f>VeriGiris!S58</f>
        <v/>
      </c>
      <c r="T30" s="774" t="n"/>
      <c r="U30" s="749">
        <f>VeriGiris!U58</f>
        <v/>
      </c>
      <c r="V30" s="774" t="n"/>
      <c r="W30" s="749">
        <f>VeriGiris!W58</f>
        <v/>
      </c>
      <c r="X30" s="774" t="n"/>
      <c r="Y30" s="749">
        <f>VeriGiris!Y58</f>
        <v/>
      </c>
      <c r="Z30" s="774" t="n"/>
      <c r="AA30" s="749">
        <f>VeriGiris!AA58</f>
        <v/>
      </c>
      <c r="AB30" s="774" t="n"/>
      <c r="AC30" s="749">
        <f>VeriGiris!AC58</f>
        <v/>
      </c>
      <c r="AD30" s="774" t="n"/>
      <c r="AE30" s="66" t="n"/>
      <c r="AF30" s="66" t="n"/>
      <c r="AG30" s="35" t="n"/>
    </row>
    <row r="31" hidden="1" ht="27" customFormat="1" customHeight="1" s="10">
      <c r="A31" s="9" t="n"/>
      <c r="B31" s="717" t="inlineStr">
        <is>
          <t xml:space="preserve">Kapasite Kullanım Oranı
KKO4=% [(B4/A4)*100])
</t>
        </is>
      </c>
      <c r="C31" s="773" t="n"/>
      <c r="D31" s="773" t="n"/>
      <c r="E31" s="773" t="n"/>
      <c r="F31" s="774" t="n"/>
      <c r="G31" s="571" t="inlineStr">
        <is>
          <t>-</t>
        </is>
      </c>
      <c r="H31" s="774" t="n"/>
      <c r="I31" s="566">
        <f>IFERROR(I29/I28,0)</f>
        <v/>
      </c>
      <c r="J31" s="774" t="n"/>
      <c r="K31" s="566">
        <f>IFERROR(K29/K28,0)</f>
        <v/>
      </c>
      <c r="L31" s="774" t="n"/>
      <c r="M31" s="566">
        <f>IFERROR(M29/M28,0)</f>
        <v/>
      </c>
      <c r="N31" s="774" t="n"/>
      <c r="O31" s="566">
        <f>IFERROR(O29/O28,0)</f>
        <v/>
      </c>
      <c r="P31" s="774" t="n"/>
      <c r="Q31" s="566">
        <f>IFERROR(Q29/Q28,0)</f>
        <v/>
      </c>
      <c r="R31" s="774" t="n"/>
      <c r="S31" s="566">
        <f>IFERROR(S29/S28,0)</f>
        <v/>
      </c>
      <c r="T31" s="774" t="n"/>
      <c r="U31" s="566">
        <f>IFERROR(U29/U28,0)</f>
        <v/>
      </c>
      <c r="V31" s="774" t="n"/>
      <c r="W31" s="566">
        <f>IFERROR(W29/W28,0)</f>
        <v/>
      </c>
      <c r="X31" s="774" t="n"/>
      <c r="Y31" s="566">
        <f>IFERROR(Y29/Y28,0)</f>
        <v/>
      </c>
      <c r="Z31" s="774" t="n"/>
      <c r="AA31" s="566">
        <f>IFERROR(AA29/AA28,0)</f>
        <v/>
      </c>
      <c r="AB31" s="774" t="n"/>
      <c r="AC31" s="566">
        <f>IFERROR(AC29/AC28,0)</f>
        <v/>
      </c>
      <c r="AD31" s="774" t="n"/>
      <c r="AE31" s="67" t="n"/>
      <c r="AF31" s="67" t="n"/>
      <c r="AG31" s="35" t="n"/>
    </row>
    <row r="32" hidden="1" ht="17.25" customFormat="1" customHeight="1" s="10">
      <c r="A32" s="9" t="n">
        <v>5</v>
      </c>
      <c r="B32" s="572">
        <f>VeriGiris!B60</f>
        <v/>
      </c>
      <c r="C32" s="773" t="n"/>
      <c r="D32" s="773" t="n"/>
      <c r="E32" s="773" t="n"/>
      <c r="F32" s="774" t="n"/>
      <c r="G32" s="570" t="n"/>
      <c r="H32" s="774" t="n"/>
      <c r="I32" s="570" t="n"/>
      <c r="J32" s="774" t="n"/>
      <c r="K32" s="570" t="n"/>
      <c r="L32" s="774" t="n"/>
      <c r="M32" s="570" t="n"/>
      <c r="N32" s="774" t="n"/>
      <c r="O32" s="570" t="n"/>
      <c r="P32" s="774" t="n"/>
      <c r="Q32" s="570" t="n"/>
      <c r="R32" s="774" t="n"/>
      <c r="S32" s="570" t="n"/>
      <c r="T32" s="774" t="n"/>
      <c r="U32" s="570" t="n"/>
      <c r="V32" s="774" t="n"/>
      <c r="W32" s="570" t="n"/>
      <c r="X32" s="774" t="n"/>
      <c r="Y32" s="570" t="n"/>
      <c r="Z32" s="774" t="n"/>
      <c r="AA32" s="570" t="n"/>
      <c r="AB32" s="774" t="n"/>
      <c r="AC32" s="570" t="n"/>
      <c r="AD32" s="774" t="n"/>
      <c r="AE32" s="65" t="n"/>
      <c r="AF32" s="65" t="n"/>
      <c r="AG32" s="35" t="n"/>
    </row>
    <row r="33" hidden="1" ht="17.25" customFormat="1" customHeight="1" s="10">
      <c r="A33" s="9" t="n"/>
      <c r="B33" s="717" t="inlineStr">
        <is>
          <t xml:space="preserve">A5- Kurulu Kapasite </t>
        </is>
      </c>
      <c r="C33" s="773" t="n"/>
      <c r="D33" s="773" t="n"/>
      <c r="E33" s="773" t="n"/>
      <c r="F33" s="774" t="n"/>
      <c r="G33" s="569">
        <f>VeriGiris!G61</f>
        <v/>
      </c>
      <c r="H33" s="774" t="n"/>
      <c r="I33" s="749">
        <f>VeriGiris!I61</f>
        <v/>
      </c>
      <c r="J33" s="774" t="n"/>
      <c r="K33" s="749">
        <f>VeriGiris!K61</f>
        <v/>
      </c>
      <c r="L33" s="774" t="n"/>
      <c r="M33" s="749">
        <f>VeriGiris!M61</f>
        <v/>
      </c>
      <c r="N33" s="774" t="n"/>
      <c r="O33" s="749">
        <f>VeriGiris!O61</f>
        <v/>
      </c>
      <c r="P33" s="774" t="n"/>
      <c r="Q33" s="749">
        <f>VeriGiris!Q61</f>
        <v/>
      </c>
      <c r="R33" s="774" t="n"/>
      <c r="S33" s="749">
        <f>VeriGiris!S61</f>
        <v/>
      </c>
      <c r="T33" s="774" t="n"/>
      <c r="U33" s="749">
        <f>VeriGiris!U61</f>
        <v/>
      </c>
      <c r="V33" s="774" t="n"/>
      <c r="W33" s="749">
        <f>VeriGiris!W61</f>
        <v/>
      </c>
      <c r="X33" s="774" t="n"/>
      <c r="Y33" s="749">
        <f>VeriGiris!Y61</f>
        <v/>
      </c>
      <c r="Z33" s="774" t="n"/>
      <c r="AA33" s="749">
        <f>VeriGiris!AA61</f>
        <v/>
      </c>
      <c r="AB33" s="774" t="n"/>
      <c r="AC33" s="749">
        <f>VeriGiris!AC61</f>
        <v/>
      </c>
      <c r="AD33" s="774" t="n"/>
      <c r="AE33" s="66" t="n"/>
      <c r="AF33" s="66" t="n"/>
      <c r="AG33" s="35" t="n"/>
    </row>
    <row r="34" hidden="1" ht="17.25" customFormat="1" customHeight="1" s="10">
      <c r="A34" s="9" t="n"/>
      <c r="B34" s="717" t="inlineStr">
        <is>
          <t>B5- Üretim Miktarı</t>
        </is>
      </c>
      <c r="C34" s="773" t="n"/>
      <c r="D34" s="773" t="n"/>
      <c r="E34" s="773" t="n"/>
      <c r="F34" s="774" t="n"/>
      <c r="G34" s="569">
        <f>VeriGiris!G62</f>
        <v/>
      </c>
      <c r="H34" s="774" t="n"/>
      <c r="I34" s="749">
        <f>VeriGiris!I62</f>
        <v/>
      </c>
      <c r="J34" s="774" t="n"/>
      <c r="K34" s="749">
        <f>VeriGiris!K62</f>
        <v/>
      </c>
      <c r="L34" s="774" t="n"/>
      <c r="M34" s="749">
        <f>VeriGiris!M62</f>
        <v/>
      </c>
      <c r="N34" s="774" t="n"/>
      <c r="O34" s="749">
        <f>VeriGiris!O62</f>
        <v/>
      </c>
      <c r="P34" s="774" t="n"/>
      <c r="Q34" s="749">
        <f>VeriGiris!Q62</f>
        <v/>
      </c>
      <c r="R34" s="774" t="n"/>
      <c r="S34" s="749">
        <f>VeriGiris!S62</f>
        <v/>
      </c>
      <c r="T34" s="774" t="n"/>
      <c r="U34" s="749">
        <f>VeriGiris!U62</f>
        <v/>
      </c>
      <c r="V34" s="774" t="n"/>
      <c r="W34" s="749">
        <f>VeriGiris!W62</f>
        <v/>
      </c>
      <c r="X34" s="774" t="n"/>
      <c r="Y34" s="749">
        <f>VeriGiris!Y62</f>
        <v/>
      </c>
      <c r="Z34" s="774" t="n"/>
      <c r="AA34" s="749">
        <f>VeriGiris!AA62</f>
        <v/>
      </c>
      <c r="AB34" s="774" t="n"/>
      <c r="AC34" s="749">
        <f>VeriGiris!AC62</f>
        <v/>
      </c>
      <c r="AD34" s="774" t="n"/>
      <c r="AE34" s="66" t="n"/>
      <c r="AF34" s="66" t="n"/>
      <c r="AG34" s="35" t="n"/>
    </row>
    <row r="35" hidden="1" ht="17.25" customFormat="1" customHeight="1" s="10">
      <c r="A35" s="9" t="n"/>
      <c r="B35" s="717" t="inlineStr">
        <is>
          <t>C5-Birim Satış Fiyatı</t>
        </is>
      </c>
      <c r="C35" s="773" t="n"/>
      <c r="D35" s="773" t="n"/>
      <c r="E35" s="773" t="n"/>
      <c r="F35" s="774" t="n"/>
      <c r="G35" s="569">
        <f>VeriGiris!G64</f>
        <v/>
      </c>
      <c r="H35" s="774" t="n"/>
      <c r="I35" s="749">
        <f>VeriGiris!I64</f>
        <v/>
      </c>
      <c r="J35" s="774" t="n"/>
      <c r="K35" s="749">
        <f>VeriGiris!K64</f>
        <v/>
      </c>
      <c r="L35" s="774" t="n"/>
      <c r="M35" s="749">
        <f>VeriGiris!M64</f>
        <v/>
      </c>
      <c r="N35" s="774" t="n"/>
      <c r="O35" s="749">
        <f>VeriGiris!O64</f>
        <v/>
      </c>
      <c r="P35" s="774" t="n"/>
      <c r="Q35" s="749">
        <f>VeriGiris!Q64</f>
        <v/>
      </c>
      <c r="R35" s="774" t="n"/>
      <c r="S35" s="749">
        <f>VeriGiris!S64</f>
        <v/>
      </c>
      <c r="T35" s="774" t="n"/>
      <c r="U35" s="749">
        <f>VeriGiris!U64</f>
        <v/>
      </c>
      <c r="V35" s="774" t="n"/>
      <c r="W35" s="749">
        <f>VeriGiris!W64</f>
        <v/>
      </c>
      <c r="X35" s="774" t="n"/>
      <c r="Y35" s="749">
        <f>VeriGiris!Y64</f>
        <v/>
      </c>
      <c r="Z35" s="774" t="n"/>
      <c r="AA35" s="749">
        <f>VeriGiris!AA64</f>
        <v/>
      </c>
      <c r="AB35" s="774" t="n"/>
      <c r="AC35" s="749">
        <f>VeriGiris!AC64</f>
        <v/>
      </c>
      <c r="AD35" s="774" t="n"/>
      <c r="AE35" s="66" t="n"/>
      <c r="AF35" s="66" t="n"/>
      <c r="AG35" s="35" t="n"/>
    </row>
    <row r="36" hidden="1" ht="27" customFormat="1" customHeight="1" s="10">
      <c r="A36" s="9" t="n"/>
      <c r="B36" s="717" t="inlineStr">
        <is>
          <t>Kapasite Kullanım Oranı
KKO5=% [(B5/A5)*100])</t>
        </is>
      </c>
      <c r="C36" s="773" t="n"/>
      <c r="D36" s="773" t="n"/>
      <c r="E36" s="773" t="n"/>
      <c r="F36" s="774" t="n"/>
      <c r="G36" s="571" t="inlineStr">
        <is>
          <t>-</t>
        </is>
      </c>
      <c r="H36" s="774" t="n"/>
      <c r="I36" s="566">
        <f>IFERROR(I34/I33,0)</f>
        <v/>
      </c>
      <c r="J36" s="774" t="n"/>
      <c r="K36" s="566">
        <f>IFERROR(K34/K33,0)</f>
        <v/>
      </c>
      <c r="L36" s="774" t="n"/>
      <c r="M36" s="566">
        <f>IFERROR(M34/M33,0)</f>
        <v/>
      </c>
      <c r="N36" s="774" t="n"/>
      <c r="O36" s="566">
        <f>IFERROR(O34/O33,0)</f>
        <v/>
      </c>
      <c r="P36" s="774" t="n"/>
      <c r="Q36" s="566">
        <f>IFERROR(Q34/Q33,0)</f>
        <v/>
      </c>
      <c r="R36" s="774" t="n"/>
      <c r="S36" s="566">
        <f>IFERROR(S34/S33,0)</f>
        <v/>
      </c>
      <c r="T36" s="774" t="n"/>
      <c r="U36" s="566">
        <f>IFERROR(U34/U33,0)</f>
        <v/>
      </c>
      <c r="V36" s="774" t="n"/>
      <c r="W36" s="566">
        <f>IFERROR(W34/W33,0)</f>
        <v/>
      </c>
      <c r="X36" s="774" t="n"/>
      <c r="Y36" s="566">
        <f>IFERROR(Y34/Y33,0)</f>
        <v/>
      </c>
      <c r="Z36" s="774" t="n"/>
      <c r="AA36" s="566">
        <f>IFERROR(AA34/AA33,0)</f>
        <v/>
      </c>
      <c r="AB36" s="774" t="n"/>
      <c r="AC36" s="566">
        <f>IFERROR(AC34/AC33,0)</f>
        <v/>
      </c>
      <c r="AD36" s="774" t="n"/>
      <c r="AE36" s="67" t="n"/>
      <c r="AF36" s="67" t="n"/>
      <c r="AG36" s="35" t="n"/>
    </row>
    <row r="37" hidden="1" ht="17.25" customFormat="1" customHeight="1" s="10">
      <c r="A37" s="9" t="n">
        <v>6</v>
      </c>
      <c r="B37" s="572">
        <f>VeriGiris!B66</f>
        <v/>
      </c>
      <c r="C37" s="773" t="n"/>
      <c r="D37" s="773" t="n"/>
      <c r="E37" s="773" t="n"/>
      <c r="F37" s="774" t="n"/>
      <c r="G37" s="570" t="n"/>
      <c r="H37" s="774" t="n"/>
      <c r="I37" s="570" t="n"/>
      <c r="J37" s="774" t="n"/>
      <c r="K37" s="570" t="n"/>
      <c r="L37" s="774" t="n"/>
      <c r="M37" s="570" t="n"/>
      <c r="N37" s="774" t="n"/>
      <c r="O37" s="570" t="n"/>
      <c r="P37" s="774" t="n"/>
      <c r="Q37" s="570" t="n"/>
      <c r="R37" s="774" t="n"/>
      <c r="S37" s="570" t="n"/>
      <c r="T37" s="774" t="n"/>
      <c r="U37" s="570" t="n"/>
      <c r="V37" s="774" t="n"/>
      <c r="W37" s="570" t="n"/>
      <c r="X37" s="774" t="n"/>
      <c r="Y37" s="570" t="n"/>
      <c r="Z37" s="774" t="n"/>
      <c r="AA37" s="570" t="n"/>
      <c r="AB37" s="774" t="n"/>
      <c r="AC37" s="570" t="n"/>
      <c r="AD37" s="774" t="n"/>
      <c r="AE37" s="65" t="n"/>
      <c r="AF37" s="65" t="n"/>
      <c r="AG37" s="35" t="n"/>
    </row>
    <row r="38" hidden="1" ht="17.25" customFormat="1" customHeight="1" s="10">
      <c r="A38" s="9" t="n"/>
      <c r="B38" s="717" t="inlineStr">
        <is>
          <t xml:space="preserve">A6- Kurulu Kapasite </t>
        </is>
      </c>
      <c r="C38" s="773" t="n"/>
      <c r="D38" s="773" t="n"/>
      <c r="E38" s="773" t="n"/>
      <c r="F38" s="774" t="n"/>
      <c r="G38" s="569">
        <f>VeriGiris!G67</f>
        <v/>
      </c>
      <c r="H38" s="774" t="n"/>
      <c r="I38" s="749">
        <f>VeriGiris!I67</f>
        <v/>
      </c>
      <c r="J38" s="774" t="n"/>
      <c r="K38" s="749">
        <f>VeriGiris!K67</f>
        <v/>
      </c>
      <c r="L38" s="774" t="n"/>
      <c r="M38" s="749">
        <f>VeriGiris!M67</f>
        <v/>
      </c>
      <c r="N38" s="774" t="n"/>
      <c r="O38" s="749">
        <f>VeriGiris!O67</f>
        <v/>
      </c>
      <c r="P38" s="774" t="n"/>
      <c r="Q38" s="749">
        <f>VeriGiris!Q67</f>
        <v/>
      </c>
      <c r="R38" s="774" t="n"/>
      <c r="S38" s="749">
        <f>VeriGiris!S67</f>
        <v/>
      </c>
      <c r="T38" s="774" t="n"/>
      <c r="U38" s="749">
        <f>VeriGiris!U67</f>
        <v/>
      </c>
      <c r="V38" s="774" t="n"/>
      <c r="W38" s="749">
        <f>VeriGiris!W67</f>
        <v/>
      </c>
      <c r="X38" s="774" t="n"/>
      <c r="Y38" s="749">
        <f>VeriGiris!Y67</f>
        <v/>
      </c>
      <c r="Z38" s="774" t="n"/>
      <c r="AA38" s="749">
        <f>VeriGiris!AA67</f>
        <v/>
      </c>
      <c r="AB38" s="774" t="n"/>
      <c r="AC38" s="749">
        <f>VeriGiris!AC67</f>
        <v/>
      </c>
      <c r="AD38" s="774" t="n"/>
      <c r="AE38" s="66" t="n"/>
      <c r="AF38" s="66" t="n"/>
      <c r="AG38" s="35" t="n"/>
    </row>
    <row r="39" hidden="1" ht="17.25" customFormat="1" customHeight="1" s="10">
      <c r="A39" s="9" t="n"/>
      <c r="B39" s="717" t="inlineStr">
        <is>
          <t>B6- Üretim Miktarı</t>
        </is>
      </c>
      <c r="C39" s="773" t="n"/>
      <c r="D39" s="773" t="n"/>
      <c r="E39" s="773" t="n"/>
      <c r="F39" s="774" t="n"/>
      <c r="G39" s="569">
        <f>VeriGiris!G68</f>
        <v/>
      </c>
      <c r="H39" s="774" t="n"/>
      <c r="I39" s="749">
        <f>VeriGiris!I68</f>
        <v/>
      </c>
      <c r="J39" s="774" t="n"/>
      <c r="K39" s="749">
        <f>VeriGiris!K68</f>
        <v/>
      </c>
      <c r="L39" s="774" t="n"/>
      <c r="M39" s="749">
        <f>VeriGiris!M68</f>
        <v/>
      </c>
      <c r="N39" s="774" t="n"/>
      <c r="O39" s="749">
        <f>VeriGiris!O68</f>
        <v/>
      </c>
      <c r="P39" s="774" t="n"/>
      <c r="Q39" s="749">
        <f>VeriGiris!Q68</f>
        <v/>
      </c>
      <c r="R39" s="774" t="n"/>
      <c r="S39" s="749">
        <f>VeriGiris!S68</f>
        <v/>
      </c>
      <c r="T39" s="774" t="n"/>
      <c r="U39" s="749">
        <f>VeriGiris!U68</f>
        <v/>
      </c>
      <c r="V39" s="774" t="n"/>
      <c r="W39" s="749">
        <f>VeriGiris!W68</f>
        <v/>
      </c>
      <c r="X39" s="774" t="n"/>
      <c r="Y39" s="749">
        <f>VeriGiris!Y68</f>
        <v/>
      </c>
      <c r="Z39" s="774" t="n"/>
      <c r="AA39" s="749">
        <f>VeriGiris!AA68</f>
        <v/>
      </c>
      <c r="AB39" s="774" t="n"/>
      <c r="AC39" s="749">
        <f>VeriGiris!AC68</f>
        <v/>
      </c>
      <c r="AD39" s="774" t="n"/>
      <c r="AE39" s="66" t="n"/>
      <c r="AF39" s="66" t="n"/>
      <c r="AG39" s="35" t="n"/>
    </row>
    <row r="40" hidden="1" ht="17.25" customFormat="1" customHeight="1" s="10">
      <c r="A40" s="9" t="n"/>
      <c r="B40" s="717" t="inlineStr">
        <is>
          <t>C6-Birim Satış Fiyatı</t>
        </is>
      </c>
      <c r="C40" s="773" t="n"/>
      <c r="D40" s="773" t="n"/>
      <c r="E40" s="773" t="n"/>
      <c r="F40" s="774" t="n"/>
      <c r="G40" s="569">
        <f>VeriGiris!G70</f>
        <v/>
      </c>
      <c r="H40" s="774" t="n"/>
      <c r="I40" s="749">
        <f>VeriGiris!I70</f>
        <v/>
      </c>
      <c r="J40" s="774" t="n"/>
      <c r="K40" s="749">
        <f>VeriGiris!K70</f>
        <v/>
      </c>
      <c r="L40" s="774" t="n"/>
      <c r="M40" s="749">
        <f>VeriGiris!M70</f>
        <v/>
      </c>
      <c r="N40" s="774" t="n"/>
      <c r="O40" s="749">
        <f>VeriGiris!O70</f>
        <v/>
      </c>
      <c r="P40" s="774" t="n"/>
      <c r="Q40" s="749">
        <f>VeriGiris!Q70</f>
        <v/>
      </c>
      <c r="R40" s="774" t="n"/>
      <c r="S40" s="749">
        <f>VeriGiris!S70</f>
        <v/>
      </c>
      <c r="T40" s="774" t="n"/>
      <c r="U40" s="749">
        <f>VeriGiris!U70</f>
        <v/>
      </c>
      <c r="V40" s="774" t="n"/>
      <c r="W40" s="749">
        <f>VeriGiris!W70</f>
        <v/>
      </c>
      <c r="X40" s="774" t="n"/>
      <c r="Y40" s="749">
        <f>VeriGiris!Y70</f>
        <v/>
      </c>
      <c r="Z40" s="774" t="n"/>
      <c r="AA40" s="749">
        <f>VeriGiris!AA70</f>
        <v/>
      </c>
      <c r="AB40" s="774" t="n"/>
      <c r="AC40" s="749">
        <f>VeriGiris!AC70</f>
        <v/>
      </c>
      <c r="AD40" s="774" t="n"/>
      <c r="AE40" s="66" t="n"/>
      <c r="AF40" s="66" t="n"/>
      <c r="AG40" s="35" t="n"/>
    </row>
    <row r="41" hidden="1" ht="27" customFormat="1" customHeight="1" s="10">
      <c r="A41" s="9" t="n"/>
      <c r="B41" s="717" t="inlineStr">
        <is>
          <t xml:space="preserve">Kapasite Kullanım Oranı
KKO6=% [(B6/A6)*100])
</t>
        </is>
      </c>
      <c r="C41" s="773" t="n"/>
      <c r="D41" s="773" t="n"/>
      <c r="E41" s="773" t="n"/>
      <c r="F41" s="774" t="n"/>
      <c r="G41" s="571" t="inlineStr">
        <is>
          <t>-</t>
        </is>
      </c>
      <c r="H41" s="774" t="n"/>
      <c r="I41" s="566">
        <f>IFERROR(I39/I38,0)</f>
        <v/>
      </c>
      <c r="J41" s="774" t="n"/>
      <c r="K41" s="566">
        <f>IFERROR(K39/K38,0)</f>
        <v/>
      </c>
      <c r="L41" s="774" t="n"/>
      <c r="M41" s="566">
        <f>IFERROR(M39/M38,0)</f>
        <v/>
      </c>
      <c r="N41" s="774" t="n"/>
      <c r="O41" s="566">
        <f>IFERROR(O39/O38,0)</f>
        <v/>
      </c>
      <c r="P41" s="774" t="n"/>
      <c r="Q41" s="566">
        <f>IFERROR(Q39/Q38,0)</f>
        <v/>
      </c>
      <c r="R41" s="774" t="n"/>
      <c r="S41" s="566">
        <f>IFERROR(S39/S38,0)</f>
        <v/>
      </c>
      <c r="T41" s="774" t="n"/>
      <c r="U41" s="566">
        <f>IFERROR(U39/U38,0)</f>
        <v/>
      </c>
      <c r="V41" s="774" t="n"/>
      <c r="W41" s="566">
        <f>IFERROR(W39/W38,0)</f>
        <v/>
      </c>
      <c r="X41" s="774" t="n"/>
      <c r="Y41" s="566">
        <f>IFERROR(Y39/Y38,0)</f>
        <v/>
      </c>
      <c r="Z41" s="774" t="n"/>
      <c r="AA41" s="566">
        <f>IFERROR(AA39/AA38,0)</f>
        <v/>
      </c>
      <c r="AB41" s="774" t="n"/>
      <c r="AC41" s="566">
        <f>IFERROR(AC39/AC38,0)</f>
        <v/>
      </c>
      <c r="AD41" s="774" t="n"/>
      <c r="AE41" s="67" t="n"/>
      <c r="AF41" s="67" t="n"/>
      <c r="AG41" s="35" t="n"/>
    </row>
    <row r="42" hidden="1" ht="17.25" customFormat="1" customHeight="1" s="10">
      <c r="A42" s="9" t="n">
        <v>7</v>
      </c>
      <c r="B42" s="572">
        <f>VeriGiris!B72</f>
        <v/>
      </c>
      <c r="C42" s="773" t="n"/>
      <c r="D42" s="773" t="n"/>
      <c r="E42" s="773" t="n"/>
      <c r="F42" s="774" t="n"/>
      <c r="G42" s="570" t="n"/>
      <c r="H42" s="774" t="n"/>
      <c r="I42" s="570" t="n"/>
      <c r="J42" s="774" t="n"/>
      <c r="K42" s="570" t="n"/>
      <c r="L42" s="774" t="n"/>
      <c r="M42" s="570" t="n"/>
      <c r="N42" s="774" t="n"/>
      <c r="O42" s="570" t="n"/>
      <c r="P42" s="774" t="n"/>
      <c r="Q42" s="570" t="n"/>
      <c r="R42" s="774" t="n"/>
      <c r="S42" s="570" t="n"/>
      <c r="T42" s="774" t="n"/>
      <c r="U42" s="570" t="n"/>
      <c r="V42" s="774" t="n"/>
      <c r="W42" s="570" t="n"/>
      <c r="X42" s="774" t="n"/>
      <c r="Y42" s="570" t="n"/>
      <c r="Z42" s="774" t="n"/>
      <c r="AA42" s="570" t="n"/>
      <c r="AB42" s="774" t="n"/>
      <c r="AC42" s="570" t="n"/>
      <c r="AD42" s="774" t="n"/>
      <c r="AE42" s="65" t="n"/>
      <c r="AF42" s="65" t="n"/>
      <c r="AG42" s="35" t="n"/>
    </row>
    <row r="43" hidden="1" ht="17.25" customFormat="1" customHeight="1" s="10">
      <c r="A43" s="9" t="n"/>
      <c r="B43" s="717" t="inlineStr">
        <is>
          <t xml:space="preserve">A7- Kurulu Kapasite </t>
        </is>
      </c>
      <c r="C43" s="773" t="n"/>
      <c r="D43" s="773" t="n"/>
      <c r="E43" s="773" t="n"/>
      <c r="F43" s="774" t="n"/>
      <c r="G43" s="569">
        <f>VeriGiris!G73</f>
        <v/>
      </c>
      <c r="H43" s="774" t="n"/>
      <c r="I43" s="749">
        <f>VeriGiris!I73</f>
        <v/>
      </c>
      <c r="J43" s="774" t="n"/>
      <c r="K43" s="749">
        <f>VeriGiris!K73</f>
        <v/>
      </c>
      <c r="L43" s="774" t="n"/>
      <c r="M43" s="749">
        <f>VeriGiris!M73</f>
        <v/>
      </c>
      <c r="N43" s="774" t="n"/>
      <c r="O43" s="749">
        <f>VeriGiris!O73</f>
        <v/>
      </c>
      <c r="P43" s="774" t="n"/>
      <c r="Q43" s="749">
        <f>VeriGiris!Q73</f>
        <v/>
      </c>
      <c r="R43" s="774" t="n"/>
      <c r="S43" s="749">
        <f>VeriGiris!S73</f>
        <v/>
      </c>
      <c r="T43" s="774" t="n"/>
      <c r="U43" s="749">
        <f>VeriGiris!U73</f>
        <v/>
      </c>
      <c r="V43" s="774" t="n"/>
      <c r="W43" s="749">
        <f>VeriGiris!W73</f>
        <v/>
      </c>
      <c r="X43" s="774" t="n"/>
      <c r="Y43" s="749">
        <f>VeriGiris!Y73</f>
        <v/>
      </c>
      <c r="Z43" s="774" t="n"/>
      <c r="AA43" s="749">
        <f>VeriGiris!AA73</f>
        <v/>
      </c>
      <c r="AB43" s="774" t="n"/>
      <c r="AC43" s="749">
        <f>VeriGiris!AC73</f>
        <v/>
      </c>
      <c r="AD43" s="774" t="n"/>
      <c r="AE43" s="66" t="n"/>
      <c r="AF43" s="66" t="n"/>
      <c r="AG43" s="35" t="n"/>
    </row>
    <row r="44" hidden="1" ht="17.25" customFormat="1" customHeight="1" s="10">
      <c r="A44" s="9" t="n"/>
      <c r="B44" s="717" t="inlineStr">
        <is>
          <t>B7- Üretim Miktarı</t>
        </is>
      </c>
      <c r="C44" s="773" t="n"/>
      <c r="D44" s="773" t="n"/>
      <c r="E44" s="773" t="n"/>
      <c r="F44" s="774" t="n"/>
      <c r="G44" s="569">
        <f>VeriGiris!G74</f>
        <v/>
      </c>
      <c r="H44" s="774" t="n"/>
      <c r="I44" s="749">
        <f>VeriGiris!I74</f>
        <v/>
      </c>
      <c r="J44" s="774" t="n"/>
      <c r="K44" s="749">
        <f>VeriGiris!K74</f>
        <v/>
      </c>
      <c r="L44" s="774" t="n"/>
      <c r="M44" s="749">
        <f>VeriGiris!M74</f>
        <v/>
      </c>
      <c r="N44" s="774" t="n"/>
      <c r="O44" s="749">
        <f>VeriGiris!O74</f>
        <v/>
      </c>
      <c r="P44" s="774" t="n"/>
      <c r="Q44" s="749">
        <f>VeriGiris!Q74</f>
        <v/>
      </c>
      <c r="R44" s="774" t="n"/>
      <c r="S44" s="749">
        <f>VeriGiris!S74</f>
        <v/>
      </c>
      <c r="T44" s="774" t="n"/>
      <c r="U44" s="749">
        <f>VeriGiris!U74</f>
        <v/>
      </c>
      <c r="V44" s="774" t="n"/>
      <c r="W44" s="749">
        <f>VeriGiris!W74</f>
        <v/>
      </c>
      <c r="X44" s="774" t="n"/>
      <c r="Y44" s="749">
        <f>VeriGiris!Y74</f>
        <v/>
      </c>
      <c r="Z44" s="774" t="n"/>
      <c r="AA44" s="749">
        <f>VeriGiris!AA74</f>
        <v/>
      </c>
      <c r="AB44" s="774" t="n"/>
      <c r="AC44" s="749">
        <f>VeriGiris!AC74</f>
        <v/>
      </c>
      <c r="AD44" s="774" t="n"/>
      <c r="AE44" s="66" t="n"/>
      <c r="AF44" s="66" t="n"/>
      <c r="AG44" s="35" t="n"/>
    </row>
    <row r="45" hidden="1" ht="17.25" customFormat="1" customHeight="1" s="10">
      <c r="A45" s="9" t="n"/>
      <c r="B45" s="717" t="inlineStr">
        <is>
          <t>C7-Birim Satış Fiyatı</t>
        </is>
      </c>
      <c r="C45" s="773" t="n"/>
      <c r="D45" s="773" t="n"/>
      <c r="E45" s="773" t="n"/>
      <c r="F45" s="774" t="n"/>
      <c r="G45" s="569">
        <f>VeriGiris!G76</f>
        <v/>
      </c>
      <c r="H45" s="774" t="n"/>
      <c r="I45" s="749">
        <f>VeriGiris!I76</f>
        <v/>
      </c>
      <c r="J45" s="774" t="n"/>
      <c r="K45" s="749">
        <f>VeriGiris!K76</f>
        <v/>
      </c>
      <c r="L45" s="774" t="n"/>
      <c r="M45" s="749">
        <f>VeriGiris!M76</f>
        <v/>
      </c>
      <c r="N45" s="774" t="n"/>
      <c r="O45" s="749">
        <f>VeriGiris!O76</f>
        <v/>
      </c>
      <c r="P45" s="774" t="n"/>
      <c r="Q45" s="749">
        <f>VeriGiris!Q76</f>
        <v/>
      </c>
      <c r="R45" s="774" t="n"/>
      <c r="S45" s="749">
        <f>VeriGiris!S76</f>
        <v/>
      </c>
      <c r="T45" s="774" t="n"/>
      <c r="U45" s="749">
        <f>VeriGiris!U76</f>
        <v/>
      </c>
      <c r="V45" s="774" t="n"/>
      <c r="W45" s="749">
        <f>VeriGiris!W76</f>
        <v/>
      </c>
      <c r="X45" s="774" t="n"/>
      <c r="Y45" s="749">
        <f>VeriGiris!Y76</f>
        <v/>
      </c>
      <c r="Z45" s="774" t="n"/>
      <c r="AA45" s="749">
        <f>VeriGiris!AA76</f>
        <v/>
      </c>
      <c r="AB45" s="774" t="n"/>
      <c r="AC45" s="749">
        <f>VeriGiris!AC76</f>
        <v/>
      </c>
      <c r="AD45" s="774" t="n"/>
      <c r="AE45" s="66" t="n"/>
      <c r="AF45" s="66" t="n"/>
      <c r="AG45" s="35" t="n"/>
    </row>
    <row r="46" hidden="1" ht="27" customFormat="1" customHeight="1" s="10">
      <c r="A46" s="9" t="n"/>
      <c r="B46" s="717" t="inlineStr">
        <is>
          <t>Kapasite Kullanım Oranı
KKO7=% [(B7/A7)*100])</t>
        </is>
      </c>
      <c r="C46" s="773" t="n"/>
      <c r="D46" s="773" t="n"/>
      <c r="E46" s="773" t="n"/>
      <c r="F46" s="774" t="n"/>
      <c r="G46" s="571" t="inlineStr">
        <is>
          <t>-</t>
        </is>
      </c>
      <c r="H46" s="774" t="n"/>
      <c r="I46" s="566">
        <f>IFERROR(I44/I43,0)</f>
        <v/>
      </c>
      <c r="J46" s="774" t="n"/>
      <c r="K46" s="566">
        <f>IFERROR(K44/K43,0)</f>
        <v/>
      </c>
      <c r="L46" s="774" t="n"/>
      <c r="M46" s="566">
        <f>IFERROR(M44/M43,0)</f>
        <v/>
      </c>
      <c r="N46" s="774" t="n"/>
      <c r="O46" s="566">
        <f>IFERROR(O44/O43,0)</f>
        <v/>
      </c>
      <c r="P46" s="774" t="n"/>
      <c r="Q46" s="566">
        <f>IFERROR(Q44/Q43,0)</f>
        <v/>
      </c>
      <c r="R46" s="774" t="n"/>
      <c r="S46" s="566">
        <f>IFERROR(S44/S43,0)</f>
        <v/>
      </c>
      <c r="T46" s="774" t="n"/>
      <c r="U46" s="566">
        <f>IFERROR(U44/U43,0)</f>
        <v/>
      </c>
      <c r="V46" s="774" t="n"/>
      <c r="W46" s="566">
        <f>IFERROR(W44/W43,0)</f>
        <v/>
      </c>
      <c r="X46" s="774" t="n"/>
      <c r="Y46" s="566">
        <f>IFERROR(Y44/Y43,0)</f>
        <v/>
      </c>
      <c r="Z46" s="774" t="n"/>
      <c r="AA46" s="566">
        <f>IFERROR(AA44/AA43,0)</f>
        <v/>
      </c>
      <c r="AB46" s="774" t="n"/>
      <c r="AC46" s="566">
        <f>IFERROR(AC44/AC43,0)</f>
        <v/>
      </c>
      <c r="AD46" s="774" t="n"/>
      <c r="AE46" s="67" t="n"/>
      <c r="AF46" s="67" t="n"/>
      <c r="AG46" s="35" t="n"/>
    </row>
    <row r="47" hidden="1" ht="17.25" customFormat="1" customHeight="1" s="10">
      <c r="A47" s="9" t="n">
        <v>8</v>
      </c>
      <c r="B47" s="572">
        <f>VeriGiris!B78</f>
        <v/>
      </c>
      <c r="C47" s="773" t="n"/>
      <c r="D47" s="773" t="n"/>
      <c r="E47" s="773" t="n"/>
      <c r="F47" s="774" t="n"/>
      <c r="G47" s="570" t="n"/>
      <c r="H47" s="774" t="n"/>
      <c r="I47" s="570" t="n"/>
      <c r="J47" s="774" t="n"/>
      <c r="K47" s="570" t="n"/>
      <c r="L47" s="774" t="n"/>
      <c r="M47" s="570" t="n"/>
      <c r="N47" s="774" t="n"/>
      <c r="O47" s="570" t="n"/>
      <c r="P47" s="774" t="n"/>
      <c r="Q47" s="570" t="n"/>
      <c r="R47" s="774" t="n"/>
      <c r="S47" s="570" t="n"/>
      <c r="T47" s="774" t="n"/>
      <c r="U47" s="570" t="n"/>
      <c r="V47" s="774" t="n"/>
      <c r="W47" s="570" t="n"/>
      <c r="X47" s="774" t="n"/>
      <c r="Y47" s="570" t="n"/>
      <c r="Z47" s="774" t="n"/>
      <c r="AA47" s="570" t="n"/>
      <c r="AB47" s="774" t="n"/>
      <c r="AC47" s="570" t="n"/>
      <c r="AD47" s="774" t="n"/>
      <c r="AE47" s="65" t="n"/>
      <c r="AF47" s="65" t="n"/>
      <c r="AG47" s="35" t="n"/>
    </row>
    <row r="48" hidden="1" ht="17.25" customFormat="1" customHeight="1" s="10">
      <c r="A48" s="9" t="n"/>
      <c r="B48" s="717" t="inlineStr">
        <is>
          <t xml:space="preserve">A8- Kurulu Kapasite </t>
        </is>
      </c>
      <c r="C48" s="773" t="n"/>
      <c r="D48" s="773" t="n"/>
      <c r="E48" s="773" t="n"/>
      <c r="F48" s="774" t="n"/>
      <c r="G48" s="569">
        <f>VeriGiris!G79</f>
        <v/>
      </c>
      <c r="H48" s="774" t="n"/>
      <c r="I48" s="749">
        <f>VeriGiris!I79</f>
        <v/>
      </c>
      <c r="J48" s="774" t="n"/>
      <c r="K48" s="749">
        <f>VeriGiris!K79</f>
        <v/>
      </c>
      <c r="L48" s="774" t="n"/>
      <c r="M48" s="749">
        <f>VeriGiris!M79</f>
        <v/>
      </c>
      <c r="N48" s="774" t="n"/>
      <c r="O48" s="749">
        <f>VeriGiris!O79</f>
        <v/>
      </c>
      <c r="P48" s="774" t="n"/>
      <c r="Q48" s="749">
        <f>VeriGiris!Q79</f>
        <v/>
      </c>
      <c r="R48" s="774" t="n"/>
      <c r="S48" s="749">
        <f>VeriGiris!S79</f>
        <v/>
      </c>
      <c r="T48" s="774" t="n"/>
      <c r="U48" s="749">
        <f>VeriGiris!U79</f>
        <v/>
      </c>
      <c r="V48" s="774" t="n"/>
      <c r="W48" s="749">
        <f>VeriGiris!W79</f>
        <v/>
      </c>
      <c r="X48" s="774" t="n"/>
      <c r="Y48" s="749">
        <f>VeriGiris!Y79</f>
        <v/>
      </c>
      <c r="Z48" s="774" t="n"/>
      <c r="AA48" s="749">
        <f>VeriGiris!AA79</f>
        <v/>
      </c>
      <c r="AB48" s="774" t="n"/>
      <c r="AC48" s="749">
        <f>VeriGiris!AC79</f>
        <v/>
      </c>
      <c r="AD48" s="774" t="n"/>
      <c r="AE48" s="66" t="n"/>
      <c r="AF48" s="66" t="n"/>
      <c r="AG48" s="35" t="n"/>
    </row>
    <row r="49" hidden="1" ht="17.25" customFormat="1" customHeight="1" s="10">
      <c r="A49" s="9" t="n"/>
      <c r="B49" s="717" t="inlineStr">
        <is>
          <t>B8- Üretim Miktarı</t>
        </is>
      </c>
      <c r="C49" s="773" t="n"/>
      <c r="D49" s="773" t="n"/>
      <c r="E49" s="773" t="n"/>
      <c r="F49" s="774" t="n"/>
      <c r="G49" s="569">
        <f>VeriGiris!G80</f>
        <v/>
      </c>
      <c r="H49" s="774" t="n"/>
      <c r="I49" s="749">
        <f>VeriGiris!I80</f>
        <v/>
      </c>
      <c r="J49" s="774" t="n"/>
      <c r="K49" s="749">
        <f>VeriGiris!K80</f>
        <v/>
      </c>
      <c r="L49" s="774" t="n"/>
      <c r="M49" s="749">
        <f>VeriGiris!M80</f>
        <v/>
      </c>
      <c r="N49" s="774" t="n"/>
      <c r="O49" s="749">
        <f>VeriGiris!O80</f>
        <v/>
      </c>
      <c r="P49" s="774" t="n"/>
      <c r="Q49" s="749">
        <f>VeriGiris!Q80</f>
        <v/>
      </c>
      <c r="R49" s="774" t="n"/>
      <c r="S49" s="749">
        <f>VeriGiris!S80</f>
        <v/>
      </c>
      <c r="T49" s="774" t="n"/>
      <c r="U49" s="749">
        <f>VeriGiris!U80</f>
        <v/>
      </c>
      <c r="V49" s="774" t="n"/>
      <c r="W49" s="749">
        <f>VeriGiris!W80</f>
        <v/>
      </c>
      <c r="X49" s="774" t="n"/>
      <c r="Y49" s="749">
        <f>VeriGiris!Y80</f>
        <v/>
      </c>
      <c r="Z49" s="774" t="n"/>
      <c r="AA49" s="749">
        <f>VeriGiris!AA80</f>
        <v/>
      </c>
      <c r="AB49" s="774" t="n"/>
      <c r="AC49" s="749">
        <f>VeriGiris!AC80</f>
        <v/>
      </c>
      <c r="AD49" s="774" t="n"/>
      <c r="AE49" s="66" t="n"/>
      <c r="AF49" s="66" t="n"/>
      <c r="AG49" s="35" t="n"/>
    </row>
    <row r="50" hidden="1" ht="17.25" customFormat="1" customHeight="1" s="10">
      <c r="A50" s="9" t="n"/>
      <c r="B50" s="717" t="inlineStr">
        <is>
          <t>C8-Birim Satış Fiyatı</t>
        </is>
      </c>
      <c r="C50" s="773" t="n"/>
      <c r="D50" s="773" t="n"/>
      <c r="E50" s="773" t="n"/>
      <c r="F50" s="774" t="n"/>
      <c r="G50" s="569">
        <f>VeriGiris!G82</f>
        <v/>
      </c>
      <c r="H50" s="774" t="n"/>
      <c r="I50" s="749">
        <f>VeriGiris!I82</f>
        <v/>
      </c>
      <c r="J50" s="774" t="n"/>
      <c r="K50" s="749">
        <f>VeriGiris!K82</f>
        <v/>
      </c>
      <c r="L50" s="774" t="n"/>
      <c r="M50" s="749">
        <f>VeriGiris!M82</f>
        <v/>
      </c>
      <c r="N50" s="774" t="n"/>
      <c r="O50" s="749">
        <f>VeriGiris!O82</f>
        <v/>
      </c>
      <c r="P50" s="774" t="n"/>
      <c r="Q50" s="749">
        <f>VeriGiris!Q82</f>
        <v/>
      </c>
      <c r="R50" s="774" t="n"/>
      <c r="S50" s="749">
        <f>VeriGiris!S82</f>
        <v/>
      </c>
      <c r="T50" s="774" t="n"/>
      <c r="U50" s="749">
        <f>VeriGiris!U82</f>
        <v/>
      </c>
      <c r="V50" s="774" t="n"/>
      <c r="W50" s="749">
        <f>VeriGiris!W82</f>
        <v/>
      </c>
      <c r="X50" s="774" t="n"/>
      <c r="Y50" s="749">
        <f>VeriGiris!Y82</f>
        <v/>
      </c>
      <c r="Z50" s="774" t="n"/>
      <c r="AA50" s="749">
        <f>VeriGiris!AA82</f>
        <v/>
      </c>
      <c r="AB50" s="774" t="n"/>
      <c r="AC50" s="749">
        <f>VeriGiris!AC82</f>
        <v/>
      </c>
      <c r="AD50" s="774" t="n"/>
      <c r="AE50" s="66" t="n"/>
      <c r="AF50" s="66" t="n"/>
      <c r="AG50" s="35" t="n"/>
    </row>
    <row r="51" hidden="1" ht="27" customFormat="1" customHeight="1" s="10">
      <c r="A51" s="9" t="n"/>
      <c r="B51" s="717" t="inlineStr">
        <is>
          <t xml:space="preserve">Kapasite Kullanım Oranı
KKO8=% [(B8/A8)*100])
</t>
        </is>
      </c>
      <c r="C51" s="773" t="n"/>
      <c r="D51" s="773" t="n"/>
      <c r="E51" s="773" t="n"/>
      <c r="F51" s="774" t="n"/>
      <c r="G51" s="571" t="inlineStr">
        <is>
          <t>-</t>
        </is>
      </c>
      <c r="H51" s="774" t="n"/>
      <c r="I51" s="566">
        <f>IFERROR(I49/I48,0)</f>
        <v/>
      </c>
      <c r="J51" s="774" t="n"/>
      <c r="K51" s="566">
        <f>IFERROR(K49/K48,0)</f>
        <v/>
      </c>
      <c r="L51" s="774" t="n"/>
      <c r="M51" s="566">
        <f>IFERROR(M49/M48,0)</f>
        <v/>
      </c>
      <c r="N51" s="774" t="n"/>
      <c r="O51" s="566">
        <f>IFERROR(O49/O48,0)</f>
        <v/>
      </c>
      <c r="P51" s="774" t="n"/>
      <c r="Q51" s="566">
        <f>IFERROR(Q49/Q48,0)</f>
        <v/>
      </c>
      <c r="R51" s="774" t="n"/>
      <c r="S51" s="566">
        <f>IFERROR(S49/S48,0)</f>
        <v/>
      </c>
      <c r="T51" s="774" t="n"/>
      <c r="U51" s="566">
        <f>IFERROR(U49/U48,0)</f>
        <v/>
      </c>
      <c r="V51" s="774" t="n"/>
      <c r="W51" s="566">
        <f>IFERROR(W49/W48,0)</f>
        <v/>
      </c>
      <c r="X51" s="774" t="n"/>
      <c r="Y51" s="566">
        <f>IFERROR(Y49/Y48,0)</f>
        <v/>
      </c>
      <c r="Z51" s="774" t="n"/>
      <c r="AA51" s="566">
        <f>IFERROR(AA49/AA48,0)</f>
        <v/>
      </c>
      <c r="AB51" s="774" t="n"/>
      <c r="AC51" s="566">
        <f>IFERROR(AC49/AC48,0)</f>
        <v/>
      </c>
      <c r="AD51" s="774" t="n"/>
      <c r="AE51" s="67" t="n"/>
      <c r="AF51" s="67" t="n"/>
      <c r="AG51" s="35" t="n"/>
    </row>
    <row r="52" hidden="1" ht="17.25" customFormat="1" customHeight="1" s="10">
      <c r="A52" s="9" t="n">
        <v>9</v>
      </c>
      <c r="B52" s="572">
        <f>VeriGiris!B84</f>
        <v/>
      </c>
      <c r="C52" s="773" t="n"/>
      <c r="D52" s="773" t="n"/>
      <c r="E52" s="773" t="n"/>
      <c r="F52" s="774" t="n"/>
      <c r="G52" s="570" t="n"/>
      <c r="H52" s="774" t="n"/>
      <c r="I52" s="570" t="n"/>
      <c r="J52" s="774" t="n"/>
      <c r="K52" s="570" t="n"/>
      <c r="L52" s="774" t="n"/>
      <c r="M52" s="570" t="n"/>
      <c r="N52" s="774" t="n"/>
      <c r="O52" s="570" t="n"/>
      <c r="P52" s="774" t="n"/>
      <c r="Q52" s="570" t="n"/>
      <c r="R52" s="774" t="n"/>
      <c r="S52" s="570" t="n"/>
      <c r="T52" s="774" t="n"/>
      <c r="U52" s="570" t="n"/>
      <c r="V52" s="774" t="n"/>
      <c r="W52" s="570" t="n"/>
      <c r="X52" s="774" t="n"/>
      <c r="Y52" s="570" t="n"/>
      <c r="Z52" s="774" t="n"/>
      <c r="AA52" s="570" t="n"/>
      <c r="AB52" s="774" t="n"/>
      <c r="AC52" s="570" t="n"/>
      <c r="AD52" s="774" t="n"/>
      <c r="AE52" s="65" t="n"/>
      <c r="AF52" s="65" t="n"/>
      <c r="AG52" s="35" t="n"/>
    </row>
    <row r="53" hidden="1" ht="17.25" customFormat="1" customHeight="1" s="10">
      <c r="A53" s="9" t="n"/>
      <c r="B53" s="717" t="inlineStr">
        <is>
          <t xml:space="preserve">A9- Kurulu Kapasite </t>
        </is>
      </c>
      <c r="C53" s="773" t="n"/>
      <c r="D53" s="773" t="n"/>
      <c r="E53" s="773" t="n"/>
      <c r="F53" s="774" t="n"/>
      <c r="G53" s="569">
        <f>VeriGiris!G85</f>
        <v/>
      </c>
      <c r="H53" s="774" t="n"/>
      <c r="I53" s="749">
        <f>VeriGiris!I85</f>
        <v/>
      </c>
      <c r="J53" s="774" t="n"/>
      <c r="K53" s="749">
        <f>VeriGiris!K85</f>
        <v/>
      </c>
      <c r="L53" s="774" t="n"/>
      <c r="M53" s="749">
        <f>VeriGiris!M85</f>
        <v/>
      </c>
      <c r="N53" s="774" t="n"/>
      <c r="O53" s="749">
        <f>VeriGiris!O85</f>
        <v/>
      </c>
      <c r="P53" s="774" t="n"/>
      <c r="Q53" s="749">
        <f>VeriGiris!Q85</f>
        <v/>
      </c>
      <c r="R53" s="774" t="n"/>
      <c r="S53" s="749">
        <f>VeriGiris!S85</f>
        <v/>
      </c>
      <c r="T53" s="774" t="n"/>
      <c r="U53" s="749">
        <f>VeriGiris!U85</f>
        <v/>
      </c>
      <c r="V53" s="774" t="n"/>
      <c r="W53" s="749">
        <f>VeriGiris!W85</f>
        <v/>
      </c>
      <c r="X53" s="774" t="n"/>
      <c r="Y53" s="749">
        <f>VeriGiris!Y85</f>
        <v/>
      </c>
      <c r="Z53" s="774" t="n"/>
      <c r="AA53" s="749">
        <f>VeriGiris!AA85</f>
        <v/>
      </c>
      <c r="AB53" s="774" t="n"/>
      <c r="AC53" s="749">
        <f>VeriGiris!AC85</f>
        <v/>
      </c>
      <c r="AD53" s="774" t="n"/>
      <c r="AE53" s="66" t="n"/>
      <c r="AF53" s="66" t="n"/>
      <c r="AG53" s="35" t="n"/>
    </row>
    <row r="54" hidden="1" ht="17.25" customFormat="1" customHeight="1" s="10">
      <c r="A54" s="9" t="n"/>
      <c r="B54" s="717" t="inlineStr">
        <is>
          <t>B9- Üretim Miktarı</t>
        </is>
      </c>
      <c r="C54" s="773" t="n"/>
      <c r="D54" s="773" t="n"/>
      <c r="E54" s="773" t="n"/>
      <c r="F54" s="774" t="n"/>
      <c r="G54" s="569">
        <f>VeriGiris!G86</f>
        <v/>
      </c>
      <c r="H54" s="774" t="n"/>
      <c r="I54" s="749">
        <f>VeriGiris!I86</f>
        <v/>
      </c>
      <c r="J54" s="774" t="n"/>
      <c r="K54" s="749">
        <f>VeriGiris!K86</f>
        <v/>
      </c>
      <c r="L54" s="774" t="n"/>
      <c r="M54" s="749">
        <f>VeriGiris!M86</f>
        <v/>
      </c>
      <c r="N54" s="774" t="n"/>
      <c r="O54" s="749">
        <f>VeriGiris!O86</f>
        <v/>
      </c>
      <c r="P54" s="774" t="n"/>
      <c r="Q54" s="749">
        <f>VeriGiris!Q86</f>
        <v/>
      </c>
      <c r="R54" s="774" t="n"/>
      <c r="S54" s="749">
        <f>VeriGiris!S86</f>
        <v/>
      </c>
      <c r="T54" s="774" t="n"/>
      <c r="U54" s="749">
        <f>VeriGiris!U86</f>
        <v/>
      </c>
      <c r="V54" s="774" t="n"/>
      <c r="W54" s="749">
        <f>VeriGiris!W86</f>
        <v/>
      </c>
      <c r="X54" s="774" t="n"/>
      <c r="Y54" s="749">
        <f>VeriGiris!Y86</f>
        <v/>
      </c>
      <c r="Z54" s="774" t="n"/>
      <c r="AA54" s="749">
        <f>VeriGiris!AA86</f>
        <v/>
      </c>
      <c r="AB54" s="774" t="n"/>
      <c r="AC54" s="749">
        <f>VeriGiris!AC86</f>
        <v/>
      </c>
      <c r="AD54" s="774" t="n"/>
      <c r="AE54" s="66" t="n"/>
      <c r="AF54" s="66" t="n"/>
      <c r="AG54" s="35" t="n"/>
    </row>
    <row r="55" hidden="1" ht="17.25" customFormat="1" customHeight="1" s="10">
      <c r="A55" s="9" t="n"/>
      <c r="B55" s="717" t="inlineStr">
        <is>
          <t>C9-Birim Satış Fiyatı</t>
        </is>
      </c>
      <c r="C55" s="773" t="n"/>
      <c r="D55" s="773" t="n"/>
      <c r="E55" s="773" t="n"/>
      <c r="F55" s="774" t="n"/>
      <c r="G55" s="569">
        <f>VeriGiris!G88</f>
        <v/>
      </c>
      <c r="H55" s="774" t="n"/>
      <c r="I55" s="749">
        <f>VeriGiris!I88</f>
        <v/>
      </c>
      <c r="J55" s="774" t="n"/>
      <c r="K55" s="749">
        <f>VeriGiris!K88</f>
        <v/>
      </c>
      <c r="L55" s="774" t="n"/>
      <c r="M55" s="749">
        <f>VeriGiris!M88</f>
        <v/>
      </c>
      <c r="N55" s="774" t="n"/>
      <c r="O55" s="749">
        <f>VeriGiris!O88</f>
        <v/>
      </c>
      <c r="P55" s="774" t="n"/>
      <c r="Q55" s="749">
        <f>VeriGiris!Q88</f>
        <v/>
      </c>
      <c r="R55" s="774" t="n"/>
      <c r="S55" s="749">
        <f>VeriGiris!S88</f>
        <v/>
      </c>
      <c r="T55" s="774" t="n"/>
      <c r="U55" s="749">
        <f>VeriGiris!U88</f>
        <v/>
      </c>
      <c r="V55" s="774" t="n"/>
      <c r="W55" s="749">
        <f>VeriGiris!W88</f>
        <v/>
      </c>
      <c r="X55" s="774" t="n"/>
      <c r="Y55" s="749">
        <f>VeriGiris!Y88</f>
        <v/>
      </c>
      <c r="Z55" s="774" t="n"/>
      <c r="AA55" s="749">
        <f>VeriGiris!AA88</f>
        <v/>
      </c>
      <c r="AB55" s="774" t="n"/>
      <c r="AC55" s="749">
        <f>VeriGiris!AC88</f>
        <v/>
      </c>
      <c r="AD55" s="774" t="n"/>
      <c r="AE55" s="66" t="n"/>
      <c r="AF55" s="66" t="n"/>
      <c r="AG55" s="35" t="n"/>
    </row>
    <row r="56" hidden="1" ht="27" customFormat="1" customHeight="1" s="10">
      <c r="A56" s="9" t="n"/>
      <c r="B56" s="717" t="inlineStr">
        <is>
          <t xml:space="preserve">Kapasite Kullanım Oranı
KKO9=% [(B9/A9)*100])
</t>
        </is>
      </c>
      <c r="C56" s="773" t="n"/>
      <c r="D56" s="773" t="n"/>
      <c r="E56" s="773" t="n"/>
      <c r="F56" s="774" t="n"/>
      <c r="G56" s="571" t="inlineStr">
        <is>
          <t>-</t>
        </is>
      </c>
      <c r="H56" s="774" t="n"/>
      <c r="I56" s="566">
        <f>IFERROR(I54/I53,0)</f>
        <v/>
      </c>
      <c r="J56" s="774" t="n"/>
      <c r="K56" s="566">
        <f>IFERROR(K54/K53,0)</f>
        <v/>
      </c>
      <c r="L56" s="774" t="n"/>
      <c r="M56" s="566">
        <f>IFERROR(M54/M53,0)</f>
        <v/>
      </c>
      <c r="N56" s="774" t="n"/>
      <c r="O56" s="566">
        <f>IFERROR(O54/O53,0)</f>
        <v/>
      </c>
      <c r="P56" s="774" t="n"/>
      <c r="Q56" s="566">
        <f>IFERROR(Q54/Q53,0)</f>
        <v/>
      </c>
      <c r="R56" s="774" t="n"/>
      <c r="S56" s="566">
        <f>IFERROR(S54/S53,0)</f>
        <v/>
      </c>
      <c r="T56" s="774" t="n"/>
      <c r="U56" s="566">
        <f>IFERROR(U54/U53,0)</f>
        <v/>
      </c>
      <c r="V56" s="774" t="n"/>
      <c r="W56" s="566">
        <f>IFERROR(W54/W53,0)</f>
        <v/>
      </c>
      <c r="X56" s="774" t="n"/>
      <c r="Y56" s="566">
        <f>IFERROR(Y54/Y53,0)</f>
        <v/>
      </c>
      <c r="Z56" s="774" t="n"/>
      <c r="AA56" s="566">
        <f>IFERROR(AA54/AA53,0)</f>
        <v/>
      </c>
      <c r="AB56" s="774" t="n"/>
      <c r="AC56" s="566">
        <f>IFERROR(AC54/AC53,0)</f>
        <v/>
      </c>
      <c r="AD56" s="774" t="n"/>
      <c r="AE56" s="67" t="n"/>
      <c r="AF56" s="67" t="n"/>
      <c r="AG56" s="35" t="n"/>
    </row>
    <row r="57" hidden="1" ht="17.25" customFormat="1" customHeight="1" s="10">
      <c r="A57" s="9" t="n">
        <v>10</v>
      </c>
      <c r="B57" s="572">
        <f>VeriGiris!B90</f>
        <v/>
      </c>
      <c r="C57" s="773" t="n"/>
      <c r="D57" s="773" t="n"/>
      <c r="E57" s="773" t="n"/>
      <c r="F57" s="774" t="n"/>
      <c r="G57" s="570" t="n"/>
      <c r="H57" s="774" t="n"/>
      <c r="I57" s="570" t="n"/>
      <c r="J57" s="774" t="n"/>
      <c r="K57" s="570" t="n"/>
      <c r="L57" s="774" t="n"/>
      <c r="M57" s="570" t="n"/>
      <c r="N57" s="774" t="n"/>
      <c r="O57" s="570" t="n"/>
      <c r="P57" s="774" t="n"/>
      <c r="Q57" s="570" t="n"/>
      <c r="R57" s="774" t="n"/>
      <c r="S57" s="570" t="n"/>
      <c r="T57" s="774" t="n"/>
      <c r="U57" s="570" t="n"/>
      <c r="V57" s="774" t="n"/>
      <c r="W57" s="570" t="n"/>
      <c r="X57" s="774" t="n"/>
      <c r="Y57" s="570" t="n"/>
      <c r="Z57" s="774" t="n"/>
      <c r="AA57" s="570" t="n"/>
      <c r="AB57" s="774" t="n"/>
      <c r="AC57" s="570" t="n"/>
      <c r="AD57" s="774" t="n"/>
      <c r="AE57" s="65" t="n"/>
      <c r="AF57" s="65" t="n"/>
      <c r="AG57" s="35" t="n"/>
    </row>
    <row r="58" hidden="1" ht="17.25" customFormat="1" customHeight="1" s="10">
      <c r="A58" s="9" t="n"/>
      <c r="B58" s="717" t="inlineStr">
        <is>
          <t xml:space="preserve">A10- Kurulu Kapasite </t>
        </is>
      </c>
      <c r="C58" s="773" t="n"/>
      <c r="D58" s="773" t="n"/>
      <c r="E58" s="773" t="n"/>
      <c r="F58" s="774" t="n"/>
      <c r="G58" s="569">
        <f>VeriGiris!G91</f>
        <v/>
      </c>
      <c r="H58" s="774" t="n"/>
      <c r="I58" s="749">
        <f>VeriGiris!I91</f>
        <v/>
      </c>
      <c r="J58" s="774" t="n"/>
      <c r="K58" s="749">
        <f>VeriGiris!K91</f>
        <v/>
      </c>
      <c r="L58" s="774" t="n"/>
      <c r="M58" s="749">
        <f>VeriGiris!M91</f>
        <v/>
      </c>
      <c r="N58" s="774" t="n"/>
      <c r="O58" s="749">
        <f>VeriGiris!O91</f>
        <v/>
      </c>
      <c r="P58" s="774" t="n"/>
      <c r="Q58" s="749">
        <f>VeriGiris!Q91</f>
        <v/>
      </c>
      <c r="R58" s="774" t="n"/>
      <c r="S58" s="749">
        <f>VeriGiris!S91</f>
        <v/>
      </c>
      <c r="T58" s="774" t="n"/>
      <c r="U58" s="749">
        <f>VeriGiris!U91</f>
        <v/>
      </c>
      <c r="V58" s="774" t="n"/>
      <c r="W58" s="749">
        <f>VeriGiris!W91</f>
        <v/>
      </c>
      <c r="X58" s="774" t="n"/>
      <c r="Y58" s="749">
        <f>VeriGiris!Y91</f>
        <v/>
      </c>
      <c r="Z58" s="774" t="n"/>
      <c r="AA58" s="749">
        <f>VeriGiris!AA91</f>
        <v/>
      </c>
      <c r="AB58" s="774" t="n"/>
      <c r="AC58" s="749">
        <f>VeriGiris!AC91</f>
        <v/>
      </c>
      <c r="AD58" s="774" t="n"/>
      <c r="AE58" s="66" t="n"/>
      <c r="AF58" s="66" t="n"/>
      <c r="AG58" s="35" t="n"/>
    </row>
    <row r="59" hidden="1" ht="17.25" customFormat="1" customHeight="1" s="10">
      <c r="A59" s="9" t="n"/>
      <c r="B59" s="717" t="inlineStr">
        <is>
          <t>B10- Üretim Miktarı</t>
        </is>
      </c>
      <c r="C59" s="773" t="n"/>
      <c r="D59" s="773" t="n"/>
      <c r="E59" s="773" t="n"/>
      <c r="F59" s="774" t="n"/>
      <c r="G59" s="569">
        <f>VeriGiris!G92</f>
        <v/>
      </c>
      <c r="H59" s="774" t="n"/>
      <c r="I59" s="749">
        <f>VeriGiris!I92</f>
        <v/>
      </c>
      <c r="J59" s="774" t="n"/>
      <c r="K59" s="749">
        <f>VeriGiris!K92</f>
        <v/>
      </c>
      <c r="L59" s="774" t="n"/>
      <c r="M59" s="749">
        <f>VeriGiris!M92</f>
        <v/>
      </c>
      <c r="N59" s="774" t="n"/>
      <c r="O59" s="749">
        <f>VeriGiris!O92</f>
        <v/>
      </c>
      <c r="P59" s="774" t="n"/>
      <c r="Q59" s="749">
        <f>VeriGiris!Q92</f>
        <v/>
      </c>
      <c r="R59" s="774" t="n"/>
      <c r="S59" s="749">
        <f>VeriGiris!S92</f>
        <v/>
      </c>
      <c r="T59" s="774" t="n"/>
      <c r="U59" s="749">
        <f>VeriGiris!U92</f>
        <v/>
      </c>
      <c r="V59" s="774" t="n"/>
      <c r="W59" s="749">
        <f>VeriGiris!W92</f>
        <v/>
      </c>
      <c r="X59" s="774" t="n"/>
      <c r="Y59" s="749">
        <f>VeriGiris!Y92</f>
        <v/>
      </c>
      <c r="Z59" s="774" t="n"/>
      <c r="AA59" s="749">
        <f>VeriGiris!AA92</f>
        <v/>
      </c>
      <c r="AB59" s="774" t="n"/>
      <c r="AC59" s="749">
        <f>VeriGiris!AC92</f>
        <v/>
      </c>
      <c r="AD59" s="774" t="n"/>
      <c r="AE59" s="66" t="n"/>
      <c r="AF59" s="66" t="n"/>
      <c r="AG59" s="35" t="n"/>
    </row>
    <row r="60" hidden="1" ht="17.25" customFormat="1" customHeight="1" s="10">
      <c r="A60" s="9" t="n"/>
      <c r="B60" s="717" t="inlineStr">
        <is>
          <t>C10-Birim Satış Fiyatı</t>
        </is>
      </c>
      <c r="C60" s="773" t="n"/>
      <c r="D60" s="773" t="n"/>
      <c r="E60" s="773" t="n"/>
      <c r="F60" s="774" t="n"/>
      <c r="G60" s="569">
        <f>VeriGiris!G94</f>
        <v/>
      </c>
      <c r="H60" s="774" t="n"/>
      <c r="I60" s="749">
        <f>VeriGiris!I94</f>
        <v/>
      </c>
      <c r="J60" s="774" t="n"/>
      <c r="K60" s="749">
        <f>VeriGiris!K94</f>
        <v/>
      </c>
      <c r="L60" s="774" t="n"/>
      <c r="M60" s="749">
        <f>VeriGiris!M94</f>
        <v/>
      </c>
      <c r="N60" s="774" t="n"/>
      <c r="O60" s="749">
        <f>VeriGiris!O94</f>
        <v/>
      </c>
      <c r="P60" s="774" t="n"/>
      <c r="Q60" s="749">
        <f>VeriGiris!Q94</f>
        <v/>
      </c>
      <c r="R60" s="774" t="n"/>
      <c r="S60" s="749">
        <f>VeriGiris!S94</f>
        <v/>
      </c>
      <c r="T60" s="774" t="n"/>
      <c r="U60" s="749">
        <f>VeriGiris!U94</f>
        <v/>
      </c>
      <c r="V60" s="774" t="n"/>
      <c r="W60" s="749">
        <f>VeriGiris!W94</f>
        <v/>
      </c>
      <c r="X60" s="774" t="n"/>
      <c r="Y60" s="749">
        <f>VeriGiris!Y94</f>
        <v/>
      </c>
      <c r="Z60" s="774" t="n"/>
      <c r="AA60" s="749">
        <f>VeriGiris!AA94</f>
        <v/>
      </c>
      <c r="AB60" s="774" t="n"/>
      <c r="AC60" s="749">
        <f>VeriGiris!AC94</f>
        <v/>
      </c>
      <c r="AD60" s="774" t="n"/>
      <c r="AE60" s="66" t="n"/>
      <c r="AF60" s="66" t="n"/>
      <c r="AG60" s="35" t="n"/>
    </row>
    <row r="61" hidden="1" ht="27" customFormat="1" customHeight="1" s="10">
      <c r="A61" s="9" t="n"/>
      <c r="B61" s="717" t="inlineStr">
        <is>
          <t>Kapasite Kullanım Oranı
KKO10=% [(B10/A10)*100])</t>
        </is>
      </c>
      <c r="C61" s="773" t="n"/>
      <c r="D61" s="773" t="n"/>
      <c r="E61" s="773" t="n"/>
      <c r="F61" s="774" t="n"/>
      <c r="G61" s="571" t="inlineStr">
        <is>
          <t>-</t>
        </is>
      </c>
      <c r="H61" s="774" t="n"/>
      <c r="I61" s="566">
        <f>IFERROR(I59/I58,0)</f>
        <v/>
      </c>
      <c r="J61" s="774" t="n"/>
      <c r="K61" s="566">
        <f>IFERROR(K59/K58,0)</f>
        <v/>
      </c>
      <c r="L61" s="774" t="n"/>
      <c r="M61" s="566">
        <f>IFERROR(M59/M58,0)</f>
        <v/>
      </c>
      <c r="N61" s="774" t="n"/>
      <c r="O61" s="566">
        <f>IFERROR(O59/O58,0)</f>
        <v/>
      </c>
      <c r="P61" s="774" t="n"/>
      <c r="Q61" s="566">
        <f>IFERROR(Q59/Q58,0)</f>
        <v/>
      </c>
      <c r="R61" s="774" t="n"/>
      <c r="S61" s="566">
        <f>IFERROR(S59/S58,0)</f>
        <v/>
      </c>
      <c r="T61" s="774" t="n"/>
      <c r="U61" s="566">
        <f>IFERROR(U59/U58,0)</f>
        <v/>
      </c>
      <c r="V61" s="774" t="n"/>
      <c r="W61" s="566">
        <f>IFERROR(W59/W58,0)</f>
        <v/>
      </c>
      <c r="X61" s="774" t="n"/>
      <c r="Y61" s="566">
        <f>IFERROR(Y59/Y58,0)</f>
        <v/>
      </c>
      <c r="Z61" s="774" t="n"/>
      <c r="AA61" s="566">
        <f>IFERROR(AA59/AA58,0)</f>
        <v/>
      </c>
      <c r="AB61" s="774" t="n"/>
      <c r="AC61" s="566">
        <f>IFERROR(AC59/AC58,0)</f>
        <v/>
      </c>
      <c r="AD61" s="774" t="n"/>
      <c r="AE61" s="67" t="n"/>
      <c r="AF61" s="67" t="n"/>
      <c r="AG61" s="35" t="n"/>
    </row>
    <row r="62" hidden="1" ht="17.25" customFormat="1" customHeight="1" s="10">
      <c r="A62" s="9" t="n">
        <v>11</v>
      </c>
      <c r="B62" s="572">
        <f>VeriGiris!B96</f>
        <v/>
      </c>
      <c r="C62" s="773" t="n"/>
      <c r="D62" s="773" t="n"/>
      <c r="E62" s="773" t="n"/>
      <c r="F62" s="774" t="n"/>
      <c r="G62" s="570" t="n"/>
      <c r="H62" s="774" t="n"/>
      <c r="I62" s="570" t="n"/>
      <c r="J62" s="774" t="n"/>
      <c r="K62" s="570" t="n"/>
      <c r="L62" s="774" t="n"/>
      <c r="M62" s="570" t="n"/>
      <c r="N62" s="774" t="n"/>
      <c r="O62" s="570" t="n"/>
      <c r="P62" s="774" t="n"/>
      <c r="Q62" s="570" t="n"/>
      <c r="R62" s="774" t="n"/>
      <c r="S62" s="570" t="n"/>
      <c r="T62" s="774" t="n"/>
      <c r="U62" s="570" t="n"/>
      <c r="V62" s="774" t="n"/>
      <c r="W62" s="570" t="n"/>
      <c r="X62" s="774" t="n"/>
      <c r="Y62" s="570" t="n"/>
      <c r="Z62" s="774" t="n"/>
      <c r="AA62" s="570" t="n"/>
      <c r="AB62" s="774" t="n"/>
      <c r="AC62" s="570" t="n"/>
      <c r="AD62" s="774" t="n"/>
      <c r="AE62" s="65" t="n"/>
      <c r="AF62" s="65" t="n"/>
      <c r="AG62" s="35" t="n"/>
    </row>
    <row r="63" hidden="1" ht="17.25" customFormat="1" customHeight="1" s="10">
      <c r="A63" s="9" t="n"/>
      <c r="B63" s="717" t="inlineStr">
        <is>
          <t xml:space="preserve">A11- Kurulu Kapasite </t>
        </is>
      </c>
      <c r="C63" s="773" t="n"/>
      <c r="D63" s="773" t="n"/>
      <c r="E63" s="773" t="n"/>
      <c r="F63" s="774" t="n"/>
      <c r="G63" s="569">
        <f>VeriGiris!G97</f>
        <v/>
      </c>
      <c r="H63" s="774" t="n"/>
      <c r="I63" s="749">
        <f>VeriGiris!I97</f>
        <v/>
      </c>
      <c r="J63" s="774" t="n"/>
      <c r="K63" s="749">
        <f>VeriGiris!K97</f>
        <v/>
      </c>
      <c r="L63" s="774" t="n"/>
      <c r="M63" s="749">
        <f>VeriGiris!M97</f>
        <v/>
      </c>
      <c r="N63" s="774" t="n"/>
      <c r="O63" s="749">
        <f>VeriGiris!O97</f>
        <v/>
      </c>
      <c r="P63" s="774" t="n"/>
      <c r="Q63" s="749">
        <f>VeriGiris!Q97</f>
        <v/>
      </c>
      <c r="R63" s="774" t="n"/>
      <c r="S63" s="749">
        <f>VeriGiris!S97</f>
        <v/>
      </c>
      <c r="T63" s="774" t="n"/>
      <c r="U63" s="749">
        <f>VeriGiris!U97</f>
        <v/>
      </c>
      <c r="V63" s="774" t="n"/>
      <c r="W63" s="749">
        <f>VeriGiris!W97</f>
        <v/>
      </c>
      <c r="X63" s="774" t="n"/>
      <c r="Y63" s="749">
        <f>VeriGiris!Y97</f>
        <v/>
      </c>
      <c r="Z63" s="774" t="n"/>
      <c r="AA63" s="749">
        <f>VeriGiris!AA97</f>
        <v/>
      </c>
      <c r="AB63" s="774" t="n"/>
      <c r="AC63" s="749">
        <f>VeriGiris!AC97</f>
        <v/>
      </c>
      <c r="AD63" s="774" t="n"/>
      <c r="AE63" s="66" t="n"/>
      <c r="AF63" s="66" t="n"/>
      <c r="AG63" s="35" t="n"/>
    </row>
    <row r="64" hidden="1" ht="17.25" customFormat="1" customHeight="1" s="10">
      <c r="A64" s="9" t="n"/>
      <c r="B64" s="717" t="inlineStr">
        <is>
          <t>B11- Üretim Miktarı</t>
        </is>
      </c>
      <c r="C64" s="773" t="n"/>
      <c r="D64" s="773" t="n"/>
      <c r="E64" s="773" t="n"/>
      <c r="F64" s="774" t="n"/>
      <c r="G64" s="569">
        <f>VeriGiris!G98</f>
        <v/>
      </c>
      <c r="H64" s="774" t="n"/>
      <c r="I64" s="749">
        <f>VeriGiris!I98</f>
        <v/>
      </c>
      <c r="J64" s="774" t="n"/>
      <c r="K64" s="749">
        <f>VeriGiris!K98</f>
        <v/>
      </c>
      <c r="L64" s="774" t="n"/>
      <c r="M64" s="749">
        <f>VeriGiris!M98</f>
        <v/>
      </c>
      <c r="N64" s="774" t="n"/>
      <c r="O64" s="749">
        <f>VeriGiris!O98</f>
        <v/>
      </c>
      <c r="P64" s="774" t="n"/>
      <c r="Q64" s="749">
        <f>VeriGiris!Q98</f>
        <v/>
      </c>
      <c r="R64" s="774" t="n"/>
      <c r="S64" s="749">
        <f>VeriGiris!S98</f>
        <v/>
      </c>
      <c r="T64" s="774" t="n"/>
      <c r="U64" s="749">
        <f>VeriGiris!U98</f>
        <v/>
      </c>
      <c r="V64" s="774" t="n"/>
      <c r="W64" s="749">
        <f>VeriGiris!W98</f>
        <v/>
      </c>
      <c r="X64" s="774" t="n"/>
      <c r="Y64" s="749">
        <f>VeriGiris!Y98</f>
        <v/>
      </c>
      <c r="Z64" s="774" t="n"/>
      <c r="AA64" s="749">
        <f>VeriGiris!AA98</f>
        <v/>
      </c>
      <c r="AB64" s="774" t="n"/>
      <c r="AC64" s="749">
        <f>VeriGiris!AC98</f>
        <v/>
      </c>
      <c r="AD64" s="774" t="n"/>
      <c r="AE64" s="66" t="n"/>
      <c r="AF64" s="66" t="n"/>
      <c r="AG64" s="35" t="n"/>
    </row>
    <row r="65" hidden="1" ht="17.25" customFormat="1" customHeight="1" s="10">
      <c r="A65" s="9" t="n"/>
      <c r="B65" s="717" t="inlineStr">
        <is>
          <t>C11-Birim Satış Fiyatı</t>
        </is>
      </c>
      <c r="C65" s="773" t="n"/>
      <c r="D65" s="773" t="n"/>
      <c r="E65" s="773" t="n"/>
      <c r="F65" s="774" t="n"/>
      <c r="G65" s="569">
        <f>VeriGiris!G100</f>
        <v/>
      </c>
      <c r="H65" s="774" t="n"/>
      <c r="I65" s="749">
        <f>VeriGiris!I100</f>
        <v/>
      </c>
      <c r="J65" s="774" t="n"/>
      <c r="K65" s="749">
        <f>VeriGiris!K100</f>
        <v/>
      </c>
      <c r="L65" s="774" t="n"/>
      <c r="M65" s="749">
        <f>VeriGiris!M100</f>
        <v/>
      </c>
      <c r="N65" s="774" t="n"/>
      <c r="O65" s="749">
        <f>VeriGiris!O100</f>
        <v/>
      </c>
      <c r="P65" s="774" t="n"/>
      <c r="Q65" s="749">
        <f>VeriGiris!Q100</f>
        <v/>
      </c>
      <c r="R65" s="774" t="n"/>
      <c r="S65" s="749">
        <f>VeriGiris!S100</f>
        <v/>
      </c>
      <c r="T65" s="774" t="n"/>
      <c r="U65" s="749">
        <f>VeriGiris!U100</f>
        <v/>
      </c>
      <c r="V65" s="774" t="n"/>
      <c r="W65" s="749">
        <f>VeriGiris!W100</f>
        <v/>
      </c>
      <c r="X65" s="774" t="n"/>
      <c r="Y65" s="749">
        <f>VeriGiris!Y100</f>
        <v/>
      </c>
      <c r="Z65" s="774" t="n"/>
      <c r="AA65" s="749">
        <f>VeriGiris!AA100</f>
        <v/>
      </c>
      <c r="AB65" s="774" t="n"/>
      <c r="AC65" s="749">
        <f>VeriGiris!AC100</f>
        <v/>
      </c>
      <c r="AD65" s="774" t="n"/>
      <c r="AE65" s="66" t="n"/>
      <c r="AF65" s="66" t="n"/>
      <c r="AG65" s="35" t="n"/>
    </row>
    <row r="66" hidden="1" ht="27" customFormat="1" customHeight="1" s="10">
      <c r="A66" s="9" t="n"/>
      <c r="B66" s="717" t="inlineStr">
        <is>
          <t>Kapasite Kullanım Oranı
KKO11=% [(B11/A11)*100])</t>
        </is>
      </c>
      <c r="C66" s="773" t="n"/>
      <c r="D66" s="773" t="n"/>
      <c r="E66" s="773" t="n"/>
      <c r="F66" s="774" t="n"/>
      <c r="G66" s="571" t="inlineStr">
        <is>
          <t>-</t>
        </is>
      </c>
      <c r="H66" s="774" t="n"/>
      <c r="I66" s="566">
        <f>IFERROR(I64/I63,0)</f>
        <v/>
      </c>
      <c r="J66" s="774" t="n"/>
      <c r="K66" s="566">
        <f>IFERROR(K64/K63,0)</f>
        <v/>
      </c>
      <c r="L66" s="774" t="n"/>
      <c r="M66" s="566">
        <f>IFERROR(M64/M63,0)</f>
        <v/>
      </c>
      <c r="N66" s="774" t="n"/>
      <c r="O66" s="566">
        <f>IFERROR(O64/O63,0)</f>
        <v/>
      </c>
      <c r="P66" s="774" t="n"/>
      <c r="Q66" s="566">
        <f>IFERROR(Q64/Q63,0)</f>
        <v/>
      </c>
      <c r="R66" s="774" t="n"/>
      <c r="S66" s="566">
        <f>IFERROR(S64/S63,0)</f>
        <v/>
      </c>
      <c r="T66" s="774" t="n"/>
      <c r="U66" s="566">
        <f>IFERROR(U64/U63,0)</f>
        <v/>
      </c>
      <c r="V66" s="774" t="n"/>
      <c r="W66" s="566">
        <f>IFERROR(W64/W63,0)</f>
        <v/>
      </c>
      <c r="X66" s="774" t="n"/>
      <c r="Y66" s="566">
        <f>IFERROR(Y64/Y63,0)</f>
        <v/>
      </c>
      <c r="Z66" s="774" t="n"/>
      <c r="AA66" s="566">
        <f>IFERROR(AA64/AA63,0)</f>
        <v/>
      </c>
      <c r="AB66" s="774" t="n"/>
      <c r="AC66" s="566">
        <f>IFERROR(AC64/AC63,0)</f>
        <v/>
      </c>
      <c r="AD66" s="774" t="n"/>
      <c r="AE66" s="67" t="n"/>
      <c r="AF66" s="67" t="n"/>
      <c r="AG66" s="35" t="n"/>
    </row>
    <row r="67" hidden="1" ht="17.25" customFormat="1" customHeight="1" s="10">
      <c r="A67" s="9" t="n">
        <v>12</v>
      </c>
      <c r="B67" s="572">
        <f>VeriGiris!B102</f>
        <v/>
      </c>
      <c r="C67" s="773" t="n"/>
      <c r="D67" s="773" t="n"/>
      <c r="E67" s="773" t="n"/>
      <c r="F67" s="774" t="n"/>
      <c r="G67" s="570" t="n"/>
      <c r="H67" s="774" t="n"/>
      <c r="I67" s="570" t="n"/>
      <c r="J67" s="774" t="n"/>
      <c r="K67" s="570" t="n"/>
      <c r="L67" s="774" t="n"/>
      <c r="M67" s="570" t="n"/>
      <c r="N67" s="774" t="n"/>
      <c r="O67" s="570" t="n"/>
      <c r="P67" s="774" t="n"/>
      <c r="Q67" s="570" t="n"/>
      <c r="R67" s="774" t="n"/>
      <c r="S67" s="570" t="n"/>
      <c r="T67" s="774" t="n"/>
      <c r="U67" s="570" t="n"/>
      <c r="V67" s="774" t="n"/>
      <c r="W67" s="570" t="n"/>
      <c r="X67" s="774" t="n"/>
      <c r="Y67" s="570" t="n"/>
      <c r="Z67" s="774" t="n"/>
      <c r="AA67" s="570" t="n"/>
      <c r="AB67" s="774" t="n"/>
      <c r="AC67" s="570" t="n"/>
      <c r="AD67" s="774" t="n"/>
      <c r="AE67" s="65" t="n"/>
      <c r="AF67" s="65" t="n"/>
      <c r="AG67" s="35" t="n"/>
    </row>
    <row r="68" hidden="1" ht="17.25" customFormat="1" customHeight="1" s="10">
      <c r="A68" s="9" t="n"/>
      <c r="B68" s="717" t="inlineStr">
        <is>
          <t xml:space="preserve">A12- Kurulu Kapasite </t>
        </is>
      </c>
      <c r="C68" s="773" t="n"/>
      <c r="D68" s="773" t="n"/>
      <c r="E68" s="773" t="n"/>
      <c r="F68" s="774" t="n"/>
      <c r="G68" s="569">
        <f>VeriGiris!G103</f>
        <v/>
      </c>
      <c r="H68" s="774" t="n"/>
      <c r="I68" s="749">
        <f>VeriGiris!I103</f>
        <v/>
      </c>
      <c r="J68" s="774" t="n"/>
      <c r="K68" s="749">
        <f>VeriGiris!K103</f>
        <v/>
      </c>
      <c r="L68" s="774" t="n"/>
      <c r="M68" s="749">
        <f>VeriGiris!M103</f>
        <v/>
      </c>
      <c r="N68" s="774" t="n"/>
      <c r="O68" s="749">
        <f>VeriGiris!O103</f>
        <v/>
      </c>
      <c r="P68" s="774" t="n"/>
      <c r="Q68" s="749">
        <f>VeriGiris!Q103</f>
        <v/>
      </c>
      <c r="R68" s="774" t="n"/>
      <c r="S68" s="749">
        <f>VeriGiris!S103</f>
        <v/>
      </c>
      <c r="T68" s="774" t="n"/>
      <c r="U68" s="749">
        <f>VeriGiris!U103</f>
        <v/>
      </c>
      <c r="V68" s="774" t="n"/>
      <c r="W68" s="749">
        <f>VeriGiris!W103</f>
        <v/>
      </c>
      <c r="X68" s="774" t="n"/>
      <c r="Y68" s="749">
        <f>VeriGiris!Y103</f>
        <v/>
      </c>
      <c r="Z68" s="774" t="n"/>
      <c r="AA68" s="749">
        <f>VeriGiris!AA103</f>
        <v/>
      </c>
      <c r="AB68" s="774" t="n"/>
      <c r="AC68" s="749">
        <f>VeriGiris!AC103</f>
        <v/>
      </c>
      <c r="AD68" s="774" t="n"/>
      <c r="AE68" s="66" t="n"/>
      <c r="AF68" s="66" t="n"/>
      <c r="AG68" s="35" t="n"/>
    </row>
    <row r="69" hidden="1" ht="17.25" customFormat="1" customHeight="1" s="10">
      <c r="A69" s="9" t="n"/>
      <c r="B69" s="717" t="inlineStr">
        <is>
          <t>B12- Üretim Miktarı</t>
        </is>
      </c>
      <c r="C69" s="773" t="n"/>
      <c r="D69" s="773" t="n"/>
      <c r="E69" s="773" t="n"/>
      <c r="F69" s="774" t="n"/>
      <c r="G69" s="569">
        <f>VeriGiris!G104</f>
        <v/>
      </c>
      <c r="H69" s="774" t="n"/>
      <c r="I69" s="749">
        <f>VeriGiris!I104</f>
        <v/>
      </c>
      <c r="J69" s="774" t="n"/>
      <c r="K69" s="749">
        <f>VeriGiris!K104</f>
        <v/>
      </c>
      <c r="L69" s="774" t="n"/>
      <c r="M69" s="749">
        <f>VeriGiris!M104</f>
        <v/>
      </c>
      <c r="N69" s="774" t="n"/>
      <c r="O69" s="749">
        <f>VeriGiris!O104</f>
        <v/>
      </c>
      <c r="P69" s="774" t="n"/>
      <c r="Q69" s="749">
        <f>VeriGiris!Q104</f>
        <v/>
      </c>
      <c r="R69" s="774" t="n"/>
      <c r="S69" s="749">
        <f>VeriGiris!S104</f>
        <v/>
      </c>
      <c r="T69" s="774" t="n"/>
      <c r="U69" s="749">
        <f>VeriGiris!U104</f>
        <v/>
      </c>
      <c r="V69" s="774" t="n"/>
      <c r="W69" s="749">
        <f>VeriGiris!W104</f>
        <v/>
      </c>
      <c r="X69" s="774" t="n"/>
      <c r="Y69" s="749">
        <f>VeriGiris!Y104</f>
        <v/>
      </c>
      <c r="Z69" s="774" t="n"/>
      <c r="AA69" s="749">
        <f>VeriGiris!AA104</f>
        <v/>
      </c>
      <c r="AB69" s="774" t="n"/>
      <c r="AC69" s="749">
        <f>VeriGiris!AC104</f>
        <v/>
      </c>
      <c r="AD69" s="774" t="n"/>
      <c r="AE69" s="66" t="n"/>
      <c r="AF69" s="66" t="n"/>
      <c r="AG69" s="35" t="n"/>
    </row>
    <row r="70" hidden="1" ht="17.25" customFormat="1" customHeight="1" s="10">
      <c r="A70" s="9" t="n"/>
      <c r="B70" s="717" t="inlineStr">
        <is>
          <t>C12-Birim Satış Fiyatı</t>
        </is>
      </c>
      <c r="C70" s="773" t="n"/>
      <c r="D70" s="773" t="n"/>
      <c r="E70" s="773" t="n"/>
      <c r="F70" s="774" t="n"/>
      <c r="G70" s="569">
        <f>VeriGiris!G106</f>
        <v/>
      </c>
      <c r="H70" s="774" t="n"/>
      <c r="I70" s="749">
        <f>VeriGiris!I106</f>
        <v/>
      </c>
      <c r="J70" s="774" t="n"/>
      <c r="K70" s="749">
        <f>VeriGiris!K106</f>
        <v/>
      </c>
      <c r="L70" s="774" t="n"/>
      <c r="M70" s="749">
        <f>VeriGiris!M106</f>
        <v/>
      </c>
      <c r="N70" s="774" t="n"/>
      <c r="O70" s="749">
        <f>VeriGiris!O106</f>
        <v/>
      </c>
      <c r="P70" s="774" t="n"/>
      <c r="Q70" s="749">
        <f>VeriGiris!Q106</f>
        <v/>
      </c>
      <c r="R70" s="774" t="n"/>
      <c r="S70" s="749">
        <f>VeriGiris!S106</f>
        <v/>
      </c>
      <c r="T70" s="774" t="n"/>
      <c r="U70" s="749">
        <f>VeriGiris!U106</f>
        <v/>
      </c>
      <c r="V70" s="774" t="n"/>
      <c r="W70" s="749">
        <f>VeriGiris!W106</f>
        <v/>
      </c>
      <c r="X70" s="774" t="n"/>
      <c r="Y70" s="749">
        <f>VeriGiris!Y106</f>
        <v/>
      </c>
      <c r="Z70" s="774" t="n"/>
      <c r="AA70" s="749">
        <f>VeriGiris!AA106</f>
        <v/>
      </c>
      <c r="AB70" s="774" t="n"/>
      <c r="AC70" s="749">
        <f>VeriGiris!AC106</f>
        <v/>
      </c>
      <c r="AD70" s="774" t="n"/>
      <c r="AE70" s="66" t="n"/>
      <c r="AF70" s="66" t="n"/>
      <c r="AG70" s="35" t="n"/>
    </row>
    <row r="71" hidden="1" ht="27" customFormat="1" customHeight="1" s="10">
      <c r="A71" s="9" t="n"/>
      <c r="B71" s="717" t="inlineStr">
        <is>
          <t>Kapasite Kullanım Oranı
KKO12=% [(B12/A12)*100])</t>
        </is>
      </c>
      <c r="C71" s="773" t="n"/>
      <c r="D71" s="773" t="n"/>
      <c r="E71" s="773" t="n"/>
      <c r="F71" s="774" t="n"/>
      <c r="G71" s="571" t="inlineStr">
        <is>
          <t>-</t>
        </is>
      </c>
      <c r="H71" s="774" t="n"/>
      <c r="I71" s="566">
        <f>IFERROR(I69/I68,0)</f>
        <v/>
      </c>
      <c r="J71" s="774" t="n"/>
      <c r="K71" s="566">
        <f>IFERROR(K69/K68,0)</f>
        <v/>
      </c>
      <c r="L71" s="774" t="n"/>
      <c r="M71" s="566">
        <f>IFERROR(M69/M68,0)</f>
        <v/>
      </c>
      <c r="N71" s="774" t="n"/>
      <c r="O71" s="566">
        <f>IFERROR(O69/O68,0)</f>
        <v/>
      </c>
      <c r="P71" s="774" t="n"/>
      <c r="Q71" s="566">
        <f>IFERROR(Q69/Q68,0)</f>
        <v/>
      </c>
      <c r="R71" s="774" t="n"/>
      <c r="S71" s="566">
        <f>IFERROR(S69/S68,0)</f>
        <v/>
      </c>
      <c r="T71" s="774" t="n"/>
      <c r="U71" s="566">
        <f>IFERROR(U69/U68,0)</f>
        <v/>
      </c>
      <c r="V71" s="774" t="n"/>
      <c r="W71" s="566">
        <f>IFERROR(W69/W68,0)</f>
        <v/>
      </c>
      <c r="X71" s="774" t="n"/>
      <c r="Y71" s="566">
        <f>IFERROR(Y69/Y68,0)</f>
        <v/>
      </c>
      <c r="Z71" s="774" t="n"/>
      <c r="AA71" s="566">
        <f>IFERROR(AA69/AA68,0)</f>
        <v/>
      </c>
      <c r="AB71" s="774" t="n"/>
      <c r="AC71" s="566">
        <f>IFERROR(AC69/AC68,0)</f>
        <v/>
      </c>
      <c r="AD71" s="774" t="n"/>
      <c r="AE71" s="67" t="n"/>
      <c r="AF71" s="67" t="n"/>
      <c r="AG71" s="35" t="n"/>
    </row>
    <row r="72" hidden="1" ht="17.25" customFormat="1" customHeight="1" s="10">
      <c r="A72" s="9" t="n">
        <v>13</v>
      </c>
      <c r="B72" s="572">
        <f>VeriGiris!B108</f>
        <v/>
      </c>
      <c r="C72" s="773" t="n"/>
      <c r="D72" s="773" t="n"/>
      <c r="E72" s="773" t="n"/>
      <c r="F72" s="774" t="n"/>
      <c r="G72" s="570" t="n"/>
      <c r="H72" s="774" t="n"/>
      <c r="I72" s="570" t="n"/>
      <c r="J72" s="774" t="n"/>
      <c r="K72" s="570" t="n"/>
      <c r="L72" s="774" t="n"/>
      <c r="M72" s="570" t="n"/>
      <c r="N72" s="774" t="n"/>
      <c r="O72" s="570" t="n"/>
      <c r="P72" s="774" t="n"/>
      <c r="Q72" s="570" t="n"/>
      <c r="R72" s="774" t="n"/>
      <c r="S72" s="570" t="n"/>
      <c r="T72" s="774" t="n"/>
      <c r="U72" s="570" t="n"/>
      <c r="V72" s="774" t="n"/>
      <c r="W72" s="570" t="n"/>
      <c r="X72" s="774" t="n"/>
      <c r="Y72" s="570" t="n"/>
      <c r="Z72" s="774" t="n"/>
      <c r="AA72" s="570" t="n"/>
      <c r="AB72" s="774" t="n"/>
      <c r="AC72" s="570" t="n"/>
      <c r="AD72" s="774" t="n"/>
      <c r="AE72" s="65" t="n"/>
      <c r="AF72" s="65" t="n"/>
      <c r="AG72" s="35" t="n"/>
    </row>
    <row r="73" hidden="1" ht="17.25" customFormat="1" customHeight="1" s="10">
      <c r="A73" s="9" t="n"/>
      <c r="B73" s="717" t="inlineStr">
        <is>
          <t xml:space="preserve">A13- Kurulu Kapasite </t>
        </is>
      </c>
      <c r="C73" s="773" t="n"/>
      <c r="D73" s="773" t="n"/>
      <c r="E73" s="773" t="n"/>
      <c r="F73" s="774" t="n"/>
      <c r="G73" s="569">
        <f>VeriGiris!G109</f>
        <v/>
      </c>
      <c r="H73" s="774" t="n"/>
      <c r="I73" s="749">
        <f>VeriGiris!I109</f>
        <v/>
      </c>
      <c r="J73" s="774" t="n"/>
      <c r="K73" s="749">
        <f>VeriGiris!K109</f>
        <v/>
      </c>
      <c r="L73" s="774" t="n"/>
      <c r="M73" s="749">
        <f>VeriGiris!M109</f>
        <v/>
      </c>
      <c r="N73" s="774" t="n"/>
      <c r="O73" s="749">
        <f>VeriGiris!O109</f>
        <v/>
      </c>
      <c r="P73" s="774" t="n"/>
      <c r="Q73" s="749">
        <f>VeriGiris!Q109</f>
        <v/>
      </c>
      <c r="R73" s="774" t="n"/>
      <c r="S73" s="749">
        <f>VeriGiris!S109</f>
        <v/>
      </c>
      <c r="T73" s="774" t="n"/>
      <c r="U73" s="749">
        <f>VeriGiris!U109</f>
        <v/>
      </c>
      <c r="V73" s="774" t="n"/>
      <c r="W73" s="749">
        <f>VeriGiris!W109</f>
        <v/>
      </c>
      <c r="X73" s="774" t="n"/>
      <c r="Y73" s="749">
        <f>VeriGiris!Y109</f>
        <v/>
      </c>
      <c r="Z73" s="774" t="n"/>
      <c r="AA73" s="749">
        <f>VeriGiris!AA109</f>
        <v/>
      </c>
      <c r="AB73" s="774" t="n"/>
      <c r="AC73" s="749">
        <f>VeriGiris!AC109</f>
        <v/>
      </c>
      <c r="AD73" s="774" t="n"/>
      <c r="AE73" s="66" t="n"/>
      <c r="AF73" s="66" t="n"/>
      <c r="AG73" s="35" t="n"/>
    </row>
    <row r="74" hidden="1" ht="17.25" customFormat="1" customHeight="1" s="10">
      <c r="A74" s="9" t="n"/>
      <c r="B74" s="717" t="inlineStr">
        <is>
          <t>B13- Üretim Miktarı</t>
        </is>
      </c>
      <c r="C74" s="773" t="n"/>
      <c r="D74" s="773" t="n"/>
      <c r="E74" s="773" t="n"/>
      <c r="F74" s="774" t="n"/>
      <c r="G74" s="569">
        <f>VeriGiris!G110</f>
        <v/>
      </c>
      <c r="H74" s="774" t="n"/>
      <c r="I74" s="749">
        <f>VeriGiris!I110</f>
        <v/>
      </c>
      <c r="J74" s="774" t="n"/>
      <c r="K74" s="749">
        <f>VeriGiris!K110</f>
        <v/>
      </c>
      <c r="L74" s="774" t="n"/>
      <c r="M74" s="749">
        <f>VeriGiris!M110</f>
        <v/>
      </c>
      <c r="N74" s="774" t="n"/>
      <c r="O74" s="749">
        <f>VeriGiris!O110</f>
        <v/>
      </c>
      <c r="P74" s="774" t="n"/>
      <c r="Q74" s="749">
        <f>VeriGiris!Q110</f>
        <v/>
      </c>
      <c r="R74" s="774" t="n"/>
      <c r="S74" s="749">
        <f>VeriGiris!S110</f>
        <v/>
      </c>
      <c r="T74" s="774" t="n"/>
      <c r="U74" s="749">
        <f>VeriGiris!U110</f>
        <v/>
      </c>
      <c r="V74" s="774" t="n"/>
      <c r="W74" s="749">
        <f>VeriGiris!W110</f>
        <v/>
      </c>
      <c r="X74" s="774" t="n"/>
      <c r="Y74" s="749">
        <f>VeriGiris!Y110</f>
        <v/>
      </c>
      <c r="Z74" s="774" t="n"/>
      <c r="AA74" s="749">
        <f>VeriGiris!AA110</f>
        <v/>
      </c>
      <c r="AB74" s="774" t="n"/>
      <c r="AC74" s="749">
        <f>VeriGiris!AC110</f>
        <v/>
      </c>
      <c r="AD74" s="774" t="n"/>
      <c r="AE74" s="66" t="n"/>
      <c r="AF74" s="66" t="n"/>
      <c r="AG74" s="35" t="n"/>
    </row>
    <row r="75" hidden="1" ht="17.25" customFormat="1" customHeight="1" s="10">
      <c r="A75" s="9" t="n"/>
      <c r="B75" s="717" t="inlineStr">
        <is>
          <t>C13-Birim Satış Fiyatı</t>
        </is>
      </c>
      <c r="C75" s="773" t="n"/>
      <c r="D75" s="773" t="n"/>
      <c r="E75" s="773" t="n"/>
      <c r="F75" s="774" t="n"/>
      <c r="G75" s="569">
        <f>VeriGiris!G112</f>
        <v/>
      </c>
      <c r="H75" s="774" t="n"/>
      <c r="I75" s="749">
        <f>VeriGiris!I112</f>
        <v/>
      </c>
      <c r="J75" s="774" t="n"/>
      <c r="K75" s="749">
        <f>VeriGiris!K112</f>
        <v/>
      </c>
      <c r="L75" s="774" t="n"/>
      <c r="M75" s="749">
        <f>VeriGiris!M112</f>
        <v/>
      </c>
      <c r="N75" s="774" t="n"/>
      <c r="O75" s="749">
        <f>VeriGiris!O112</f>
        <v/>
      </c>
      <c r="P75" s="774" t="n"/>
      <c r="Q75" s="749">
        <f>VeriGiris!Q112</f>
        <v/>
      </c>
      <c r="R75" s="774" t="n"/>
      <c r="S75" s="749">
        <f>VeriGiris!S112</f>
        <v/>
      </c>
      <c r="T75" s="774" t="n"/>
      <c r="U75" s="749">
        <f>VeriGiris!U112</f>
        <v/>
      </c>
      <c r="V75" s="774" t="n"/>
      <c r="W75" s="749">
        <f>VeriGiris!W112</f>
        <v/>
      </c>
      <c r="X75" s="774" t="n"/>
      <c r="Y75" s="749">
        <f>VeriGiris!Y112</f>
        <v/>
      </c>
      <c r="Z75" s="774" t="n"/>
      <c r="AA75" s="749">
        <f>VeriGiris!AA112</f>
        <v/>
      </c>
      <c r="AB75" s="774" t="n"/>
      <c r="AC75" s="749">
        <f>VeriGiris!AC112</f>
        <v/>
      </c>
      <c r="AD75" s="774" t="n"/>
      <c r="AE75" s="66" t="n"/>
      <c r="AF75" s="66" t="n"/>
      <c r="AG75" s="35" t="n"/>
    </row>
    <row r="76" hidden="1" ht="27" customFormat="1" customHeight="1" s="10">
      <c r="A76" s="9" t="n"/>
      <c r="B76" s="717" t="inlineStr">
        <is>
          <t>Kapasite Kullanım Oranı
KKO13=% [(B13/A13)*100])</t>
        </is>
      </c>
      <c r="C76" s="773" t="n"/>
      <c r="D76" s="773" t="n"/>
      <c r="E76" s="773" t="n"/>
      <c r="F76" s="774" t="n"/>
      <c r="G76" s="571" t="inlineStr">
        <is>
          <t>-</t>
        </is>
      </c>
      <c r="H76" s="774" t="n"/>
      <c r="I76" s="566">
        <f>IFERROR(I74/I73,0)</f>
        <v/>
      </c>
      <c r="J76" s="774" t="n"/>
      <c r="K76" s="566">
        <f>IFERROR(K74/K73,0)</f>
        <v/>
      </c>
      <c r="L76" s="774" t="n"/>
      <c r="M76" s="566">
        <f>IFERROR(M74/M73,0)</f>
        <v/>
      </c>
      <c r="N76" s="774" t="n"/>
      <c r="O76" s="566">
        <f>IFERROR(O74/O73,0)</f>
        <v/>
      </c>
      <c r="P76" s="774" t="n"/>
      <c r="Q76" s="566">
        <f>IFERROR(Q74/Q73,0)</f>
        <v/>
      </c>
      <c r="R76" s="774" t="n"/>
      <c r="S76" s="566">
        <f>IFERROR(S74/S73,0)</f>
        <v/>
      </c>
      <c r="T76" s="774" t="n"/>
      <c r="U76" s="566">
        <f>IFERROR(U74/U73,0)</f>
        <v/>
      </c>
      <c r="V76" s="774" t="n"/>
      <c r="W76" s="566">
        <f>IFERROR(W74/W73,0)</f>
        <v/>
      </c>
      <c r="X76" s="774" t="n"/>
      <c r="Y76" s="566">
        <f>IFERROR(Y74/Y73,0)</f>
        <v/>
      </c>
      <c r="Z76" s="774" t="n"/>
      <c r="AA76" s="566">
        <f>IFERROR(AA74/AA73,0)</f>
        <v/>
      </c>
      <c r="AB76" s="774" t="n"/>
      <c r="AC76" s="566">
        <f>IFERROR(AC74/AC73,0)</f>
        <v/>
      </c>
      <c r="AD76" s="774" t="n"/>
      <c r="AE76" s="67" t="n"/>
      <c r="AF76" s="67" t="n"/>
      <c r="AG76" s="35" t="n"/>
    </row>
    <row r="77" hidden="1" ht="17.25" customFormat="1" customHeight="1" s="10">
      <c r="A77" s="9" t="n">
        <v>14</v>
      </c>
      <c r="B77" s="572">
        <f>VeriGiris!B114</f>
        <v/>
      </c>
      <c r="C77" s="773" t="n"/>
      <c r="D77" s="773" t="n"/>
      <c r="E77" s="773" t="n"/>
      <c r="F77" s="774" t="n"/>
      <c r="G77" s="570" t="n"/>
      <c r="H77" s="774" t="n"/>
      <c r="I77" s="570" t="n"/>
      <c r="J77" s="774" t="n"/>
      <c r="K77" s="570" t="n"/>
      <c r="L77" s="774" t="n"/>
      <c r="M77" s="570" t="n"/>
      <c r="N77" s="774" t="n"/>
      <c r="O77" s="570" t="n"/>
      <c r="P77" s="774" t="n"/>
      <c r="Q77" s="570" t="n"/>
      <c r="R77" s="774" t="n"/>
      <c r="S77" s="570" t="n"/>
      <c r="T77" s="774" t="n"/>
      <c r="U77" s="570" t="n"/>
      <c r="V77" s="774" t="n"/>
      <c r="W77" s="570" t="n"/>
      <c r="X77" s="774" t="n"/>
      <c r="Y77" s="570" t="n"/>
      <c r="Z77" s="774" t="n"/>
      <c r="AA77" s="570" t="n"/>
      <c r="AB77" s="774" t="n"/>
      <c r="AC77" s="570" t="n"/>
      <c r="AD77" s="774" t="n"/>
      <c r="AE77" s="65" t="n"/>
      <c r="AF77" s="65" t="n"/>
      <c r="AG77" s="35" t="n"/>
    </row>
    <row r="78" hidden="1" ht="17.25" customFormat="1" customHeight="1" s="10">
      <c r="A78" s="9" t="n"/>
      <c r="B78" s="717" t="inlineStr">
        <is>
          <t xml:space="preserve">A14- Kurulu Kapasite </t>
        </is>
      </c>
      <c r="C78" s="773" t="n"/>
      <c r="D78" s="773" t="n"/>
      <c r="E78" s="773" t="n"/>
      <c r="F78" s="774" t="n"/>
      <c r="G78" s="569">
        <f>VeriGiris!G115</f>
        <v/>
      </c>
      <c r="H78" s="774" t="n"/>
      <c r="I78" s="749">
        <f>VeriGiris!I115</f>
        <v/>
      </c>
      <c r="J78" s="774" t="n"/>
      <c r="K78" s="749">
        <f>VeriGiris!K115</f>
        <v/>
      </c>
      <c r="L78" s="774" t="n"/>
      <c r="M78" s="749">
        <f>VeriGiris!M115</f>
        <v/>
      </c>
      <c r="N78" s="774" t="n"/>
      <c r="O78" s="749">
        <f>VeriGiris!O115</f>
        <v/>
      </c>
      <c r="P78" s="774" t="n"/>
      <c r="Q78" s="749">
        <f>VeriGiris!Q115</f>
        <v/>
      </c>
      <c r="R78" s="774" t="n"/>
      <c r="S78" s="749">
        <f>VeriGiris!S115</f>
        <v/>
      </c>
      <c r="T78" s="774" t="n"/>
      <c r="U78" s="749">
        <f>VeriGiris!U115</f>
        <v/>
      </c>
      <c r="V78" s="774" t="n"/>
      <c r="W78" s="749">
        <f>VeriGiris!W115</f>
        <v/>
      </c>
      <c r="X78" s="774" t="n"/>
      <c r="Y78" s="749">
        <f>VeriGiris!Y115</f>
        <v/>
      </c>
      <c r="Z78" s="774" t="n"/>
      <c r="AA78" s="749">
        <f>VeriGiris!AA115</f>
        <v/>
      </c>
      <c r="AB78" s="774" t="n"/>
      <c r="AC78" s="749">
        <f>VeriGiris!AC115</f>
        <v/>
      </c>
      <c r="AD78" s="774" t="n"/>
      <c r="AE78" s="66" t="n"/>
      <c r="AF78" s="66" t="n"/>
      <c r="AG78" s="35" t="n"/>
    </row>
    <row r="79" hidden="1" ht="17.25" customFormat="1" customHeight="1" s="10">
      <c r="A79" s="9" t="n"/>
      <c r="B79" s="717" t="inlineStr">
        <is>
          <t>B14- Üretim Miktarı</t>
        </is>
      </c>
      <c r="C79" s="773" t="n"/>
      <c r="D79" s="773" t="n"/>
      <c r="E79" s="773" t="n"/>
      <c r="F79" s="774" t="n"/>
      <c r="G79" s="569">
        <f>VeriGiris!G116</f>
        <v/>
      </c>
      <c r="H79" s="774" t="n"/>
      <c r="I79" s="749">
        <f>VeriGiris!I116</f>
        <v/>
      </c>
      <c r="J79" s="774" t="n"/>
      <c r="K79" s="749">
        <f>VeriGiris!K116</f>
        <v/>
      </c>
      <c r="L79" s="774" t="n"/>
      <c r="M79" s="749">
        <f>VeriGiris!M116</f>
        <v/>
      </c>
      <c r="N79" s="774" t="n"/>
      <c r="O79" s="749">
        <f>VeriGiris!O116</f>
        <v/>
      </c>
      <c r="P79" s="774" t="n"/>
      <c r="Q79" s="749">
        <f>VeriGiris!Q116</f>
        <v/>
      </c>
      <c r="R79" s="774" t="n"/>
      <c r="S79" s="749">
        <f>VeriGiris!S116</f>
        <v/>
      </c>
      <c r="T79" s="774" t="n"/>
      <c r="U79" s="749">
        <f>VeriGiris!U116</f>
        <v/>
      </c>
      <c r="V79" s="774" t="n"/>
      <c r="W79" s="749">
        <f>VeriGiris!W116</f>
        <v/>
      </c>
      <c r="X79" s="774" t="n"/>
      <c r="Y79" s="749">
        <f>VeriGiris!Y116</f>
        <v/>
      </c>
      <c r="Z79" s="774" t="n"/>
      <c r="AA79" s="749">
        <f>VeriGiris!AA116</f>
        <v/>
      </c>
      <c r="AB79" s="774" t="n"/>
      <c r="AC79" s="749">
        <f>VeriGiris!AC116</f>
        <v/>
      </c>
      <c r="AD79" s="774" t="n"/>
      <c r="AE79" s="66" t="n"/>
      <c r="AF79" s="66" t="n"/>
      <c r="AG79" s="35" t="n"/>
    </row>
    <row r="80" hidden="1" ht="17.25" customFormat="1" customHeight="1" s="10">
      <c r="A80" s="9" t="n"/>
      <c r="B80" s="717" t="inlineStr">
        <is>
          <t>C14-Birim Satış Fiyatı</t>
        </is>
      </c>
      <c r="C80" s="773" t="n"/>
      <c r="D80" s="773" t="n"/>
      <c r="E80" s="773" t="n"/>
      <c r="F80" s="774" t="n"/>
      <c r="G80" s="569">
        <f>VeriGiris!G118</f>
        <v/>
      </c>
      <c r="H80" s="774" t="n"/>
      <c r="I80" s="749">
        <f>VeriGiris!I118</f>
        <v/>
      </c>
      <c r="J80" s="774" t="n"/>
      <c r="K80" s="749">
        <f>VeriGiris!K118</f>
        <v/>
      </c>
      <c r="L80" s="774" t="n"/>
      <c r="M80" s="749">
        <f>VeriGiris!M118</f>
        <v/>
      </c>
      <c r="N80" s="774" t="n"/>
      <c r="O80" s="749">
        <f>VeriGiris!O118</f>
        <v/>
      </c>
      <c r="P80" s="774" t="n"/>
      <c r="Q80" s="749">
        <f>VeriGiris!Q118</f>
        <v/>
      </c>
      <c r="R80" s="774" t="n"/>
      <c r="S80" s="749">
        <f>VeriGiris!S118</f>
        <v/>
      </c>
      <c r="T80" s="774" t="n"/>
      <c r="U80" s="749">
        <f>VeriGiris!U118</f>
        <v/>
      </c>
      <c r="V80" s="774" t="n"/>
      <c r="W80" s="749">
        <f>VeriGiris!W118</f>
        <v/>
      </c>
      <c r="X80" s="774" t="n"/>
      <c r="Y80" s="749">
        <f>VeriGiris!Y118</f>
        <v/>
      </c>
      <c r="Z80" s="774" t="n"/>
      <c r="AA80" s="749">
        <f>VeriGiris!AA118</f>
        <v/>
      </c>
      <c r="AB80" s="774" t="n"/>
      <c r="AC80" s="749">
        <f>VeriGiris!AC118</f>
        <v/>
      </c>
      <c r="AD80" s="774" t="n"/>
      <c r="AE80" s="66" t="n"/>
      <c r="AF80" s="66" t="n"/>
      <c r="AG80" s="35" t="n"/>
    </row>
    <row r="81" hidden="1" ht="27" customFormat="1" customHeight="1" s="10">
      <c r="A81" s="9" t="n"/>
      <c r="B81" s="717" t="inlineStr">
        <is>
          <t xml:space="preserve">Kapasite Kullanım Oranı
KKO14=% [(B14/A14)*100])
</t>
        </is>
      </c>
      <c r="C81" s="773" t="n"/>
      <c r="D81" s="773" t="n"/>
      <c r="E81" s="773" t="n"/>
      <c r="F81" s="774" t="n"/>
      <c r="G81" s="571" t="inlineStr">
        <is>
          <t>-</t>
        </is>
      </c>
      <c r="H81" s="774" t="n"/>
      <c r="I81" s="566">
        <f>IFERROR(I79/I78,0)</f>
        <v/>
      </c>
      <c r="J81" s="774" t="n"/>
      <c r="K81" s="566">
        <f>IFERROR(K79/K78,0)</f>
        <v/>
      </c>
      <c r="L81" s="774" t="n"/>
      <c r="M81" s="566">
        <f>IFERROR(M79/M78,0)</f>
        <v/>
      </c>
      <c r="N81" s="774" t="n"/>
      <c r="O81" s="566">
        <f>IFERROR(O79/O78,0)</f>
        <v/>
      </c>
      <c r="P81" s="774" t="n"/>
      <c r="Q81" s="566">
        <f>IFERROR(Q79/Q78,0)</f>
        <v/>
      </c>
      <c r="R81" s="774" t="n"/>
      <c r="S81" s="566">
        <f>IFERROR(S79/S78,0)</f>
        <v/>
      </c>
      <c r="T81" s="774" t="n"/>
      <c r="U81" s="566">
        <f>IFERROR(U79/U78,0)</f>
        <v/>
      </c>
      <c r="V81" s="774" t="n"/>
      <c r="W81" s="566">
        <f>IFERROR(W79/W78,0)</f>
        <v/>
      </c>
      <c r="X81" s="774" t="n"/>
      <c r="Y81" s="566">
        <f>IFERROR(Y79/Y78,0)</f>
        <v/>
      </c>
      <c r="Z81" s="774" t="n"/>
      <c r="AA81" s="566">
        <f>IFERROR(AA79/AA78,0)</f>
        <v/>
      </c>
      <c r="AB81" s="774" t="n"/>
      <c r="AC81" s="566">
        <f>IFERROR(AC79/AC78,0)</f>
        <v/>
      </c>
      <c r="AD81" s="774" t="n"/>
      <c r="AE81" s="67" t="n"/>
      <c r="AF81" s="67" t="n"/>
      <c r="AG81" s="35" t="n"/>
    </row>
    <row r="82" hidden="1" ht="17.25" customFormat="1" customHeight="1" s="10">
      <c r="A82" s="9" t="n">
        <v>15</v>
      </c>
      <c r="B82" s="572">
        <f>VeriGiris!B120</f>
        <v/>
      </c>
      <c r="C82" s="773" t="n"/>
      <c r="D82" s="773" t="n"/>
      <c r="E82" s="773" t="n"/>
      <c r="F82" s="774" t="n"/>
      <c r="G82" s="570" t="n"/>
      <c r="H82" s="774" t="n"/>
      <c r="I82" s="570" t="n"/>
      <c r="J82" s="774" t="n"/>
      <c r="K82" s="570" t="n"/>
      <c r="L82" s="774" t="n"/>
      <c r="M82" s="570" t="n"/>
      <c r="N82" s="774" t="n"/>
      <c r="O82" s="570" t="n"/>
      <c r="P82" s="774" t="n"/>
      <c r="Q82" s="570" t="n"/>
      <c r="R82" s="774" t="n"/>
      <c r="S82" s="570" t="n"/>
      <c r="T82" s="774" t="n"/>
      <c r="U82" s="570" t="n"/>
      <c r="V82" s="774" t="n"/>
      <c r="W82" s="570" t="n"/>
      <c r="X82" s="774" t="n"/>
      <c r="Y82" s="570" t="n"/>
      <c r="Z82" s="774" t="n"/>
      <c r="AA82" s="570" t="n"/>
      <c r="AB82" s="774" t="n"/>
      <c r="AC82" s="570" t="n"/>
      <c r="AD82" s="774" t="n"/>
      <c r="AE82" s="65" t="n"/>
      <c r="AF82" s="65" t="n"/>
      <c r="AG82" s="35" t="n"/>
    </row>
    <row r="83" hidden="1" ht="17.25" customFormat="1" customHeight="1" s="10">
      <c r="A83" s="9" t="n"/>
      <c r="B83" s="717" t="inlineStr">
        <is>
          <t xml:space="preserve">A15- Kurulu Kapasite </t>
        </is>
      </c>
      <c r="C83" s="773" t="n"/>
      <c r="D83" s="773" t="n"/>
      <c r="E83" s="773" t="n"/>
      <c r="F83" s="774" t="n"/>
      <c r="G83" s="569">
        <f>VeriGiris!G121</f>
        <v/>
      </c>
      <c r="H83" s="774" t="n"/>
      <c r="I83" s="749">
        <f>VeriGiris!I121</f>
        <v/>
      </c>
      <c r="J83" s="774" t="n"/>
      <c r="K83" s="749">
        <f>VeriGiris!K121</f>
        <v/>
      </c>
      <c r="L83" s="774" t="n"/>
      <c r="M83" s="749">
        <f>VeriGiris!M121</f>
        <v/>
      </c>
      <c r="N83" s="774" t="n"/>
      <c r="O83" s="749">
        <f>VeriGiris!O121</f>
        <v/>
      </c>
      <c r="P83" s="774" t="n"/>
      <c r="Q83" s="749">
        <f>VeriGiris!Q121</f>
        <v/>
      </c>
      <c r="R83" s="774" t="n"/>
      <c r="S83" s="749">
        <f>VeriGiris!S121</f>
        <v/>
      </c>
      <c r="T83" s="774" t="n"/>
      <c r="U83" s="749">
        <f>VeriGiris!U121</f>
        <v/>
      </c>
      <c r="V83" s="774" t="n"/>
      <c r="W83" s="749">
        <f>VeriGiris!W121</f>
        <v/>
      </c>
      <c r="X83" s="774" t="n"/>
      <c r="Y83" s="749">
        <f>VeriGiris!Y121</f>
        <v/>
      </c>
      <c r="Z83" s="774" t="n"/>
      <c r="AA83" s="749">
        <f>VeriGiris!AA121</f>
        <v/>
      </c>
      <c r="AB83" s="774" t="n"/>
      <c r="AC83" s="749">
        <f>VeriGiris!AC121</f>
        <v/>
      </c>
      <c r="AD83" s="774" t="n"/>
      <c r="AE83" s="66" t="n"/>
      <c r="AF83" s="66" t="n"/>
      <c r="AG83" s="35" t="n"/>
    </row>
    <row r="84" hidden="1" ht="17.25" customFormat="1" customHeight="1" s="10">
      <c r="A84" s="9" t="n"/>
      <c r="B84" s="717" t="inlineStr">
        <is>
          <t>B15- Üretim Miktarı</t>
        </is>
      </c>
      <c r="C84" s="773" t="n"/>
      <c r="D84" s="773" t="n"/>
      <c r="E84" s="773" t="n"/>
      <c r="F84" s="774" t="n"/>
      <c r="G84" s="569">
        <f>VeriGiris!G122</f>
        <v/>
      </c>
      <c r="H84" s="774" t="n"/>
      <c r="I84" s="749">
        <f>VeriGiris!I122</f>
        <v/>
      </c>
      <c r="J84" s="774" t="n"/>
      <c r="K84" s="749">
        <f>VeriGiris!K122</f>
        <v/>
      </c>
      <c r="L84" s="774" t="n"/>
      <c r="M84" s="749">
        <f>VeriGiris!M122</f>
        <v/>
      </c>
      <c r="N84" s="774" t="n"/>
      <c r="O84" s="749">
        <f>VeriGiris!O122</f>
        <v/>
      </c>
      <c r="P84" s="774" t="n"/>
      <c r="Q84" s="749">
        <f>VeriGiris!Q122</f>
        <v/>
      </c>
      <c r="R84" s="774" t="n"/>
      <c r="S84" s="749">
        <f>VeriGiris!S122</f>
        <v/>
      </c>
      <c r="T84" s="774" t="n"/>
      <c r="U84" s="749">
        <f>VeriGiris!U122</f>
        <v/>
      </c>
      <c r="V84" s="774" t="n"/>
      <c r="W84" s="749">
        <f>VeriGiris!W122</f>
        <v/>
      </c>
      <c r="X84" s="774" t="n"/>
      <c r="Y84" s="749">
        <f>VeriGiris!Y122</f>
        <v/>
      </c>
      <c r="Z84" s="774" t="n"/>
      <c r="AA84" s="749">
        <f>VeriGiris!AA122</f>
        <v/>
      </c>
      <c r="AB84" s="774" t="n"/>
      <c r="AC84" s="749">
        <f>VeriGiris!AC122</f>
        <v/>
      </c>
      <c r="AD84" s="774" t="n"/>
      <c r="AE84" s="66" t="n"/>
      <c r="AF84" s="66" t="n"/>
      <c r="AG84" s="35" t="n"/>
    </row>
    <row r="85" hidden="1" ht="17.25" customFormat="1" customHeight="1" s="10">
      <c r="A85" s="9" t="n"/>
      <c r="B85" s="717" t="inlineStr">
        <is>
          <t>C15-Birim Satış Fiyatı</t>
        </is>
      </c>
      <c r="C85" s="773" t="n"/>
      <c r="D85" s="773" t="n"/>
      <c r="E85" s="773" t="n"/>
      <c r="F85" s="774" t="n"/>
      <c r="G85" s="569">
        <f>VeriGiris!G124</f>
        <v/>
      </c>
      <c r="H85" s="774" t="n"/>
      <c r="I85" s="749">
        <f>VeriGiris!I124</f>
        <v/>
      </c>
      <c r="J85" s="774" t="n"/>
      <c r="K85" s="749">
        <f>VeriGiris!K124</f>
        <v/>
      </c>
      <c r="L85" s="774" t="n"/>
      <c r="M85" s="749">
        <f>VeriGiris!M124</f>
        <v/>
      </c>
      <c r="N85" s="774" t="n"/>
      <c r="O85" s="749">
        <f>VeriGiris!O124</f>
        <v/>
      </c>
      <c r="P85" s="774" t="n"/>
      <c r="Q85" s="749">
        <f>VeriGiris!Q124</f>
        <v/>
      </c>
      <c r="R85" s="774" t="n"/>
      <c r="S85" s="749">
        <f>VeriGiris!S124</f>
        <v/>
      </c>
      <c r="T85" s="774" t="n"/>
      <c r="U85" s="749">
        <f>VeriGiris!U124</f>
        <v/>
      </c>
      <c r="V85" s="774" t="n"/>
      <c r="W85" s="749">
        <f>VeriGiris!W124</f>
        <v/>
      </c>
      <c r="X85" s="774" t="n"/>
      <c r="Y85" s="749">
        <f>VeriGiris!Y124</f>
        <v/>
      </c>
      <c r="Z85" s="774" t="n"/>
      <c r="AA85" s="749">
        <f>VeriGiris!AA124</f>
        <v/>
      </c>
      <c r="AB85" s="774" t="n"/>
      <c r="AC85" s="749">
        <f>VeriGiris!AC124</f>
        <v/>
      </c>
      <c r="AD85" s="774" t="n"/>
      <c r="AE85" s="66" t="n"/>
      <c r="AF85" s="66" t="n"/>
      <c r="AG85" s="35" t="n"/>
    </row>
    <row r="86" hidden="1" ht="27" customFormat="1" customHeight="1" s="10">
      <c r="A86" s="9" t="n"/>
      <c r="B86" s="717" t="inlineStr">
        <is>
          <t>Kapasite Kullanım Oranı
KKO15=% [(B15/A15)*100])</t>
        </is>
      </c>
      <c r="C86" s="773" t="n"/>
      <c r="D86" s="773" t="n"/>
      <c r="E86" s="773" t="n"/>
      <c r="F86" s="774" t="n"/>
      <c r="G86" s="571" t="inlineStr">
        <is>
          <t>-</t>
        </is>
      </c>
      <c r="H86" s="774" t="n"/>
      <c r="I86" s="566">
        <f>IFERROR(I84/I83,0)</f>
        <v/>
      </c>
      <c r="J86" s="774" t="n"/>
      <c r="K86" s="566">
        <f>IFERROR(K84/K83,0)</f>
        <v/>
      </c>
      <c r="L86" s="774" t="n"/>
      <c r="M86" s="566">
        <f>IFERROR(M84/M83,0)</f>
        <v/>
      </c>
      <c r="N86" s="774" t="n"/>
      <c r="O86" s="566">
        <f>IFERROR(O84/O83,0)</f>
        <v/>
      </c>
      <c r="P86" s="774" t="n"/>
      <c r="Q86" s="566">
        <f>IFERROR(Q84/Q83,0)</f>
        <v/>
      </c>
      <c r="R86" s="774" t="n"/>
      <c r="S86" s="566">
        <f>IFERROR(S84/S83,0)</f>
        <v/>
      </c>
      <c r="T86" s="774" t="n"/>
      <c r="U86" s="566">
        <f>IFERROR(U84/U83,0)</f>
        <v/>
      </c>
      <c r="V86" s="774" t="n"/>
      <c r="W86" s="566">
        <f>IFERROR(W84/W83,0)</f>
        <v/>
      </c>
      <c r="X86" s="774" t="n"/>
      <c r="Y86" s="566">
        <f>IFERROR(Y84/Y83,0)</f>
        <v/>
      </c>
      <c r="Z86" s="774" t="n"/>
      <c r="AA86" s="566">
        <f>IFERROR(AA84/AA83,0)</f>
        <v/>
      </c>
      <c r="AB86" s="774" t="n"/>
      <c r="AC86" s="566">
        <f>IFERROR(AC84/AC83,0)</f>
        <v/>
      </c>
      <c r="AD86" s="774" t="n"/>
      <c r="AE86" s="67" t="n"/>
      <c r="AF86" s="67" t="n"/>
      <c r="AG86" s="35" t="n"/>
    </row>
    <row r="87" hidden="1" ht="17.25" customFormat="1" customHeight="1" s="10">
      <c r="A87" s="9" t="n">
        <v>16</v>
      </c>
      <c r="B87" s="572">
        <f>VeriGiris!B126</f>
        <v/>
      </c>
      <c r="C87" s="773" t="n"/>
      <c r="D87" s="773" t="n"/>
      <c r="E87" s="773" t="n"/>
      <c r="F87" s="774" t="n"/>
      <c r="G87" s="570" t="n"/>
      <c r="H87" s="774" t="n"/>
      <c r="I87" s="570" t="n"/>
      <c r="J87" s="774" t="n"/>
      <c r="K87" s="570" t="n"/>
      <c r="L87" s="774" t="n"/>
      <c r="M87" s="570" t="n"/>
      <c r="N87" s="774" t="n"/>
      <c r="O87" s="570" t="n"/>
      <c r="P87" s="774" t="n"/>
      <c r="Q87" s="570" t="n"/>
      <c r="R87" s="774" t="n"/>
      <c r="S87" s="570" t="n"/>
      <c r="T87" s="774" t="n"/>
      <c r="U87" s="570" t="n"/>
      <c r="V87" s="774" t="n"/>
      <c r="W87" s="570" t="n"/>
      <c r="X87" s="774" t="n"/>
      <c r="Y87" s="570" t="n"/>
      <c r="Z87" s="774" t="n"/>
      <c r="AA87" s="570" t="n"/>
      <c r="AB87" s="774" t="n"/>
      <c r="AC87" s="570" t="n"/>
      <c r="AD87" s="774" t="n"/>
      <c r="AE87" s="65" t="n"/>
      <c r="AF87" s="65" t="n"/>
      <c r="AG87" s="35" t="n"/>
    </row>
    <row r="88" hidden="1" ht="17.25" customFormat="1" customHeight="1" s="10">
      <c r="A88" s="9" t="n"/>
      <c r="B88" s="717" t="inlineStr">
        <is>
          <t xml:space="preserve">A16- Kurulu Kapasite </t>
        </is>
      </c>
      <c r="C88" s="773" t="n"/>
      <c r="D88" s="773" t="n"/>
      <c r="E88" s="773" t="n"/>
      <c r="F88" s="774" t="n"/>
      <c r="G88" s="569">
        <f>VeriGiris!G127</f>
        <v/>
      </c>
      <c r="H88" s="774" t="n"/>
      <c r="I88" s="749">
        <f>VeriGiris!I127</f>
        <v/>
      </c>
      <c r="J88" s="774" t="n"/>
      <c r="K88" s="749">
        <f>VeriGiris!K127</f>
        <v/>
      </c>
      <c r="L88" s="774" t="n"/>
      <c r="M88" s="749">
        <f>VeriGiris!M127</f>
        <v/>
      </c>
      <c r="N88" s="774" t="n"/>
      <c r="O88" s="749">
        <f>VeriGiris!O127</f>
        <v/>
      </c>
      <c r="P88" s="774" t="n"/>
      <c r="Q88" s="749">
        <f>VeriGiris!Q127</f>
        <v/>
      </c>
      <c r="R88" s="774" t="n"/>
      <c r="S88" s="749">
        <f>VeriGiris!S127</f>
        <v/>
      </c>
      <c r="T88" s="774" t="n"/>
      <c r="U88" s="749">
        <f>VeriGiris!U127</f>
        <v/>
      </c>
      <c r="V88" s="774" t="n"/>
      <c r="W88" s="749">
        <f>VeriGiris!W127</f>
        <v/>
      </c>
      <c r="X88" s="774" t="n"/>
      <c r="Y88" s="749">
        <f>VeriGiris!Y127</f>
        <v/>
      </c>
      <c r="Z88" s="774" t="n"/>
      <c r="AA88" s="749">
        <f>VeriGiris!AA127</f>
        <v/>
      </c>
      <c r="AB88" s="774" t="n"/>
      <c r="AC88" s="749">
        <f>VeriGiris!AC127</f>
        <v/>
      </c>
      <c r="AD88" s="774" t="n"/>
      <c r="AE88" s="66" t="n"/>
      <c r="AF88" s="66" t="n"/>
      <c r="AG88" s="35" t="n"/>
    </row>
    <row r="89" hidden="1" ht="17.25" customFormat="1" customHeight="1" s="10">
      <c r="A89" s="9" t="n"/>
      <c r="B89" s="717" t="inlineStr">
        <is>
          <t>B16- Üretim Miktarı</t>
        </is>
      </c>
      <c r="C89" s="773" t="n"/>
      <c r="D89" s="773" t="n"/>
      <c r="E89" s="773" t="n"/>
      <c r="F89" s="774" t="n"/>
      <c r="G89" s="569">
        <f>VeriGiris!G128</f>
        <v/>
      </c>
      <c r="H89" s="774" t="n"/>
      <c r="I89" s="749">
        <f>VeriGiris!I128</f>
        <v/>
      </c>
      <c r="J89" s="774" t="n"/>
      <c r="K89" s="749">
        <f>VeriGiris!K128</f>
        <v/>
      </c>
      <c r="L89" s="774" t="n"/>
      <c r="M89" s="749">
        <f>VeriGiris!M128</f>
        <v/>
      </c>
      <c r="N89" s="774" t="n"/>
      <c r="O89" s="749">
        <f>VeriGiris!O128</f>
        <v/>
      </c>
      <c r="P89" s="774" t="n"/>
      <c r="Q89" s="749">
        <f>VeriGiris!Q128</f>
        <v/>
      </c>
      <c r="R89" s="774" t="n"/>
      <c r="S89" s="749">
        <f>VeriGiris!S128</f>
        <v/>
      </c>
      <c r="T89" s="774" t="n"/>
      <c r="U89" s="749">
        <f>VeriGiris!U128</f>
        <v/>
      </c>
      <c r="V89" s="774" t="n"/>
      <c r="W89" s="749">
        <f>VeriGiris!W128</f>
        <v/>
      </c>
      <c r="X89" s="774" t="n"/>
      <c r="Y89" s="749">
        <f>VeriGiris!Y128</f>
        <v/>
      </c>
      <c r="Z89" s="774" t="n"/>
      <c r="AA89" s="749">
        <f>VeriGiris!AA128</f>
        <v/>
      </c>
      <c r="AB89" s="774" t="n"/>
      <c r="AC89" s="749">
        <f>VeriGiris!AC128</f>
        <v/>
      </c>
      <c r="AD89" s="774" t="n"/>
      <c r="AE89" s="66" t="n"/>
      <c r="AF89" s="66" t="n"/>
      <c r="AG89" s="35" t="n"/>
    </row>
    <row r="90" hidden="1" ht="17.25" customFormat="1" customHeight="1" s="10">
      <c r="A90" s="9" t="n"/>
      <c r="B90" s="717" t="inlineStr">
        <is>
          <t>C16-Birim Satış Fiyatı</t>
        </is>
      </c>
      <c r="C90" s="773" t="n"/>
      <c r="D90" s="773" t="n"/>
      <c r="E90" s="773" t="n"/>
      <c r="F90" s="774" t="n"/>
      <c r="G90" s="569">
        <f>VeriGiris!G130</f>
        <v/>
      </c>
      <c r="H90" s="774" t="n"/>
      <c r="I90" s="749">
        <f>VeriGiris!I130</f>
        <v/>
      </c>
      <c r="J90" s="774" t="n"/>
      <c r="K90" s="749">
        <f>VeriGiris!K130</f>
        <v/>
      </c>
      <c r="L90" s="774" t="n"/>
      <c r="M90" s="749">
        <f>VeriGiris!M130</f>
        <v/>
      </c>
      <c r="N90" s="774" t="n"/>
      <c r="O90" s="749">
        <f>VeriGiris!O130</f>
        <v/>
      </c>
      <c r="P90" s="774" t="n"/>
      <c r="Q90" s="749">
        <f>VeriGiris!Q130</f>
        <v/>
      </c>
      <c r="R90" s="774" t="n"/>
      <c r="S90" s="749">
        <f>VeriGiris!S130</f>
        <v/>
      </c>
      <c r="T90" s="774" t="n"/>
      <c r="U90" s="749">
        <f>VeriGiris!U130</f>
        <v/>
      </c>
      <c r="V90" s="774" t="n"/>
      <c r="W90" s="749">
        <f>VeriGiris!W130</f>
        <v/>
      </c>
      <c r="X90" s="774" t="n"/>
      <c r="Y90" s="749">
        <f>VeriGiris!Y130</f>
        <v/>
      </c>
      <c r="Z90" s="774" t="n"/>
      <c r="AA90" s="749">
        <f>VeriGiris!AA130</f>
        <v/>
      </c>
      <c r="AB90" s="774" t="n"/>
      <c r="AC90" s="749">
        <f>VeriGiris!AC130</f>
        <v/>
      </c>
      <c r="AD90" s="774" t="n"/>
      <c r="AE90" s="66" t="n"/>
      <c r="AF90" s="66" t="n"/>
      <c r="AG90" s="35" t="n"/>
    </row>
    <row r="91" hidden="1" ht="27" customFormat="1" customHeight="1" s="10">
      <c r="A91" s="9" t="n"/>
      <c r="B91" s="717" t="inlineStr">
        <is>
          <t>Kapasite Kullanım Oranı
KKO16=% [(B16/A16)*100])</t>
        </is>
      </c>
      <c r="C91" s="773" t="n"/>
      <c r="D91" s="773" t="n"/>
      <c r="E91" s="773" t="n"/>
      <c r="F91" s="774" t="n"/>
      <c r="G91" s="571" t="inlineStr">
        <is>
          <t>-</t>
        </is>
      </c>
      <c r="H91" s="774" t="n"/>
      <c r="I91" s="566">
        <f>IFERROR(I89/I88,0)</f>
        <v/>
      </c>
      <c r="J91" s="774" t="n"/>
      <c r="K91" s="566">
        <f>IFERROR(K89/K88,0)</f>
        <v/>
      </c>
      <c r="L91" s="774" t="n"/>
      <c r="M91" s="566">
        <f>IFERROR(M89/M88,0)</f>
        <v/>
      </c>
      <c r="N91" s="774" t="n"/>
      <c r="O91" s="566">
        <f>IFERROR(O89/O88,0)</f>
        <v/>
      </c>
      <c r="P91" s="774" t="n"/>
      <c r="Q91" s="566">
        <f>IFERROR(Q89/Q88,0)</f>
        <v/>
      </c>
      <c r="R91" s="774" t="n"/>
      <c r="S91" s="566">
        <f>IFERROR(S89/S88,0)</f>
        <v/>
      </c>
      <c r="T91" s="774" t="n"/>
      <c r="U91" s="566">
        <f>IFERROR(U89/U88,0)</f>
        <v/>
      </c>
      <c r="V91" s="774" t="n"/>
      <c r="W91" s="566">
        <f>IFERROR(W89/W88,0)</f>
        <v/>
      </c>
      <c r="X91" s="774" t="n"/>
      <c r="Y91" s="566">
        <f>IFERROR(Y89/Y88,0)</f>
        <v/>
      </c>
      <c r="Z91" s="774" t="n"/>
      <c r="AA91" s="566">
        <f>IFERROR(AA89/AA88,0)</f>
        <v/>
      </c>
      <c r="AB91" s="774" t="n"/>
      <c r="AC91" s="566">
        <f>IFERROR(AC89/AC88,0)</f>
        <v/>
      </c>
      <c r="AD91" s="774" t="n"/>
      <c r="AE91" s="67" t="n"/>
      <c r="AF91" s="67" t="n"/>
      <c r="AG91" s="35" t="n"/>
    </row>
    <row r="92" hidden="1" ht="17.25" customFormat="1" customHeight="1" s="10">
      <c r="A92" s="9" t="n">
        <v>17</v>
      </c>
      <c r="B92" s="572">
        <f>VeriGiris!B132</f>
        <v/>
      </c>
      <c r="C92" s="773" t="n"/>
      <c r="D92" s="773" t="n"/>
      <c r="E92" s="773" t="n"/>
      <c r="F92" s="774" t="n"/>
      <c r="G92" s="570" t="n"/>
      <c r="H92" s="774" t="n"/>
      <c r="I92" s="570" t="n"/>
      <c r="J92" s="774" t="n"/>
      <c r="K92" s="570" t="n"/>
      <c r="L92" s="774" t="n"/>
      <c r="M92" s="570" t="n"/>
      <c r="N92" s="774" t="n"/>
      <c r="O92" s="570" t="n"/>
      <c r="P92" s="774" t="n"/>
      <c r="Q92" s="570" t="n"/>
      <c r="R92" s="774" t="n"/>
      <c r="S92" s="570" t="n"/>
      <c r="T92" s="774" t="n"/>
      <c r="U92" s="570" t="n"/>
      <c r="V92" s="774" t="n"/>
      <c r="W92" s="570" t="n"/>
      <c r="X92" s="774" t="n"/>
      <c r="Y92" s="570" t="n"/>
      <c r="Z92" s="774" t="n"/>
      <c r="AA92" s="570" t="n"/>
      <c r="AB92" s="774" t="n"/>
      <c r="AC92" s="570" t="n"/>
      <c r="AD92" s="774" t="n"/>
      <c r="AE92" s="65" t="n"/>
      <c r="AF92" s="65" t="n"/>
      <c r="AG92" s="35" t="n"/>
    </row>
    <row r="93" hidden="1" ht="17.25" customFormat="1" customHeight="1" s="10">
      <c r="A93" s="9" t="n"/>
      <c r="B93" s="717" t="inlineStr">
        <is>
          <t xml:space="preserve">A17- Kurulu Kapasite </t>
        </is>
      </c>
      <c r="C93" s="773" t="n"/>
      <c r="D93" s="773" t="n"/>
      <c r="E93" s="773" t="n"/>
      <c r="F93" s="774" t="n"/>
      <c r="G93" s="569">
        <f>VeriGiris!G133</f>
        <v/>
      </c>
      <c r="H93" s="774" t="n"/>
      <c r="I93" s="749">
        <f>VeriGiris!I133</f>
        <v/>
      </c>
      <c r="J93" s="774" t="n"/>
      <c r="K93" s="749">
        <f>VeriGiris!K133</f>
        <v/>
      </c>
      <c r="L93" s="774" t="n"/>
      <c r="M93" s="749">
        <f>VeriGiris!M133</f>
        <v/>
      </c>
      <c r="N93" s="774" t="n"/>
      <c r="O93" s="749">
        <f>VeriGiris!O133</f>
        <v/>
      </c>
      <c r="P93" s="774" t="n"/>
      <c r="Q93" s="749">
        <f>VeriGiris!Q133</f>
        <v/>
      </c>
      <c r="R93" s="774" t="n"/>
      <c r="S93" s="749">
        <f>VeriGiris!S133</f>
        <v/>
      </c>
      <c r="T93" s="774" t="n"/>
      <c r="U93" s="749">
        <f>VeriGiris!U133</f>
        <v/>
      </c>
      <c r="V93" s="774" t="n"/>
      <c r="W93" s="749">
        <f>VeriGiris!W133</f>
        <v/>
      </c>
      <c r="X93" s="774" t="n"/>
      <c r="Y93" s="749">
        <f>VeriGiris!Y133</f>
        <v/>
      </c>
      <c r="Z93" s="774" t="n"/>
      <c r="AA93" s="749">
        <f>VeriGiris!AA133</f>
        <v/>
      </c>
      <c r="AB93" s="774" t="n"/>
      <c r="AC93" s="749">
        <f>VeriGiris!AC133</f>
        <v/>
      </c>
      <c r="AD93" s="774" t="n"/>
      <c r="AE93" s="66" t="n"/>
      <c r="AF93" s="66" t="n"/>
      <c r="AG93" s="35" t="n"/>
    </row>
    <row r="94" hidden="1" ht="17.25" customFormat="1" customHeight="1" s="10">
      <c r="A94" s="9" t="n"/>
      <c r="B94" s="717" t="inlineStr">
        <is>
          <t>B17- Üretim Miktarı</t>
        </is>
      </c>
      <c r="C94" s="773" t="n"/>
      <c r="D94" s="773" t="n"/>
      <c r="E94" s="773" t="n"/>
      <c r="F94" s="774" t="n"/>
      <c r="G94" s="569">
        <f>VeriGiris!G134</f>
        <v/>
      </c>
      <c r="H94" s="774" t="n"/>
      <c r="I94" s="749">
        <f>VeriGiris!I134</f>
        <v/>
      </c>
      <c r="J94" s="774" t="n"/>
      <c r="K94" s="749">
        <f>VeriGiris!K134</f>
        <v/>
      </c>
      <c r="L94" s="774" t="n"/>
      <c r="M94" s="749">
        <f>VeriGiris!M134</f>
        <v/>
      </c>
      <c r="N94" s="774" t="n"/>
      <c r="O94" s="749">
        <f>VeriGiris!O134</f>
        <v/>
      </c>
      <c r="P94" s="774" t="n"/>
      <c r="Q94" s="749">
        <f>VeriGiris!Q134</f>
        <v/>
      </c>
      <c r="R94" s="774" t="n"/>
      <c r="S94" s="749">
        <f>VeriGiris!S134</f>
        <v/>
      </c>
      <c r="T94" s="774" t="n"/>
      <c r="U94" s="749">
        <f>VeriGiris!U134</f>
        <v/>
      </c>
      <c r="V94" s="774" t="n"/>
      <c r="W94" s="749">
        <f>VeriGiris!W134</f>
        <v/>
      </c>
      <c r="X94" s="774" t="n"/>
      <c r="Y94" s="749">
        <f>VeriGiris!Y134</f>
        <v/>
      </c>
      <c r="Z94" s="774" t="n"/>
      <c r="AA94" s="749">
        <f>VeriGiris!AA134</f>
        <v/>
      </c>
      <c r="AB94" s="774" t="n"/>
      <c r="AC94" s="749">
        <f>VeriGiris!AC134</f>
        <v/>
      </c>
      <c r="AD94" s="774" t="n"/>
      <c r="AE94" s="66" t="n"/>
      <c r="AF94" s="66" t="n"/>
      <c r="AG94" s="35" t="n"/>
    </row>
    <row r="95" hidden="1" ht="17.25" customFormat="1" customHeight="1" s="10">
      <c r="A95" s="9" t="n"/>
      <c r="B95" s="717" t="inlineStr">
        <is>
          <t>C17-Birim Satış Fiyatı</t>
        </is>
      </c>
      <c r="C95" s="773" t="n"/>
      <c r="D95" s="773" t="n"/>
      <c r="E95" s="773" t="n"/>
      <c r="F95" s="774" t="n"/>
      <c r="G95" s="569">
        <f>VeriGiris!G136</f>
        <v/>
      </c>
      <c r="H95" s="774" t="n"/>
      <c r="I95" s="749">
        <f>VeriGiris!I136</f>
        <v/>
      </c>
      <c r="J95" s="774" t="n"/>
      <c r="K95" s="749">
        <f>VeriGiris!K136</f>
        <v/>
      </c>
      <c r="L95" s="774" t="n"/>
      <c r="M95" s="749">
        <f>VeriGiris!M136</f>
        <v/>
      </c>
      <c r="N95" s="774" t="n"/>
      <c r="O95" s="749">
        <f>VeriGiris!O136</f>
        <v/>
      </c>
      <c r="P95" s="774" t="n"/>
      <c r="Q95" s="749">
        <f>VeriGiris!Q136</f>
        <v/>
      </c>
      <c r="R95" s="774" t="n"/>
      <c r="S95" s="749">
        <f>VeriGiris!S136</f>
        <v/>
      </c>
      <c r="T95" s="774" t="n"/>
      <c r="U95" s="749">
        <f>VeriGiris!U136</f>
        <v/>
      </c>
      <c r="V95" s="774" t="n"/>
      <c r="W95" s="749">
        <f>VeriGiris!W136</f>
        <v/>
      </c>
      <c r="X95" s="774" t="n"/>
      <c r="Y95" s="749">
        <f>VeriGiris!Y136</f>
        <v/>
      </c>
      <c r="Z95" s="774" t="n"/>
      <c r="AA95" s="749">
        <f>VeriGiris!AA136</f>
        <v/>
      </c>
      <c r="AB95" s="774" t="n"/>
      <c r="AC95" s="749">
        <f>VeriGiris!AC136</f>
        <v/>
      </c>
      <c r="AD95" s="774" t="n"/>
      <c r="AE95" s="66" t="n"/>
      <c r="AF95" s="66" t="n"/>
      <c r="AG95" s="35" t="n"/>
    </row>
    <row r="96" hidden="1" ht="27" customFormat="1" customHeight="1" s="10">
      <c r="A96" s="9" t="n"/>
      <c r="B96" s="717" t="inlineStr">
        <is>
          <t>Kapasite Kullanım Oranı
KKO17=% [(B17/A17)*100])</t>
        </is>
      </c>
      <c r="C96" s="773" t="n"/>
      <c r="D96" s="773" t="n"/>
      <c r="E96" s="773" t="n"/>
      <c r="F96" s="774" t="n"/>
      <c r="G96" s="571" t="inlineStr">
        <is>
          <t>-</t>
        </is>
      </c>
      <c r="H96" s="774" t="n"/>
      <c r="I96" s="566">
        <f>IFERROR(I94/I93,0)</f>
        <v/>
      </c>
      <c r="J96" s="774" t="n"/>
      <c r="K96" s="566">
        <f>IFERROR(K94/K93,0)</f>
        <v/>
      </c>
      <c r="L96" s="774" t="n"/>
      <c r="M96" s="566">
        <f>IFERROR(M94/M93,0)</f>
        <v/>
      </c>
      <c r="N96" s="774" t="n"/>
      <c r="O96" s="566">
        <f>IFERROR(O94/O93,0)</f>
        <v/>
      </c>
      <c r="P96" s="774" t="n"/>
      <c r="Q96" s="566">
        <f>IFERROR(Q94/Q93,0)</f>
        <v/>
      </c>
      <c r="R96" s="774" t="n"/>
      <c r="S96" s="566">
        <f>IFERROR(S94/S93,0)</f>
        <v/>
      </c>
      <c r="T96" s="774" t="n"/>
      <c r="U96" s="566">
        <f>IFERROR(U94/U93,0)</f>
        <v/>
      </c>
      <c r="V96" s="774" t="n"/>
      <c r="W96" s="566">
        <f>IFERROR(W94/W93,0)</f>
        <v/>
      </c>
      <c r="X96" s="774" t="n"/>
      <c r="Y96" s="566">
        <f>IFERROR(Y94/Y93,0)</f>
        <v/>
      </c>
      <c r="Z96" s="774" t="n"/>
      <c r="AA96" s="566">
        <f>IFERROR(AA94/AA93,0)</f>
        <v/>
      </c>
      <c r="AB96" s="774" t="n"/>
      <c r="AC96" s="566">
        <f>IFERROR(AC94/AC93,0)</f>
        <v/>
      </c>
      <c r="AD96" s="774" t="n"/>
      <c r="AE96" s="67" t="n"/>
      <c r="AF96" s="67" t="n"/>
      <c r="AG96" s="35" t="n"/>
    </row>
    <row r="97" hidden="1" ht="17.25" customFormat="1" customHeight="1" s="10">
      <c r="A97" s="9" t="n">
        <v>18</v>
      </c>
      <c r="B97" s="572">
        <f>VeriGiris!B138</f>
        <v/>
      </c>
      <c r="C97" s="773" t="n"/>
      <c r="D97" s="773" t="n"/>
      <c r="E97" s="773" t="n"/>
      <c r="F97" s="774" t="n"/>
      <c r="G97" s="570" t="n"/>
      <c r="H97" s="774" t="n"/>
      <c r="I97" s="570" t="n"/>
      <c r="J97" s="774" t="n"/>
      <c r="K97" s="570" t="n"/>
      <c r="L97" s="774" t="n"/>
      <c r="M97" s="570" t="n"/>
      <c r="N97" s="774" t="n"/>
      <c r="O97" s="570" t="n"/>
      <c r="P97" s="774" t="n"/>
      <c r="Q97" s="570" t="n"/>
      <c r="R97" s="774" t="n"/>
      <c r="S97" s="570" t="n"/>
      <c r="T97" s="774" t="n"/>
      <c r="U97" s="570" t="n"/>
      <c r="V97" s="774" t="n"/>
      <c r="W97" s="570" t="n"/>
      <c r="X97" s="774" t="n"/>
      <c r="Y97" s="570" t="n"/>
      <c r="Z97" s="774" t="n"/>
      <c r="AA97" s="570" t="n"/>
      <c r="AB97" s="774" t="n"/>
      <c r="AC97" s="570" t="n"/>
      <c r="AD97" s="774" t="n"/>
      <c r="AE97" s="65" t="n"/>
      <c r="AF97" s="65" t="n"/>
      <c r="AG97" s="35" t="n">
        <v>1</v>
      </c>
    </row>
    <row r="98" hidden="1" ht="17.25" customFormat="1" customHeight="1" s="10">
      <c r="A98" s="9" t="n"/>
      <c r="B98" s="717" t="inlineStr">
        <is>
          <t xml:space="preserve">A18- Kurulu Kapasite </t>
        </is>
      </c>
      <c r="C98" s="773" t="n"/>
      <c r="D98" s="773" t="n"/>
      <c r="E98" s="773" t="n"/>
      <c r="F98" s="774" t="n"/>
      <c r="G98" s="569">
        <f>VeriGiris!G139</f>
        <v/>
      </c>
      <c r="H98" s="774" t="n"/>
      <c r="I98" s="749">
        <f>VeriGiris!I139</f>
        <v/>
      </c>
      <c r="J98" s="774" t="n"/>
      <c r="K98" s="749">
        <f>VeriGiris!K139</f>
        <v/>
      </c>
      <c r="L98" s="774" t="n"/>
      <c r="M98" s="749">
        <f>VeriGiris!M139</f>
        <v/>
      </c>
      <c r="N98" s="774" t="n"/>
      <c r="O98" s="749">
        <f>VeriGiris!O139</f>
        <v/>
      </c>
      <c r="P98" s="774" t="n"/>
      <c r="Q98" s="749">
        <f>VeriGiris!Q139</f>
        <v/>
      </c>
      <c r="R98" s="774" t="n"/>
      <c r="S98" s="749">
        <f>VeriGiris!S139</f>
        <v/>
      </c>
      <c r="T98" s="774" t="n"/>
      <c r="U98" s="749">
        <f>VeriGiris!U139</f>
        <v/>
      </c>
      <c r="V98" s="774" t="n"/>
      <c r="W98" s="749">
        <f>VeriGiris!W139</f>
        <v/>
      </c>
      <c r="X98" s="774" t="n"/>
      <c r="Y98" s="749">
        <f>VeriGiris!Y139</f>
        <v/>
      </c>
      <c r="Z98" s="774" t="n"/>
      <c r="AA98" s="749">
        <f>VeriGiris!AA139</f>
        <v/>
      </c>
      <c r="AB98" s="774" t="n"/>
      <c r="AC98" s="749">
        <f>VeriGiris!AC139</f>
        <v/>
      </c>
      <c r="AD98" s="774" t="n"/>
      <c r="AE98" s="66" t="n"/>
      <c r="AF98" s="66" t="n"/>
      <c r="AG98" s="35" t="n">
        <v>1</v>
      </c>
    </row>
    <row r="99" hidden="1" ht="17.25" customFormat="1" customHeight="1" s="10">
      <c r="A99" s="9" t="n"/>
      <c r="B99" s="717" t="inlineStr">
        <is>
          <t>B18- Üretim Miktarı</t>
        </is>
      </c>
      <c r="C99" s="773" t="n"/>
      <c r="D99" s="773" t="n"/>
      <c r="E99" s="773" t="n"/>
      <c r="F99" s="774" t="n"/>
      <c r="G99" s="569">
        <f>VeriGiris!G140</f>
        <v/>
      </c>
      <c r="H99" s="774" t="n"/>
      <c r="I99" s="749">
        <f>VeriGiris!I140</f>
        <v/>
      </c>
      <c r="J99" s="774" t="n"/>
      <c r="K99" s="749">
        <f>VeriGiris!K140</f>
        <v/>
      </c>
      <c r="L99" s="774" t="n"/>
      <c r="M99" s="749">
        <f>VeriGiris!M140</f>
        <v/>
      </c>
      <c r="N99" s="774" t="n"/>
      <c r="O99" s="749">
        <f>VeriGiris!O140</f>
        <v/>
      </c>
      <c r="P99" s="774" t="n"/>
      <c r="Q99" s="749">
        <f>VeriGiris!Q140</f>
        <v/>
      </c>
      <c r="R99" s="774" t="n"/>
      <c r="S99" s="749">
        <f>VeriGiris!S140</f>
        <v/>
      </c>
      <c r="T99" s="774" t="n"/>
      <c r="U99" s="749">
        <f>VeriGiris!U140</f>
        <v/>
      </c>
      <c r="V99" s="774" t="n"/>
      <c r="W99" s="749">
        <f>VeriGiris!W140</f>
        <v/>
      </c>
      <c r="X99" s="774" t="n"/>
      <c r="Y99" s="749">
        <f>VeriGiris!Y140</f>
        <v/>
      </c>
      <c r="Z99" s="774" t="n"/>
      <c r="AA99" s="749">
        <f>VeriGiris!AA140</f>
        <v/>
      </c>
      <c r="AB99" s="774" t="n"/>
      <c r="AC99" s="749">
        <f>VeriGiris!AC140</f>
        <v/>
      </c>
      <c r="AD99" s="774" t="n"/>
      <c r="AE99" s="66" t="n"/>
      <c r="AF99" s="66" t="n"/>
      <c r="AG99" s="35" t="n">
        <v>1</v>
      </c>
    </row>
    <row r="100" hidden="1" ht="17.25" customFormat="1" customHeight="1" s="10">
      <c r="A100" s="9" t="n"/>
      <c r="B100" s="717" t="inlineStr">
        <is>
          <t>C18-Birim Satış Fiyatı</t>
        </is>
      </c>
      <c r="C100" s="773" t="n"/>
      <c r="D100" s="773" t="n"/>
      <c r="E100" s="773" t="n"/>
      <c r="F100" s="774" t="n"/>
      <c r="G100" s="569">
        <f>VeriGiris!G142</f>
        <v/>
      </c>
      <c r="H100" s="774" t="n"/>
      <c r="I100" s="749">
        <f>VeriGiris!I142</f>
        <v/>
      </c>
      <c r="J100" s="774" t="n"/>
      <c r="K100" s="749">
        <f>VeriGiris!K142</f>
        <v/>
      </c>
      <c r="L100" s="774" t="n"/>
      <c r="M100" s="749">
        <f>VeriGiris!M142</f>
        <v/>
      </c>
      <c r="N100" s="774" t="n"/>
      <c r="O100" s="749">
        <f>VeriGiris!O142</f>
        <v/>
      </c>
      <c r="P100" s="774" t="n"/>
      <c r="Q100" s="749">
        <f>VeriGiris!Q142</f>
        <v/>
      </c>
      <c r="R100" s="774" t="n"/>
      <c r="S100" s="749">
        <f>VeriGiris!S142</f>
        <v/>
      </c>
      <c r="T100" s="774" t="n"/>
      <c r="U100" s="749">
        <f>VeriGiris!U142</f>
        <v/>
      </c>
      <c r="V100" s="774" t="n"/>
      <c r="W100" s="749">
        <f>VeriGiris!W142</f>
        <v/>
      </c>
      <c r="X100" s="774" t="n"/>
      <c r="Y100" s="749">
        <f>VeriGiris!Y142</f>
        <v/>
      </c>
      <c r="Z100" s="774" t="n"/>
      <c r="AA100" s="749">
        <f>VeriGiris!AA142</f>
        <v/>
      </c>
      <c r="AB100" s="774" t="n"/>
      <c r="AC100" s="749">
        <f>VeriGiris!AC142</f>
        <v/>
      </c>
      <c r="AD100" s="774" t="n"/>
      <c r="AE100" s="66" t="n"/>
      <c r="AF100" s="66" t="n"/>
      <c r="AG100" s="35" t="n">
        <v>1</v>
      </c>
    </row>
    <row r="101" hidden="1" ht="27" customFormat="1" customHeight="1" s="10">
      <c r="A101" s="9" t="n"/>
      <c r="B101" s="717" t="inlineStr">
        <is>
          <t>Kapasite Kullanım Oranı
KKO18=% [(B18/A18)*100])</t>
        </is>
      </c>
      <c r="C101" s="773" t="n"/>
      <c r="D101" s="773" t="n"/>
      <c r="E101" s="773" t="n"/>
      <c r="F101" s="774" t="n"/>
      <c r="G101" s="571" t="inlineStr">
        <is>
          <t>-</t>
        </is>
      </c>
      <c r="H101" s="774" t="n"/>
      <c r="I101" s="566">
        <f>IFERROR(I99/I98,0)</f>
        <v/>
      </c>
      <c r="J101" s="774" t="n"/>
      <c r="K101" s="566">
        <f>IFERROR(K99/K98,0)</f>
        <v/>
      </c>
      <c r="L101" s="774" t="n"/>
      <c r="M101" s="566">
        <f>IFERROR(M99/M98,0)</f>
        <v/>
      </c>
      <c r="N101" s="774" t="n"/>
      <c r="O101" s="566">
        <f>IFERROR(O99/O98,0)</f>
        <v/>
      </c>
      <c r="P101" s="774" t="n"/>
      <c r="Q101" s="566">
        <f>IFERROR(Q99/Q98,0)</f>
        <v/>
      </c>
      <c r="R101" s="774" t="n"/>
      <c r="S101" s="566">
        <f>IFERROR(S99/S98,0)</f>
        <v/>
      </c>
      <c r="T101" s="774" t="n"/>
      <c r="U101" s="566">
        <f>IFERROR(U99/U98,0)</f>
        <v/>
      </c>
      <c r="V101" s="774" t="n"/>
      <c r="W101" s="566">
        <f>IFERROR(W99/W98,0)</f>
        <v/>
      </c>
      <c r="X101" s="774" t="n"/>
      <c r="Y101" s="566">
        <f>IFERROR(Y99/Y98,0)</f>
        <v/>
      </c>
      <c r="Z101" s="774" t="n"/>
      <c r="AA101" s="566">
        <f>IFERROR(AA99/AA98,0)</f>
        <v/>
      </c>
      <c r="AB101" s="774" t="n"/>
      <c r="AC101" s="566">
        <f>IFERROR(AC99/AC98,0)</f>
        <v/>
      </c>
      <c r="AD101" s="774" t="n"/>
      <c r="AE101" s="67" t="n"/>
      <c r="AF101" s="67" t="n"/>
      <c r="AG101" s="35" t="n">
        <v>1</v>
      </c>
    </row>
    <row r="102" hidden="1" ht="17.25" customFormat="1" customHeight="1" s="10">
      <c r="A102" s="9" t="n">
        <v>19</v>
      </c>
      <c r="B102" s="572">
        <f>VeriGiris!B144</f>
        <v/>
      </c>
      <c r="C102" s="773" t="n"/>
      <c r="D102" s="773" t="n"/>
      <c r="E102" s="773" t="n"/>
      <c r="F102" s="774" t="n"/>
      <c r="G102" s="570" t="n"/>
      <c r="H102" s="774" t="n"/>
      <c r="I102" s="570" t="n"/>
      <c r="J102" s="774" t="n"/>
      <c r="K102" s="570" t="n"/>
      <c r="L102" s="774" t="n"/>
      <c r="M102" s="570" t="n"/>
      <c r="N102" s="774" t="n"/>
      <c r="O102" s="570" t="n"/>
      <c r="P102" s="774" t="n"/>
      <c r="Q102" s="570" t="n"/>
      <c r="R102" s="774" t="n"/>
      <c r="S102" s="570" t="n"/>
      <c r="T102" s="774" t="n"/>
      <c r="U102" s="570" t="n"/>
      <c r="V102" s="774" t="n"/>
      <c r="W102" s="570" t="n"/>
      <c r="X102" s="774" t="n"/>
      <c r="Y102" s="570" t="n"/>
      <c r="Z102" s="774" t="n"/>
      <c r="AA102" s="570" t="n"/>
      <c r="AB102" s="774" t="n"/>
      <c r="AC102" s="570" t="n"/>
      <c r="AD102" s="774" t="n"/>
      <c r="AE102" s="65" t="n"/>
      <c r="AF102" s="65" t="n"/>
      <c r="AG102" s="35" t="n"/>
    </row>
    <row r="103" hidden="1" ht="17.25" customFormat="1" customHeight="1" s="10">
      <c r="A103" s="9" t="n"/>
      <c r="B103" s="717" t="inlineStr">
        <is>
          <t xml:space="preserve">A19- Kurulu Kapasite </t>
        </is>
      </c>
      <c r="C103" s="773" t="n"/>
      <c r="D103" s="773" t="n"/>
      <c r="E103" s="773" t="n"/>
      <c r="F103" s="774" t="n"/>
      <c r="G103" s="569">
        <f>VeriGiris!G145</f>
        <v/>
      </c>
      <c r="H103" s="774" t="n"/>
      <c r="I103" s="749">
        <f>VeriGiris!I145</f>
        <v/>
      </c>
      <c r="J103" s="774" t="n"/>
      <c r="K103" s="749">
        <f>VeriGiris!K145</f>
        <v/>
      </c>
      <c r="L103" s="774" t="n"/>
      <c r="M103" s="749">
        <f>VeriGiris!M145</f>
        <v/>
      </c>
      <c r="N103" s="774" t="n"/>
      <c r="O103" s="749">
        <f>VeriGiris!O145</f>
        <v/>
      </c>
      <c r="P103" s="774" t="n"/>
      <c r="Q103" s="749">
        <f>VeriGiris!Q145</f>
        <v/>
      </c>
      <c r="R103" s="774" t="n"/>
      <c r="S103" s="749">
        <f>VeriGiris!S145</f>
        <v/>
      </c>
      <c r="T103" s="774" t="n"/>
      <c r="U103" s="749">
        <f>VeriGiris!U145</f>
        <v/>
      </c>
      <c r="V103" s="774" t="n"/>
      <c r="W103" s="749">
        <f>VeriGiris!W145</f>
        <v/>
      </c>
      <c r="X103" s="774" t="n"/>
      <c r="Y103" s="749">
        <f>VeriGiris!Y145</f>
        <v/>
      </c>
      <c r="Z103" s="774" t="n"/>
      <c r="AA103" s="749">
        <f>VeriGiris!AA145</f>
        <v/>
      </c>
      <c r="AB103" s="774" t="n"/>
      <c r="AC103" s="749">
        <f>VeriGiris!AC145</f>
        <v/>
      </c>
      <c r="AD103" s="774" t="n"/>
      <c r="AE103" s="66" t="n"/>
      <c r="AF103" s="66" t="n"/>
      <c r="AG103" s="35" t="n"/>
    </row>
    <row r="104" hidden="1" ht="17.25" customFormat="1" customHeight="1" s="10">
      <c r="A104" s="9" t="n"/>
      <c r="B104" s="717" t="inlineStr">
        <is>
          <t>B19- Üretim Miktarı</t>
        </is>
      </c>
      <c r="C104" s="773" t="n"/>
      <c r="D104" s="773" t="n"/>
      <c r="E104" s="773" t="n"/>
      <c r="F104" s="774" t="n"/>
      <c r="G104" s="569">
        <f>VeriGiris!G146</f>
        <v/>
      </c>
      <c r="H104" s="774" t="n"/>
      <c r="I104" s="749">
        <f>VeriGiris!I146</f>
        <v/>
      </c>
      <c r="J104" s="774" t="n"/>
      <c r="K104" s="749">
        <f>VeriGiris!K146</f>
        <v/>
      </c>
      <c r="L104" s="774" t="n"/>
      <c r="M104" s="749">
        <f>VeriGiris!M146</f>
        <v/>
      </c>
      <c r="N104" s="774" t="n"/>
      <c r="O104" s="749">
        <f>VeriGiris!O146</f>
        <v/>
      </c>
      <c r="P104" s="774" t="n"/>
      <c r="Q104" s="749">
        <f>VeriGiris!Q146</f>
        <v/>
      </c>
      <c r="R104" s="774" t="n"/>
      <c r="S104" s="749">
        <f>VeriGiris!S146</f>
        <v/>
      </c>
      <c r="T104" s="774" t="n"/>
      <c r="U104" s="749">
        <f>VeriGiris!U146</f>
        <v/>
      </c>
      <c r="V104" s="774" t="n"/>
      <c r="W104" s="749">
        <f>VeriGiris!W146</f>
        <v/>
      </c>
      <c r="X104" s="774" t="n"/>
      <c r="Y104" s="749">
        <f>VeriGiris!Y146</f>
        <v/>
      </c>
      <c r="Z104" s="774" t="n"/>
      <c r="AA104" s="749">
        <f>VeriGiris!AA146</f>
        <v/>
      </c>
      <c r="AB104" s="774" t="n"/>
      <c r="AC104" s="749">
        <f>VeriGiris!AC146</f>
        <v/>
      </c>
      <c r="AD104" s="774" t="n"/>
      <c r="AE104" s="66" t="n"/>
      <c r="AF104" s="66" t="n"/>
      <c r="AG104" s="35" t="n"/>
    </row>
    <row r="105" hidden="1" ht="17.25" customFormat="1" customHeight="1" s="10">
      <c r="A105" s="9" t="n"/>
      <c r="B105" s="717" t="inlineStr">
        <is>
          <t>C19-Birim Satış Fiyatı</t>
        </is>
      </c>
      <c r="C105" s="773" t="n"/>
      <c r="D105" s="773" t="n"/>
      <c r="E105" s="773" t="n"/>
      <c r="F105" s="774" t="n"/>
      <c r="G105" s="569">
        <f>VeriGiris!G148</f>
        <v/>
      </c>
      <c r="H105" s="774" t="n"/>
      <c r="I105" s="749">
        <f>VeriGiris!I148</f>
        <v/>
      </c>
      <c r="J105" s="774" t="n"/>
      <c r="K105" s="749">
        <f>VeriGiris!K148</f>
        <v/>
      </c>
      <c r="L105" s="774" t="n"/>
      <c r="M105" s="749">
        <f>VeriGiris!M148</f>
        <v/>
      </c>
      <c r="N105" s="774" t="n"/>
      <c r="O105" s="749">
        <f>VeriGiris!O148</f>
        <v/>
      </c>
      <c r="P105" s="774" t="n"/>
      <c r="Q105" s="749">
        <f>VeriGiris!Q148</f>
        <v/>
      </c>
      <c r="R105" s="774" t="n"/>
      <c r="S105" s="749">
        <f>VeriGiris!S148</f>
        <v/>
      </c>
      <c r="T105" s="774" t="n"/>
      <c r="U105" s="749">
        <f>VeriGiris!U148</f>
        <v/>
      </c>
      <c r="V105" s="774" t="n"/>
      <c r="W105" s="749">
        <f>VeriGiris!W148</f>
        <v/>
      </c>
      <c r="X105" s="774" t="n"/>
      <c r="Y105" s="749">
        <f>VeriGiris!Y148</f>
        <v/>
      </c>
      <c r="Z105" s="774" t="n"/>
      <c r="AA105" s="749">
        <f>VeriGiris!AA148</f>
        <v/>
      </c>
      <c r="AB105" s="774" t="n"/>
      <c r="AC105" s="749">
        <f>VeriGiris!AC148</f>
        <v/>
      </c>
      <c r="AD105" s="774" t="n"/>
      <c r="AE105" s="66" t="n"/>
      <c r="AF105" s="66" t="n"/>
      <c r="AG105" s="35" t="n"/>
    </row>
    <row r="106" hidden="1" ht="27" customFormat="1" customHeight="1" s="10">
      <c r="A106" s="9" t="n"/>
      <c r="B106" s="717" t="inlineStr">
        <is>
          <t>Kapasite Kullanım Oranı
KKO19=% [(B19/A19)*100])</t>
        </is>
      </c>
      <c r="C106" s="773" t="n"/>
      <c r="D106" s="773" t="n"/>
      <c r="E106" s="773" t="n"/>
      <c r="F106" s="774" t="n"/>
      <c r="G106" s="571" t="inlineStr">
        <is>
          <t>-</t>
        </is>
      </c>
      <c r="H106" s="774" t="n"/>
      <c r="I106" s="566">
        <f>IFERROR(I104/I103,0)</f>
        <v/>
      </c>
      <c r="J106" s="774" t="n"/>
      <c r="K106" s="566">
        <f>IFERROR(K104/K103,0)</f>
        <v/>
      </c>
      <c r="L106" s="774" t="n"/>
      <c r="M106" s="566">
        <f>IFERROR(M104/M103,0)</f>
        <v/>
      </c>
      <c r="N106" s="774" t="n"/>
      <c r="O106" s="566">
        <f>IFERROR(O104/O103,0)</f>
        <v/>
      </c>
      <c r="P106" s="774" t="n"/>
      <c r="Q106" s="566">
        <f>IFERROR(Q104/Q103,0)</f>
        <v/>
      </c>
      <c r="R106" s="774" t="n"/>
      <c r="S106" s="566">
        <f>IFERROR(S104/S103,0)</f>
        <v/>
      </c>
      <c r="T106" s="774" t="n"/>
      <c r="U106" s="566">
        <f>IFERROR(U104/U103,0)</f>
        <v/>
      </c>
      <c r="V106" s="774" t="n"/>
      <c r="W106" s="566">
        <f>IFERROR(W104/W103,0)</f>
        <v/>
      </c>
      <c r="X106" s="774" t="n"/>
      <c r="Y106" s="566">
        <f>IFERROR(Y104/Y103,0)</f>
        <v/>
      </c>
      <c r="Z106" s="774" t="n"/>
      <c r="AA106" s="566">
        <f>IFERROR(AA104/AA103,0)</f>
        <v/>
      </c>
      <c r="AB106" s="774" t="n"/>
      <c r="AC106" s="566">
        <f>IFERROR(AC104/AC103,0)</f>
        <v/>
      </c>
      <c r="AD106" s="774" t="n"/>
      <c r="AE106" s="67" t="n"/>
      <c r="AF106" s="67" t="n"/>
      <c r="AG106" s="35" t="n"/>
    </row>
    <row r="107" hidden="1" ht="17.25" customFormat="1" customHeight="1" s="10">
      <c r="A107" s="9" t="n">
        <v>20</v>
      </c>
      <c r="B107" s="572">
        <f>VeriGiris!B150</f>
        <v/>
      </c>
      <c r="C107" s="773" t="n"/>
      <c r="D107" s="773" t="n"/>
      <c r="E107" s="773" t="n"/>
      <c r="F107" s="774" t="n"/>
      <c r="G107" s="570" t="n"/>
      <c r="H107" s="774" t="n"/>
      <c r="I107" s="570" t="n"/>
      <c r="J107" s="774" t="n"/>
      <c r="K107" s="570" t="n"/>
      <c r="L107" s="774" t="n"/>
      <c r="M107" s="570" t="n"/>
      <c r="N107" s="774" t="n"/>
      <c r="O107" s="570" t="n"/>
      <c r="P107" s="774" t="n"/>
      <c r="Q107" s="570" t="n"/>
      <c r="R107" s="774" t="n"/>
      <c r="S107" s="570" t="n"/>
      <c r="T107" s="774" t="n"/>
      <c r="U107" s="570" t="n"/>
      <c r="V107" s="774" t="n"/>
      <c r="W107" s="570" t="n"/>
      <c r="X107" s="774" t="n"/>
      <c r="Y107" s="570" t="n"/>
      <c r="Z107" s="774" t="n"/>
      <c r="AA107" s="570" t="n"/>
      <c r="AB107" s="774" t="n"/>
      <c r="AC107" s="570" t="n"/>
      <c r="AD107" s="774" t="n"/>
      <c r="AE107" s="65" t="n"/>
      <c r="AF107" s="65" t="n"/>
      <c r="AG107" s="35" t="n"/>
    </row>
    <row r="108" hidden="1" ht="17.25" customFormat="1" customHeight="1" s="10">
      <c r="A108" s="9" t="n"/>
      <c r="B108" s="717" t="inlineStr">
        <is>
          <t xml:space="preserve">A20- Kurulu Kapasite </t>
        </is>
      </c>
      <c r="C108" s="773" t="n"/>
      <c r="D108" s="773" t="n"/>
      <c r="E108" s="773" t="n"/>
      <c r="F108" s="774" t="n"/>
      <c r="G108" s="569">
        <f>VeriGiris!G151</f>
        <v/>
      </c>
      <c r="H108" s="774" t="n"/>
      <c r="I108" s="749">
        <f>VeriGiris!I151</f>
        <v/>
      </c>
      <c r="J108" s="774" t="n"/>
      <c r="K108" s="749">
        <f>VeriGiris!K151</f>
        <v/>
      </c>
      <c r="L108" s="774" t="n"/>
      <c r="M108" s="749">
        <f>VeriGiris!M151</f>
        <v/>
      </c>
      <c r="N108" s="774" t="n"/>
      <c r="O108" s="749">
        <f>VeriGiris!O151</f>
        <v/>
      </c>
      <c r="P108" s="774" t="n"/>
      <c r="Q108" s="749">
        <f>VeriGiris!Q151</f>
        <v/>
      </c>
      <c r="R108" s="774" t="n"/>
      <c r="S108" s="749">
        <f>VeriGiris!S151</f>
        <v/>
      </c>
      <c r="T108" s="774" t="n"/>
      <c r="U108" s="749">
        <f>VeriGiris!U151</f>
        <v/>
      </c>
      <c r="V108" s="774" t="n"/>
      <c r="W108" s="749">
        <f>VeriGiris!W151</f>
        <v/>
      </c>
      <c r="X108" s="774" t="n"/>
      <c r="Y108" s="749">
        <f>VeriGiris!Y151</f>
        <v/>
      </c>
      <c r="Z108" s="774" t="n"/>
      <c r="AA108" s="749">
        <f>VeriGiris!AA151</f>
        <v/>
      </c>
      <c r="AB108" s="774" t="n"/>
      <c r="AC108" s="749">
        <f>VeriGiris!AC151</f>
        <v/>
      </c>
      <c r="AD108" s="774" t="n"/>
      <c r="AE108" s="66" t="n"/>
      <c r="AF108" s="66" t="n"/>
      <c r="AG108" s="35" t="n"/>
    </row>
    <row r="109" hidden="1" ht="17.25" customFormat="1" customHeight="1" s="10">
      <c r="A109" s="9" t="n"/>
      <c r="B109" s="717" t="inlineStr">
        <is>
          <t>B20- Üretim Miktarı</t>
        </is>
      </c>
      <c r="C109" s="773" t="n"/>
      <c r="D109" s="773" t="n"/>
      <c r="E109" s="773" t="n"/>
      <c r="F109" s="774" t="n"/>
      <c r="G109" s="569">
        <f>VeriGiris!G152</f>
        <v/>
      </c>
      <c r="H109" s="774" t="n"/>
      <c r="I109" s="749">
        <f>VeriGiris!I152</f>
        <v/>
      </c>
      <c r="J109" s="774" t="n"/>
      <c r="K109" s="749">
        <f>VeriGiris!K152</f>
        <v/>
      </c>
      <c r="L109" s="774" t="n"/>
      <c r="M109" s="749">
        <f>VeriGiris!M152</f>
        <v/>
      </c>
      <c r="N109" s="774" t="n"/>
      <c r="O109" s="749">
        <f>VeriGiris!O152</f>
        <v/>
      </c>
      <c r="P109" s="774" t="n"/>
      <c r="Q109" s="749">
        <f>VeriGiris!Q152</f>
        <v/>
      </c>
      <c r="R109" s="774" t="n"/>
      <c r="S109" s="749">
        <f>VeriGiris!S152</f>
        <v/>
      </c>
      <c r="T109" s="774" t="n"/>
      <c r="U109" s="749">
        <f>VeriGiris!U152</f>
        <v/>
      </c>
      <c r="V109" s="774" t="n"/>
      <c r="W109" s="749">
        <f>VeriGiris!W152</f>
        <v/>
      </c>
      <c r="X109" s="774" t="n"/>
      <c r="Y109" s="749">
        <f>VeriGiris!Y152</f>
        <v/>
      </c>
      <c r="Z109" s="774" t="n"/>
      <c r="AA109" s="749">
        <f>VeriGiris!AA152</f>
        <v/>
      </c>
      <c r="AB109" s="774" t="n"/>
      <c r="AC109" s="749">
        <f>VeriGiris!AC152</f>
        <v/>
      </c>
      <c r="AD109" s="774" t="n"/>
      <c r="AE109" s="66" t="n"/>
      <c r="AF109" s="66" t="n"/>
      <c r="AG109" s="35" t="n"/>
    </row>
    <row r="110" hidden="1" ht="17.25" customFormat="1" customHeight="1" s="10">
      <c r="A110" s="9" t="n"/>
      <c r="B110" s="717" t="inlineStr">
        <is>
          <t>C20-Birim Satış Fiyatı</t>
        </is>
      </c>
      <c r="C110" s="773" t="n"/>
      <c r="D110" s="773" t="n"/>
      <c r="E110" s="773" t="n"/>
      <c r="F110" s="774" t="n"/>
      <c r="G110" s="569">
        <f>VeriGiris!G154</f>
        <v/>
      </c>
      <c r="H110" s="774" t="n"/>
      <c r="I110" s="749">
        <f>VeriGiris!I154</f>
        <v/>
      </c>
      <c r="J110" s="774" t="n"/>
      <c r="K110" s="749">
        <f>VeriGiris!K154</f>
        <v/>
      </c>
      <c r="L110" s="774" t="n"/>
      <c r="M110" s="749">
        <f>VeriGiris!M154</f>
        <v/>
      </c>
      <c r="N110" s="774" t="n"/>
      <c r="O110" s="749">
        <f>VeriGiris!O154</f>
        <v/>
      </c>
      <c r="P110" s="774" t="n"/>
      <c r="Q110" s="749">
        <f>VeriGiris!Q154</f>
        <v/>
      </c>
      <c r="R110" s="774" t="n"/>
      <c r="S110" s="749">
        <f>VeriGiris!S154</f>
        <v/>
      </c>
      <c r="T110" s="774" t="n"/>
      <c r="U110" s="749">
        <f>VeriGiris!U154</f>
        <v/>
      </c>
      <c r="V110" s="774" t="n"/>
      <c r="W110" s="749">
        <f>VeriGiris!W154</f>
        <v/>
      </c>
      <c r="X110" s="774" t="n"/>
      <c r="Y110" s="749">
        <f>VeriGiris!Y154</f>
        <v/>
      </c>
      <c r="Z110" s="774" t="n"/>
      <c r="AA110" s="749">
        <f>VeriGiris!AA154</f>
        <v/>
      </c>
      <c r="AB110" s="774" t="n"/>
      <c r="AC110" s="749">
        <f>VeriGiris!AC154</f>
        <v/>
      </c>
      <c r="AD110" s="774" t="n"/>
      <c r="AE110" s="66" t="n"/>
      <c r="AF110" s="66" t="n"/>
      <c r="AG110" s="35" t="n"/>
    </row>
    <row r="111" hidden="1" ht="27" customFormat="1" customHeight="1" s="10">
      <c r="A111" s="9" t="n"/>
      <c r="B111" s="717" t="inlineStr">
        <is>
          <t>Kapasite Kullanım Oranı
KKO20=% [(B20/A20)*100])</t>
        </is>
      </c>
      <c r="C111" s="773" t="n"/>
      <c r="D111" s="773" t="n"/>
      <c r="E111" s="773" t="n"/>
      <c r="F111" s="774" t="n"/>
      <c r="G111" s="571" t="inlineStr">
        <is>
          <t>-</t>
        </is>
      </c>
      <c r="H111" s="774" t="n"/>
      <c r="I111" s="566">
        <f>IFERROR(I109/I108,0)</f>
        <v/>
      </c>
      <c r="J111" s="774" t="n"/>
      <c r="K111" s="566">
        <f>IFERROR(K109/K108,0)</f>
        <v/>
      </c>
      <c r="L111" s="774" t="n"/>
      <c r="M111" s="566">
        <f>IFERROR(M109/M108,0)</f>
        <v/>
      </c>
      <c r="N111" s="774" t="n"/>
      <c r="O111" s="566">
        <f>IFERROR(O109/O108,0)</f>
        <v/>
      </c>
      <c r="P111" s="774" t="n"/>
      <c r="Q111" s="566">
        <f>IFERROR(Q109/Q108,0)</f>
        <v/>
      </c>
      <c r="R111" s="774" t="n"/>
      <c r="S111" s="566">
        <f>IFERROR(S109/S108,0)</f>
        <v/>
      </c>
      <c r="T111" s="774" t="n"/>
      <c r="U111" s="566">
        <f>IFERROR(U109/U108,0)</f>
        <v/>
      </c>
      <c r="V111" s="774" t="n"/>
      <c r="W111" s="566">
        <f>IFERROR(W109/W108,0)</f>
        <v/>
      </c>
      <c r="X111" s="774" t="n"/>
      <c r="Y111" s="566">
        <f>IFERROR(Y109/Y108,0)</f>
        <v/>
      </c>
      <c r="Z111" s="774" t="n"/>
      <c r="AA111" s="566">
        <f>IFERROR(AA109/AA108,0)</f>
        <v/>
      </c>
      <c r="AB111" s="774" t="n"/>
      <c r="AC111" s="566">
        <f>IFERROR(AC109/AC108,0)</f>
        <v/>
      </c>
      <c r="AD111" s="774" t="n"/>
      <c r="AE111" s="67" t="n"/>
      <c r="AF111" s="67" t="n"/>
      <c r="AG111" s="35" t="n"/>
    </row>
    <row r="112" ht="25.9" customHeight="1" s="321">
      <c r="B112" s="565" t="inlineStr">
        <is>
          <t xml:space="preserve">ORTALAMA KAPASİTE KULLANIM ORANI </t>
        </is>
      </c>
      <c r="C112" s="773" t="n"/>
      <c r="D112" s="773" t="n"/>
      <c r="E112" s="773" t="n"/>
      <c r="F112" s="773" t="n"/>
      <c r="G112" s="773" t="n"/>
      <c r="H112" s="773" t="n"/>
      <c r="I112" s="773" t="n"/>
      <c r="J112" s="774" t="n"/>
      <c r="K112" s="566">
        <f>(IFERROR(K144*K16+K145*K21+K146*K26+K147*K31+K148*K36+K149*K41+K150*K46+K151*K51+K152*K56+K153*K61+K154*K66+K155*K71+K156*K76+K157*K81+K158*K86+K159*K91+K160*K96+K161*K101+K162*K106+K163*K111,0))</f>
        <v/>
      </c>
      <c r="L112" s="774" t="n"/>
      <c r="M112" s="566">
        <f>(IFERROR(M144*M16+M145*M21+M146*M26+M147*M31+M148*M36+M149*M41+M150*M46+M151*M51+M152*M56+M153*M61+M154*M66+M155*M71+M156*M76+M157*M81+M158*M86+M159*M91+M160*M96+M161*M101+M162*M106+M163*M111,0))</f>
        <v/>
      </c>
      <c r="N112" s="774" t="n"/>
      <c r="O112" s="566">
        <f>(IFERROR(O144*O16+O145*O21+O146*O26+O147*O31+O148*O36+O149*O41+O150*O46+O151*O51+O152*O56+O153*O61+O154*O66+O155*O71+O156*O76+O157*O81+O158*O86+O159*O91+O160*O96+O161*O101+O162*O106+O163*O111,0))</f>
        <v/>
      </c>
      <c r="P112" s="774" t="n"/>
      <c r="Q112" s="566">
        <f>(IFERROR(Q144*Q16+Q145*Q21+Q146*Q26+Q147*Q31+Q148*Q36+Q149*Q41+Q150*Q46+Q151*Q51+Q152*Q56+Q153*Q61+Q154*Q66+Q155*Q71+Q156*Q76+Q157*Q81+Q158*Q86+Q159*Q91+Q160*Q96+Q161*Q101+Q162*Q106+Q163*Q111,0))</f>
        <v/>
      </c>
      <c r="R112" s="774" t="n"/>
      <c r="S112" s="566">
        <f>(IFERROR(S144*S16+S145*S21+S146*S26+S147*S31+S148*S36+S149*S41+S150*S46+S151*S51+S152*S56+S153*S61+S154*S66+S155*S71+S156*S76+S157*S81+S158*S86+S159*S91+S160*S96+S161*S101+S162*S106+S163*S111,0))</f>
        <v/>
      </c>
      <c r="T112" s="774" t="n"/>
      <c r="U112" s="566">
        <f>(IFERROR(U144*U16+U145*U21+U146*U26+U147*U31+U148*U36+U149*U41+U150*U46+U151*U51+U152*U56+U153*U61+U154*U66+U155*U71+U156*U76+U157*U81+U158*U86+U159*U91+U160*U96+U161*U101+U162*U106+U163*U111,0))</f>
        <v/>
      </c>
      <c r="V112" s="774" t="n"/>
      <c r="W112" s="566">
        <f>(IFERROR(W144*W16+W145*W21+W146*W26+W147*W31+W148*W36+W149*W41+W150*W46+W151*W51+W152*W56+W153*W61+W154*W66+W155*W71+W156*W76+W157*W81+W158*W86+W159*W91+W160*W96+W161*W101+W162*W106+W163*W111,0))</f>
        <v/>
      </c>
      <c r="X112" s="774" t="n"/>
      <c r="Y112" s="566">
        <f>(IFERROR(Y144*Y16+Y145*Y21+Y146*Y26+Y147*Y31+Y148*Y36+Y149*Y41+Y150*Y46+Y151*Y51+Y152*Y56+Y153*Y61+Y154*Y66+Y155*Y71+Y156*Y76+Y157*Y81+Y158*Y86+Y159*Y91+Y160*Y96+Y161*Y101+Y162*Y106+Y163*Y111,0))</f>
        <v/>
      </c>
      <c r="Z112" s="774" t="n"/>
      <c r="AA112" s="566">
        <f>(IFERROR(AA144*AA16+AA145*AA21+AA146*AA26+AA147*AA31+AA148*AA36+AA149*AA41+AA150*AA46+AA151*AA51+AA152*AA56+AA153*AA61+AA154*AA66+AA155*AA71+AA156*AA76+AA157*AA81+AA158*AA86+AA159*AA91+AA160*AA96+AA161*AA101+AA162*AA106+AA163*AA111,0))</f>
        <v/>
      </c>
      <c r="AB112" s="774" t="n"/>
      <c r="AC112" s="566">
        <f>(IFERROR(AC144*AC16+AC145*AC21+AC146*AC26+AC147*AC31+AC148*AC36+AC149*AC41+AC150*AC46+AC151*AC51+AC152*AC56+AC153*AC61+AC154*AC66+AC155*AC71+AC156*AC76+AC157*AC81+AC158*AC86+AC159*AC91+AC160*AC96+AC161*AC101+AC162*AC106+AC163*AC111,0))</f>
        <v/>
      </c>
      <c r="AD112" s="774" t="n"/>
      <c r="AE112" s="67" t="n"/>
      <c r="AF112" s="67" t="n"/>
    </row>
    <row r="113" ht="30" customHeight="1" s="321"/>
    <row r="114" ht="30" customHeight="1" s="321">
      <c r="B114" s="75" t="n"/>
      <c r="C114" s="75" t="n"/>
      <c r="D114" s="75" t="n"/>
      <c r="E114" s="75" t="n"/>
      <c r="F114" s="75" t="n"/>
      <c r="G114" s="75" t="n"/>
      <c r="H114" s="76" t="n"/>
      <c r="I114" s="76" t="n"/>
      <c r="J114" s="76" t="n"/>
      <c r="K114" s="76" t="n"/>
      <c r="L114" s="76" t="n"/>
      <c r="M114" s="76" t="n"/>
      <c r="N114" s="76" t="n"/>
      <c r="O114" s="76" t="n"/>
      <c r="P114" s="76" t="n"/>
      <c r="Q114" s="76" t="n"/>
      <c r="R114" s="76" t="n"/>
      <c r="S114" s="76" t="n"/>
      <c r="T114" s="76" t="n"/>
      <c r="U114" s="76" t="n"/>
      <c r="V114" s="76" t="n"/>
      <c r="W114" s="76" t="n"/>
      <c r="X114" s="76" t="n"/>
      <c r="Y114" s="76" t="n"/>
      <c r="Z114" s="76" t="n"/>
      <c r="AA114" s="76" t="n"/>
    </row>
    <row r="115" hidden="1" ht="15.75" customHeight="1" s="321">
      <c r="B115" s="77" t="n"/>
      <c r="C115" s="77" t="n"/>
      <c r="D115" s="77" t="n"/>
      <c r="E115" s="77" t="n"/>
      <c r="F115" s="77" t="n"/>
      <c r="G115" s="77" t="n"/>
      <c r="H115" s="77" t="n"/>
      <c r="I115" s="77" t="n"/>
      <c r="J115" s="77" t="n"/>
      <c r="K115" s="77" t="n"/>
      <c r="L115" s="77" t="n"/>
      <c r="M115" s="77" t="n"/>
      <c r="N115" s="77" t="n"/>
      <c r="O115" s="77" t="n"/>
      <c r="P115" s="77" t="n"/>
      <c r="Q115" s="77" t="n"/>
      <c r="R115" s="77" t="n"/>
      <c r="S115" s="77" t="n"/>
      <c r="T115" s="77" t="n"/>
      <c r="U115" s="77" t="n"/>
      <c r="V115" s="77" t="n"/>
      <c r="W115" s="77" t="n"/>
      <c r="X115" s="77" t="n"/>
      <c r="Y115" s="77" t="n"/>
      <c r="Z115" s="77" t="n"/>
      <c r="AA115" s="77" t="n"/>
    </row>
    <row r="116" hidden="1" ht="23.45" customHeight="1" s="321">
      <c r="B116" s="77" t="n"/>
      <c r="C116" s="77" t="n"/>
      <c r="D116" s="77" t="n"/>
      <c r="E116" s="77" t="n"/>
      <c r="F116" s="77" t="n"/>
      <c r="G116" s="77" t="n"/>
      <c r="H116" s="77" t="n"/>
      <c r="I116" s="77" t="n"/>
      <c r="J116" s="77" t="n"/>
      <c r="K116" s="77" t="n"/>
      <c r="L116" s="77" t="n"/>
      <c r="M116" s="77" t="n"/>
      <c r="N116" s="77" t="n"/>
      <c r="O116" s="77" t="n"/>
      <c r="P116" s="77" t="n"/>
      <c r="Q116" s="77" t="n"/>
      <c r="R116" s="77" t="n"/>
      <c r="S116" s="77" t="n"/>
      <c r="T116" s="77" t="n"/>
      <c r="U116" s="77" t="n"/>
      <c r="V116" s="77" t="n"/>
      <c r="W116" s="77" t="n"/>
      <c r="X116" s="48" t="n"/>
      <c r="Y116" s="48" t="n"/>
      <c r="Z116" s="48" t="n"/>
      <c r="AA116" s="48" t="n"/>
    </row>
    <row r="117" hidden="1" ht="23.45" customHeight="1" s="321">
      <c r="B117" s="77" t="n"/>
      <c r="C117" s="77" t="n"/>
      <c r="D117" s="77" t="n"/>
      <c r="E117" s="77" t="n"/>
      <c r="F117" s="77" t="n"/>
      <c r="G117" s="77" t="n"/>
      <c r="H117" s="77" t="n"/>
      <c r="I117" s="77" t="n"/>
      <c r="J117" s="77" t="n"/>
      <c r="K117" s="77" t="n"/>
      <c r="L117" s="77" t="n"/>
      <c r="M117" s="77" t="n"/>
      <c r="N117" s="77" t="n"/>
      <c r="O117" s="77" t="n"/>
      <c r="P117" s="77" t="n"/>
      <c r="Q117" s="77" t="n"/>
      <c r="R117" s="77" t="n"/>
      <c r="S117" s="77" t="n"/>
      <c r="T117" s="77" t="n"/>
      <c r="U117" s="77" t="n"/>
      <c r="V117" s="77" t="n"/>
      <c r="W117" s="77" t="n"/>
      <c r="X117" s="48" t="n"/>
      <c r="Y117" s="48" t="n"/>
      <c r="Z117" s="48" t="n"/>
      <c r="AA117" s="48" t="n"/>
    </row>
    <row r="122" hidden="1" s="321">
      <c r="I122" s="11" t="n">
        <v>1</v>
      </c>
      <c r="J122" s="11" t="inlineStr">
        <is>
          <t>A*C</t>
        </is>
      </c>
      <c r="K122" s="564">
        <f>K13*K15</f>
        <v/>
      </c>
      <c r="L122" s="897" t="n"/>
      <c r="M122" s="564">
        <f>M13*M15</f>
        <v/>
      </c>
      <c r="N122" s="897" t="n"/>
      <c r="O122" s="564">
        <f>O13*O15</f>
        <v/>
      </c>
      <c r="P122" s="897" t="n"/>
      <c r="Q122" s="564">
        <f>Q13*Q15</f>
        <v/>
      </c>
      <c r="R122" s="897" t="n"/>
      <c r="S122" s="564">
        <f>S13*S15</f>
        <v/>
      </c>
      <c r="T122" s="897" t="n"/>
      <c r="U122" s="564">
        <f>U13*U15</f>
        <v/>
      </c>
      <c r="V122" s="897" t="n"/>
      <c r="W122" s="564">
        <f>W13*W15</f>
        <v/>
      </c>
      <c r="X122" s="897" t="n"/>
      <c r="Y122" s="564">
        <f>Y13*Y15</f>
        <v/>
      </c>
      <c r="Z122" s="897" t="n"/>
      <c r="AA122" s="564">
        <f>AA13*AA15</f>
        <v/>
      </c>
      <c r="AB122" s="897" t="n"/>
      <c r="AC122" s="564">
        <f>AC13*AC15</f>
        <v/>
      </c>
      <c r="AD122" s="897" t="n"/>
    </row>
    <row r="123" hidden="1" s="321">
      <c r="I123" s="11" t="n">
        <v>2</v>
      </c>
      <c r="J123" s="11" t="inlineStr">
        <is>
          <t>A*C</t>
        </is>
      </c>
      <c r="K123" s="564">
        <f>K18*K20</f>
        <v/>
      </c>
      <c r="L123" s="897" t="n"/>
      <c r="M123" s="564">
        <f>M18*M20</f>
        <v/>
      </c>
      <c r="N123" s="897" t="n"/>
      <c r="O123" s="564">
        <f>O18*O20</f>
        <v/>
      </c>
      <c r="P123" s="897" t="n"/>
      <c r="Q123" s="564">
        <f>Q18*Q20</f>
        <v/>
      </c>
      <c r="R123" s="897" t="n"/>
      <c r="S123" s="564">
        <f>S18*S20</f>
        <v/>
      </c>
      <c r="T123" s="897" t="n"/>
      <c r="U123" s="564">
        <f>U18*U20</f>
        <v/>
      </c>
      <c r="V123" s="897" t="n"/>
      <c r="W123" s="564">
        <f>W18*W20</f>
        <v/>
      </c>
      <c r="X123" s="897" t="n"/>
      <c r="Y123" s="564">
        <f>Y18*Y20</f>
        <v/>
      </c>
      <c r="Z123" s="897" t="n"/>
      <c r="AA123" s="564">
        <f>AA18*AA20</f>
        <v/>
      </c>
      <c r="AB123" s="897" t="n"/>
      <c r="AC123" s="564">
        <f>AC18*AC20</f>
        <v/>
      </c>
      <c r="AD123" s="897" t="n"/>
    </row>
    <row r="124" hidden="1" s="321">
      <c r="I124" s="11" t="n">
        <v>3</v>
      </c>
      <c r="J124" s="11" t="inlineStr">
        <is>
          <t>A*C</t>
        </is>
      </c>
      <c r="K124" s="564">
        <f>K23*K25</f>
        <v/>
      </c>
      <c r="L124" s="897" t="n"/>
      <c r="M124" s="564">
        <f>M23*M25</f>
        <v/>
      </c>
      <c r="N124" s="897" t="n"/>
      <c r="O124" s="564">
        <f>O23*O25</f>
        <v/>
      </c>
      <c r="P124" s="897" t="n"/>
      <c r="Q124" s="564">
        <f>Q23*Q25</f>
        <v/>
      </c>
      <c r="R124" s="897" t="n"/>
      <c r="S124" s="564">
        <f>S23*S25</f>
        <v/>
      </c>
      <c r="T124" s="897" t="n"/>
      <c r="U124" s="564">
        <f>U23*U25</f>
        <v/>
      </c>
      <c r="V124" s="897" t="n"/>
      <c r="W124" s="564">
        <f>W23*W25</f>
        <v/>
      </c>
      <c r="X124" s="897" t="n"/>
      <c r="Y124" s="564">
        <f>Y23*Y25</f>
        <v/>
      </c>
      <c r="Z124" s="897" t="n"/>
      <c r="AA124" s="564">
        <f>AA23*AA25</f>
        <v/>
      </c>
      <c r="AB124" s="897" t="n"/>
      <c r="AC124" s="564">
        <f>AC23*AC25</f>
        <v/>
      </c>
      <c r="AD124" s="897" t="n"/>
    </row>
    <row r="125" hidden="1" s="321">
      <c r="I125" s="11" t="n">
        <v>4</v>
      </c>
      <c r="J125" s="11" t="inlineStr">
        <is>
          <t>A*C</t>
        </is>
      </c>
      <c r="K125" s="564">
        <f>K28*K30</f>
        <v/>
      </c>
      <c r="L125" s="897" t="n"/>
      <c r="M125" s="564">
        <f>M28*M30</f>
        <v/>
      </c>
      <c r="N125" s="897" t="n"/>
      <c r="O125" s="564">
        <f>O28*O30</f>
        <v/>
      </c>
      <c r="P125" s="897" t="n"/>
      <c r="Q125" s="564">
        <f>Q28*Q30</f>
        <v/>
      </c>
      <c r="R125" s="897" t="n"/>
      <c r="S125" s="564">
        <f>S28*S30</f>
        <v/>
      </c>
      <c r="T125" s="897" t="n"/>
      <c r="U125" s="564">
        <f>U28*U30</f>
        <v/>
      </c>
      <c r="V125" s="897" t="n"/>
      <c r="W125" s="564">
        <f>W28*W30</f>
        <v/>
      </c>
      <c r="X125" s="897" t="n"/>
      <c r="Y125" s="564">
        <f>Y28*Y30</f>
        <v/>
      </c>
      <c r="Z125" s="897" t="n"/>
      <c r="AA125" s="564">
        <f>AA28*AA30</f>
        <v/>
      </c>
      <c r="AB125" s="897" t="n"/>
      <c r="AC125" s="564">
        <f>AC28*AC30</f>
        <v/>
      </c>
      <c r="AD125" s="897" t="n"/>
    </row>
    <row r="126" hidden="1" s="321">
      <c r="I126" s="11" t="n">
        <v>5</v>
      </c>
      <c r="J126" s="11" t="inlineStr">
        <is>
          <t>A*C</t>
        </is>
      </c>
      <c r="K126" s="564">
        <f>K33*K35</f>
        <v/>
      </c>
      <c r="L126" s="897" t="n"/>
      <c r="M126" s="564">
        <f>M33*M35</f>
        <v/>
      </c>
      <c r="N126" s="897" t="n"/>
      <c r="O126" s="564">
        <f>O33*O35</f>
        <v/>
      </c>
      <c r="P126" s="897" t="n"/>
      <c r="Q126" s="564">
        <f>Q33*Q35</f>
        <v/>
      </c>
      <c r="R126" s="897" t="n"/>
      <c r="S126" s="564">
        <f>S33*S35</f>
        <v/>
      </c>
      <c r="T126" s="897" t="n"/>
      <c r="U126" s="564">
        <f>U33*U35</f>
        <v/>
      </c>
      <c r="V126" s="897" t="n"/>
      <c r="W126" s="564">
        <f>W33*W35</f>
        <v/>
      </c>
      <c r="X126" s="897" t="n"/>
      <c r="Y126" s="564">
        <f>Y33*Y35</f>
        <v/>
      </c>
      <c r="Z126" s="897" t="n"/>
      <c r="AA126" s="564">
        <f>AA33*AA35</f>
        <v/>
      </c>
      <c r="AB126" s="897" t="n"/>
      <c r="AC126" s="564">
        <f>AC33*AC35</f>
        <v/>
      </c>
      <c r="AD126" s="897" t="n"/>
    </row>
    <row r="127" hidden="1" s="321">
      <c r="I127" s="11" t="n">
        <v>6</v>
      </c>
      <c r="J127" s="11" t="inlineStr">
        <is>
          <t>A*C</t>
        </is>
      </c>
      <c r="K127" s="564">
        <f>K38*K40</f>
        <v/>
      </c>
      <c r="L127" s="897" t="n"/>
      <c r="M127" s="564">
        <f>M38*M40</f>
        <v/>
      </c>
      <c r="N127" s="897" t="n"/>
      <c r="O127" s="564">
        <f>O38*O40</f>
        <v/>
      </c>
      <c r="P127" s="897" t="n"/>
      <c r="Q127" s="564">
        <f>Q38*Q40</f>
        <v/>
      </c>
      <c r="R127" s="897" t="n"/>
      <c r="S127" s="564">
        <f>S38*S40</f>
        <v/>
      </c>
      <c r="T127" s="897" t="n"/>
      <c r="U127" s="564">
        <f>U38*U40</f>
        <v/>
      </c>
      <c r="V127" s="897" t="n"/>
      <c r="W127" s="564">
        <f>W38*W40</f>
        <v/>
      </c>
      <c r="X127" s="897" t="n"/>
      <c r="Y127" s="564">
        <f>Y38*Y40</f>
        <v/>
      </c>
      <c r="Z127" s="897" t="n"/>
      <c r="AA127" s="564">
        <f>AA38*AA40</f>
        <v/>
      </c>
      <c r="AB127" s="897" t="n"/>
      <c r="AC127" s="564">
        <f>AC38*AC40</f>
        <v/>
      </c>
      <c r="AD127" s="897" t="n"/>
    </row>
    <row r="128" hidden="1" s="321">
      <c r="I128" s="11" t="n">
        <v>7</v>
      </c>
      <c r="J128" s="11" t="inlineStr">
        <is>
          <t>A*C</t>
        </is>
      </c>
      <c r="K128" s="564">
        <f>K43*K45</f>
        <v/>
      </c>
      <c r="L128" s="897" t="n"/>
      <c r="M128" s="564">
        <f>M43*M45</f>
        <v/>
      </c>
      <c r="N128" s="897" t="n"/>
      <c r="O128" s="564">
        <f>O43*O45</f>
        <v/>
      </c>
      <c r="P128" s="897" t="n"/>
      <c r="Q128" s="564">
        <f>Q43*Q45</f>
        <v/>
      </c>
      <c r="R128" s="897" t="n"/>
      <c r="S128" s="564">
        <f>S43*S45</f>
        <v/>
      </c>
      <c r="T128" s="897" t="n"/>
      <c r="U128" s="564">
        <f>U43*U45</f>
        <v/>
      </c>
      <c r="V128" s="897" t="n"/>
      <c r="W128" s="564">
        <f>W43*W45</f>
        <v/>
      </c>
      <c r="X128" s="897" t="n"/>
      <c r="Y128" s="564">
        <f>Y43*Y45</f>
        <v/>
      </c>
      <c r="Z128" s="897" t="n"/>
      <c r="AA128" s="564">
        <f>AA43*AA45</f>
        <v/>
      </c>
      <c r="AB128" s="897" t="n"/>
      <c r="AC128" s="564">
        <f>AC43*AC45</f>
        <v/>
      </c>
      <c r="AD128" s="897" t="n"/>
    </row>
    <row r="129" hidden="1" s="321">
      <c r="I129" s="11" t="n">
        <v>8</v>
      </c>
      <c r="J129" s="11" t="inlineStr">
        <is>
          <t>A*C</t>
        </is>
      </c>
      <c r="K129" s="564">
        <f>K48*K50</f>
        <v/>
      </c>
      <c r="L129" s="897" t="n"/>
      <c r="M129" s="564">
        <f>M48*M50</f>
        <v/>
      </c>
      <c r="N129" s="897" t="n"/>
      <c r="O129" s="564">
        <f>O48*O50</f>
        <v/>
      </c>
      <c r="P129" s="897" t="n"/>
      <c r="Q129" s="564">
        <f>Q48*Q50</f>
        <v/>
      </c>
      <c r="R129" s="897" t="n"/>
      <c r="S129" s="564">
        <f>S48*S50</f>
        <v/>
      </c>
      <c r="T129" s="897" t="n"/>
      <c r="U129" s="564">
        <f>U48*U50</f>
        <v/>
      </c>
      <c r="V129" s="897" t="n"/>
      <c r="W129" s="564">
        <f>W48*W50</f>
        <v/>
      </c>
      <c r="X129" s="897" t="n"/>
      <c r="Y129" s="564">
        <f>Y48*Y50</f>
        <v/>
      </c>
      <c r="Z129" s="897" t="n"/>
      <c r="AA129" s="564">
        <f>AA48*AA50</f>
        <v/>
      </c>
      <c r="AB129" s="897" t="n"/>
      <c r="AC129" s="564">
        <f>AC48*AC50</f>
        <v/>
      </c>
      <c r="AD129" s="897" t="n"/>
    </row>
    <row r="130" hidden="1" s="321">
      <c r="I130" s="11" t="n">
        <v>9</v>
      </c>
      <c r="J130" s="11" t="inlineStr">
        <is>
          <t>A*C</t>
        </is>
      </c>
      <c r="K130" s="564">
        <f>K53*K55</f>
        <v/>
      </c>
      <c r="L130" s="897" t="n"/>
      <c r="M130" s="564">
        <f>M53*M55</f>
        <v/>
      </c>
      <c r="N130" s="897" t="n"/>
      <c r="O130" s="564">
        <f>O53*O55</f>
        <v/>
      </c>
      <c r="P130" s="897" t="n"/>
      <c r="Q130" s="564">
        <f>Q53*Q55</f>
        <v/>
      </c>
      <c r="R130" s="897" t="n"/>
      <c r="S130" s="564">
        <f>S53*S55</f>
        <v/>
      </c>
      <c r="T130" s="897" t="n"/>
      <c r="U130" s="564">
        <f>U53*U55</f>
        <v/>
      </c>
      <c r="V130" s="897" t="n"/>
      <c r="W130" s="564">
        <f>W53*W55</f>
        <v/>
      </c>
      <c r="X130" s="897" t="n"/>
      <c r="Y130" s="564">
        <f>Y53*Y55</f>
        <v/>
      </c>
      <c r="Z130" s="897" t="n"/>
      <c r="AA130" s="564">
        <f>AA53*AA55</f>
        <v/>
      </c>
      <c r="AB130" s="897" t="n"/>
      <c r="AC130" s="564">
        <f>AC53*AC55</f>
        <v/>
      </c>
      <c r="AD130" s="897" t="n"/>
    </row>
    <row r="131" hidden="1" s="321">
      <c r="I131" s="11" t="n">
        <v>10</v>
      </c>
      <c r="J131" s="11" t="inlineStr">
        <is>
          <t>A*C</t>
        </is>
      </c>
      <c r="K131" s="564">
        <f>K58*K60</f>
        <v/>
      </c>
      <c r="L131" s="897" t="n"/>
      <c r="M131" s="564">
        <f>M58*M60</f>
        <v/>
      </c>
      <c r="N131" s="897" t="n"/>
      <c r="O131" s="564">
        <f>O58*O60</f>
        <v/>
      </c>
      <c r="P131" s="897" t="n"/>
      <c r="Q131" s="564">
        <f>Q58*Q60</f>
        <v/>
      </c>
      <c r="R131" s="897" t="n"/>
      <c r="S131" s="564">
        <f>S58*S60</f>
        <v/>
      </c>
      <c r="T131" s="897" t="n"/>
      <c r="U131" s="564">
        <f>U58*U60</f>
        <v/>
      </c>
      <c r="V131" s="897" t="n"/>
      <c r="W131" s="564">
        <f>W58*W60</f>
        <v/>
      </c>
      <c r="X131" s="897" t="n"/>
      <c r="Y131" s="564">
        <f>Y58*Y60</f>
        <v/>
      </c>
      <c r="Z131" s="897" t="n"/>
      <c r="AA131" s="564">
        <f>AA58*AA60</f>
        <v/>
      </c>
      <c r="AB131" s="897" t="n"/>
      <c r="AC131" s="564">
        <f>AC58*AC60</f>
        <v/>
      </c>
      <c r="AD131" s="897" t="n"/>
    </row>
    <row r="132" hidden="1" s="321">
      <c r="I132" s="11" t="n">
        <v>11</v>
      </c>
      <c r="J132" s="11" t="inlineStr">
        <is>
          <t>A*C</t>
        </is>
      </c>
      <c r="K132" s="564">
        <f>K63*K65</f>
        <v/>
      </c>
      <c r="L132" s="897" t="n"/>
      <c r="M132" s="564">
        <f>M63*M65</f>
        <v/>
      </c>
      <c r="N132" s="897" t="n"/>
      <c r="O132" s="564">
        <f>O63*O65</f>
        <v/>
      </c>
      <c r="P132" s="897" t="n"/>
      <c r="Q132" s="564">
        <f>Q63*Q65</f>
        <v/>
      </c>
      <c r="R132" s="897" t="n"/>
      <c r="S132" s="564">
        <f>S63*S65</f>
        <v/>
      </c>
      <c r="T132" s="897" t="n"/>
      <c r="U132" s="564">
        <f>U63*U65</f>
        <v/>
      </c>
      <c r="V132" s="897" t="n"/>
      <c r="W132" s="564">
        <f>W63*W65</f>
        <v/>
      </c>
      <c r="X132" s="897" t="n"/>
      <c r="Y132" s="564">
        <f>Y63*Y65</f>
        <v/>
      </c>
      <c r="Z132" s="897" t="n"/>
      <c r="AA132" s="564">
        <f>AA63*AA65</f>
        <v/>
      </c>
      <c r="AB132" s="897" t="n"/>
      <c r="AC132" s="564">
        <f>AC63*AC65</f>
        <v/>
      </c>
      <c r="AD132" s="897" t="n"/>
    </row>
    <row r="133" hidden="1" s="321">
      <c r="I133" s="11" t="n">
        <v>12</v>
      </c>
      <c r="J133" s="11" t="inlineStr">
        <is>
          <t>A*C</t>
        </is>
      </c>
      <c r="K133" s="564">
        <f>K68*K70</f>
        <v/>
      </c>
      <c r="L133" s="897" t="n"/>
      <c r="M133" s="564">
        <f>M68*M70</f>
        <v/>
      </c>
      <c r="N133" s="897" t="n"/>
      <c r="O133" s="564">
        <f>O68*O70</f>
        <v/>
      </c>
      <c r="P133" s="897" t="n"/>
      <c r="Q133" s="564">
        <f>Q68*Q70</f>
        <v/>
      </c>
      <c r="R133" s="897" t="n"/>
      <c r="S133" s="564">
        <f>S68*S70</f>
        <v/>
      </c>
      <c r="T133" s="897" t="n"/>
      <c r="U133" s="564">
        <f>U68*U70</f>
        <v/>
      </c>
      <c r="V133" s="897" t="n"/>
      <c r="W133" s="564">
        <f>W68*W70</f>
        <v/>
      </c>
      <c r="X133" s="897" t="n"/>
      <c r="Y133" s="564">
        <f>Y68*Y70</f>
        <v/>
      </c>
      <c r="Z133" s="897" t="n"/>
      <c r="AA133" s="564">
        <f>AA68*AA70</f>
        <v/>
      </c>
      <c r="AB133" s="897" t="n"/>
      <c r="AC133" s="564">
        <f>AC68*AC70</f>
        <v/>
      </c>
      <c r="AD133" s="897" t="n"/>
    </row>
    <row r="134" hidden="1" s="321">
      <c r="I134" s="11" t="n">
        <v>13</v>
      </c>
      <c r="J134" s="11" t="inlineStr">
        <is>
          <t>A*C</t>
        </is>
      </c>
      <c r="K134" s="564">
        <f>K73*K75</f>
        <v/>
      </c>
      <c r="L134" s="897" t="n"/>
      <c r="M134" s="564">
        <f>M73*M75</f>
        <v/>
      </c>
      <c r="N134" s="897" t="n"/>
      <c r="O134" s="564">
        <f>O73*O75</f>
        <v/>
      </c>
      <c r="P134" s="897" t="n"/>
      <c r="Q134" s="564">
        <f>Q73*Q75</f>
        <v/>
      </c>
      <c r="R134" s="897" t="n"/>
      <c r="S134" s="564">
        <f>S73*S75</f>
        <v/>
      </c>
      <c r="T134" s="897" t="n"/>
      <c r="U134" s="564">
        <f>U73*U75</f>
        <v/>
      </c>
      <c r="V134" s="897" t="n"/>
      <c r="W134" s="564">
        <f>W73*W75</f>
        <v/>
      </c>
      <c r="X134" s="897" t="n"/>
      <c r="Y134" s="564">
        <f>Y73*Y75</f>
        <v/>
      </c>
      <c r="Z134" s="897" t="n"/>
      <c r="AA134" s="564">
        <f>AA73*AA75</f>
        <v/>
      </c>
      <c r="AB134" s="897" t="n"/>
      <c r="AC134" s="564">
        <f>AC73*AC75</f>
        <v/>
      </c>
      <c r="AD134" s="897" t="n"/>
    </row>
    <row r="135" hidden="1" s="321">
      <c r="I135" s="11" t="n">
        <v>14</v>
      </c>
      <c r="J135" s="11" t="inlineStr">
        <is>
          <t>A*C</t>
        </is>
      </c>
      <c r="K135" s="564">
        <f>K78*K80</f>
        <v/>
      </c>
      <c r="L135" s="897" t="n"/>
      <c r="M135" s="564">
        <f>M78*M80</f>
        <v/>
      </c>
      <c r="N135" s="897" t="n"/>
      <c r="O135" s="564">
        <f>O78*O80</f>
        <v/>
      </c>
      <c r="P135" s="897" t="n"/>
      <c r="Q135" s="564">
        <f>Q78*Q80</f>
        <v/>
      </c>
      <c r="R135" s="897" t="n"/>
      <c r="S135" s="564">
        <f>S78*S80</f>
        <v/>
      </c>
      <c r="T135" s="897" t="n"/>
      <c r="U135" s="564">
        <f>U78*U80</f>
        <v/>
      </c>
      <c r="V135" s="897" t="n"/>
      <c r="W135" s="564">
        <f>W78*W80</f>
        <v/>
      </c>
      <c r="X135" s="897" t="n"/>
      <c r="Y135" s="564">
        <f>Y78*Y80</f>
        <v/>
      </c>
      <c r="Z135" s="897" t="n"/>
      <c r="AA135" s="564">
        <f>AA78*AA80</f>
        <v/>
      </c>
      <c r="AB135" s="897" t="n"/>
      <c r="AC135" s="564">
        <f>AC78*AC80</f>
        <v/>
      </c>
      <c r="AD135" s="897" t="n"/>
    </row>
    <row r="136" hidden="1" s="321">
      <c r="I136" s="11" t="n">
        <v>15</v>
      </c>
      <c r="J136" s="11" t="inlineStr">
        <is>
          <t>A*C</t>
        </is>
      </c>
      <c r="K136" s="564">
        <f>K83*K85</f>
        <v/>
      </c>
      <c r="L136" s="897" t="n"/>
      <c r="M136" s="564">
        <f>M83*M85</f>
        <v/>
      </c>
      <c r="N136" s="897" t="n"/>
      <c r="O136" s="564">
        <f>O83*O85</f>
        <v/>
      </c>
      <c r="P136" s="897" t="n"/>
      <c r="Q136" s="564">
        <f>Q83*Q85</f>
        <v/>
      </c>
      <c r="R136" s="897" t="n"/>
      <c r="S136" s="564">
        <f>S83*S85</f>
        <v/>
      </c>
      <c r="T136" s="897" t="n"/>
      <c r="U136" s="564">
        <f>U83*U85</f>
        <v/>
      </c>
      <c r="V136" s="897" t="n"/>
      <c r="W136" s="564">
        <f>W83*W85</f>
        <v/>
      </c>
      <c r="X136" s="897" t="n"/>
      <c r="Y136" s="564">
        <f>Y83*Y85</f>
        <v/>
      </c>
      <c r="Z136" s="897" t="n"/>
      <c r="AA136" s="564">
        <f>AA83*AA85</f>
        <v/>
      </c>
      <c r="AB136" s="897" t="n"/>
      <c r="AC136" s="564">
        <f>AC83*AC85</f>
        <v/>
      </c>
      <c r="AD136" s="897" t="n"/>
    </row>
    <row r="137" hidden="1" s="321">
      <c r="I137" s="11" t="n">
        <v>16</v>
      </c>
      <c r="J137" s="11" t="inlineStr">
        <is>
          <t>A*C</t>
        </is>
      </c>
      <c r="K137" s="564">
        <f>K88*K90</f>
        <v/>
      </c>
      <c r="L137" s="897" t="n"/>
      <c r="M137" s="564">
        <f>M88*M90</f>
        <v/>
      </c>
      <c r="N137" s="897" t="n"/>
      <c r="O137" s="564">
        <f>O88*O90</f>
        <v/>
      </c>
      <c r="P137" s="897" t="n"/>
      <c r="Q137" s="564">
        <f>Q88*Q90</f>
        <v/>
      </c>
      <c r="R137" s="897" t="n"/>
      <c r="S137" s="564">
        <f>S88*S90</f>
        <v/>
      </c>
      <c r="T137" s="897" t="n"/>
      <c r="U137" s="564">
        <f>U88*U90</f>
        <v/>
      </c>
      <c r="V137" s="897" t="n"/>
      <c r="W137" s="564">
        <f>W88*W90</f>
        <v/>
      </c>
      <c r="X137" s="897" t="n"/>
      <c r="Y137" s="564">
        <f>Y88*Y90</f>
        <v/>
      </c>
      <c r="Z137" s="897" t="n"/>
      <c r="AA137" s="564">
        <f>AA88*AA90</f>
        <v/>
      </c>
      <c r="AB137" s="897" t="n"/>
      <c r="AC137" s="564">
        <f>AC88*AC90</f>
        <v/>
      </c>
      <c r="AD137" s="897" t="n"/>
    </row>
    <row r="138" hidden="1" s="321">
      <c r="I138" s="11" t="n">
        <v>17</v>
      </c>
      <c r="J138" s="11" t="inlineStr">
        <is>
          <t>A*C</t>
        </is>
      </c>
      <c r="K138" s="564">
        <f>K93*K95</f>
        <v/>
      </c>
      <c r="L138" s="897" t="n"/>
      <c r="M138" s="564">
        <f>M93*M95</f>
        <v/>
      </c>
      <c r="N138" s="897" t="n"/>
      <c r="O138" s="564">
        <f>O93*O95</f>
        <v/>
      </c>
      <c r="P138" s="897" t="n"/>
      <c r="Q138" s="564">
        <f>Q93*Q95</f>
        <v/>
      </c>
      <c r="R138" s="897" t="n"/>
      <c r="S138" s="564">
        <f>S93*S95</f>
        <v/>
      </c>
      <c r="T138" s="897" t="n"/>
      <c r="U138" s="564">
        <f>U93*U95</f>
        <v/>
      </c>
      <c r="V138" s="897" t="n"/>
      <c r="W138" s="564">
        <f>W93*W95</f>
        <v/>
      </c>
      <c r="X138" s="897" t="n"/>
      <c r="Y138" s="564">
        <f>Y93*Y95</f>
        <v/>
      </c>
      <c r="Z138" s="897" t="n"/>
      <c r="AA138" s="564">
        <f>AA93*AA95</f>
        <v/>
      </c>
      <c r="AB138" s="897" t="n"/>
      <c r="AC138" s="564">
        <f>AC93*AC95</f>
        <v/>
      </c>
      <c r="AD138" s="897" t="n"/>
    </row>
    <row r="139" hidden="1" s="321">
      <c r="I139" s="11" t="n">
        <v>18</v>
      </c>
      <c r="J139" s="11" t="inlineStr">
        <is>
          <t>A*C</t>
        </is>
      </c>
      <c r="K139" s="564">
        <f>K98*K100</f>
        <v/>
      </c>
      <c r="L139" s="897" t="n"/>
      <c r="M139" s="564">
        <f>M98*M100</f>
        <v/>
      </c>
      <c r="N139" s="897" t="n"/>
      <c r="O139" s="564">
        <f>O98*O100</f>
        <v/>
      </c>
      <c r="P139" s="897" t="n"/>
      <c r="Q139" s="564">
        <f>Q98*Q100</f>
        <v/>
      </c>
      <c r="R139" s="897" t="n"/>
      <c r="S139" s="564">
        <f>S98*S100</f>
        <v/>
      </c>
      <c r="T139" s="897" t="n"/>
      <c r="U139" s="564">
        <f>U98*U100</f>
        <v/>
      </c>
      <c r="V139" s="897" t="n"/>
      <c r="W139" s="564">
        <f>W98*W100</f>
        <v/>
      </c>
      <c r="X139" s="897" t="n"/>
      <c r="Y139" s="564">
        <f>Y98*Y100</f>
        <v/>
      </c>
      <c r="Z139" s="897" t="n"/>
      <c r="AA139" s="564">
        <f>AA98*AA100</f>
        <v/>
      </c>
      <c r="AB139" s="897" t="n"/>
      <c r="AC139" s="564">
        <f>AC98*AC100</f>
        <v/>
      </c>
      <c r="AD139" s="897" t="n"/>
    </row>
    <row r="140" hidden="1" s="321">
      <c r="I140" s="11" t="n">
        <v>19</v>
      </c>
      <c r="J140" s="11" t="inlineStr">
        <is>
          <t>A*C</t>
        </is>
      </c>
      <c r="K140" s="564">
        <f>K103*K105</f>
        <v/>
      </c>
      <c r="L140" s="897" t="n"/>
      <c r="M140" s="564">
        <f>M103*M105</f>
        <v/>
      </c>
      <c r="N140" s="897" t="n"/>
      <c r="O140" s="564">
        <f>O103*O105</f>
        <v/>
      </c>
      <c r="P140" s="897" t="n"/>
      <c r="Q140" s="564">
        <f>Q103*Q105</f>
        <v/>
      </c>
      <c r="R140" s="897" t="n"/>
      <c r="S140" s="564">
        <f>S103*S105</f>
        <v/>
      </c>
      <c r="T140" s="897" t="n"/>
      <c r="U140" s="564">
        <f>U103*U105</f>
        <v/>
      </c>
      <c r="V140" s="897" t="n"/>
      <c r="W140" s="564">
        <f>W103*W105</f>
        <v/>
      </c>
      <c r="X140" s="897" t="n"/>
      <c r="Y140" s="564">
        <f>Y103*Y105</f>
        <v/>
      </c>
      <c r="Z140" s="897" t="n"/>
      <c r="AA140" s="564">
        <f>AA103*AA105</f>
        <v/>
      </c>
      <c r="AB140" s="897" t="n"/>
      <c r="AC140" s="564">
        <f>AC103*AC105</f>
        <v/>
      </c>
      <c r="AD140" s="897" t="n"/>
    </row>
    <row r="141" hidden="1" s="321">
      <c r="I141" s="11" t="n">
        <v>20</v>
      </c>
      <c r="J141" s="11" t="inlineStr">
        <is>
          <t>A*C</t>
        </is>
      </c>
      <c r="K141" s="564">
        <f>K108*K110</f>
        <v/>
      </c>
      <c r="L141" s="897" t="n"/>
      <c r="M141" s="564">
        <f>M108*M110</f>
        <v/>
      </c>
      <c r="N141" s="897" t="n"/>
      <c r="O141" s="564">
        <f>O108*O110</f>
        <v/>
      </c>
      <c r="P141" s="897" t="n"/>
      <c r="Q141" s="564">
        <f>Q108*Q110</f>
        <v/>
      </c>
      <c r="R141" s="897" t="n"/>
      <c r="S141" s="564">
        <f>S108*S110</f>
        <v/>
      </c>
      <c r="T141" s="897" t="n"/>
      <c r="U141" s="564">
        <f>U108*U110</f>
        <v/>
      </c>
      <c r="V141" s="897" t="n"/>
      <c r="W141" s="564">
        <f>W108*W110</f>
        <v/>
      </c>
      <c r="X141" s="897" t="n"/>
      <c r="Y141" s="564">
        <f>Y108*Y110</f>
        <v/>
      </c>
      <c r="Z141" s="897" t="n"/>
      <c r="AA141" s="564">
        <f>AA108*AA110</f>
        <v/>
      </c>
      <c r="AB141" s="897" t="n"/>
      <c r="AC141" s="564">
        <f>AC108*AC110</f>
        <v/>
      </c>
      <c r="AD141" s="897" t="n"/>
    </row>
    <row r="142" hidden="1" s="321">
      <c r="I142" s="11" t="n"/>
      <c r="J142" s="11" t="inlineStr">
        <is>
          <t>TOTAL</t>
        </is>
      </c>
      <c r="K142" s="564">
        <f>SUM(K122:L141)</f>
        <v/>
      </c>
      <c r="L142" s="897" t="n"/>
      <c r="M142" s="564">
        <f>SUM(M122:N141)</f>
        <v/>
      </c>
      <c r="N142" s="897" t="n"/>
      <c r="O142" s="564">
        <f>SUM(O122:P141)</f>
        <v/>
      </c>
      <c r="P142" s="897" t="n"/>
      <c r="Q142" s="564">
        <f>SUM(Q122:R141)</f>
        <v/>
      </c>
      <c r="R142" s="897" t="n"/>
      <c r="S142" s="564">
        <f>SUM(S122:T141)</f>
        <v/>
      </c>
      <c r="T142" s="897" t="n"/>
      <c r="U142" s="564">
        <f>SUM(U122:V141)</f>
        <v/>
      </c>
      <c r="V142" s="897" t="n"/>
      <c r="W142" s="564">
        <f>SUM(W122:X141)</f>
        <v/>
      </c>
      <c r="X142" s="897" t="n"/>
      <c r="Y142" s="564">
        <f>SUM(Y122:Z141)</f>
        <v/>
      </c>
      <c r="Z142" s="897" t="n"/>
      <c r="AA142" s="564">
        <f>SUM(AA122:AB141)</f>
        <v/>
      </c>
      <c r="AB142" s="897" t="n"/>
      <c r="AC142" s="564">
        <f>SUM(AC122:AD141)</f>
        <v/>
      </c>
      <c r="AD142" s="897" t="n"/>
    </row>
    <row r="143" hidden="1" s="321">
      <c r="I143" s="11" t="n"/>
      <c r="J143" s="11" t="n"/>
      <c r="K143" s="11" t="n"/>
      <c r="L143" s="11" t="n"/>
      <c r="M143" s="11" t="n"/>
      <c r="N143" s="11" t="n"/>
      <c r="O143" s="11" t="n"/>
      <c r="P143" s="11" t="n"/>
      <c r="Q143" s="11" t="n"/>
      <c r="R143" s="11" t="n"/>
      <c r="S143" s="11" t="n"/>
      <c r="T143" s="11" t="n"/>
      <c r="U143" s="11" t="n"/>
      <c r="V143" s="11" t="n"/>
      <c r="W143" s="11" t="n"/>
      <c r="X143" s="11" t="n"/>
      <c r="Y143" s="11" t="n"/>
      <c r="Z143" s="11" t="n"/>
      <c r="AA143" s="11" t="n"/>
      <c r="AB143" s="11" t="n"/>
      <c r="AC143" s="11" t="n"/>
      <c r="AD143" s="11" t="n"/>
    </row>
    <row r="144" hidden="1" s="321">
      <c r="I144" s="11" t="n"/>
      <c r="J144" s="11" t="inlineStr">
        <is>
          <t>W1</t>
        </is>
      </c>
      <c r="K144" s="564">
        <f>IFERROR(K122/K$142,0)</f>
        <v/>
      </c>
      <c r="L144" s="897" t="n"/>
      <c r="M144" s="564">
        <f>IFERROR(M122/M$142,0)</f>
        <v/>
      </c>
      <c r="N144" s="897" t="n"/>
      <c r="O144" s="564">
        <f>IFERROR(O122/O$142,0)</f>
        <v/>
      </c>
      <c r="P144" s="897" t="n"/>
      <c r="Q144" s="564">
        <f>IFERROR(Q122/Q$142,0)</f>
        <v/>
      </c>
      <c r="R144" s="897" t="n"/>
      <c r="S144" s="564">
        <f>IFERROR(S122/S$142,0)</f>
        <v/>
      </c>
      <c r="T144" s="897" t="n"/>
      <c r="U144" s="564">
        <f>IFERROR(U122/U$142,0)</f>
        <v/>
      </c>
      <c r="V144" s="897" t="n"/>
      <c r="W144" s="564">
        <f>IFERROR(W122/W$142,0)</f>
        <v/>
      </c>
      <c r="X144" s="897" t="n"/>
      <c r="Y144" s="564">
        <f>IFERROR(Y122/Y$142,0)</f>
        <v/>
      </c>
      <c r="Z144" s="897" t="n"/>
      <c r="AA144" s="564">
        <f>IFERROR(AA122/AA$142,0)</f>
        <v/>
      </c>
      <c r="AB144" s="897" t="n"/>
      <c r="AC144" s="564">
        <f>IFERROR(AC122/AC$142,0)</f>
        <v/>
      </c>
      <c r="AD144" s="897" t="n"/>
    </row>
    <row r="145" hidden="1" s="321">
      <c r="I145" s="11" t="n"/>
      <c r="J145" s="11" t="inlineStr">
        <is>
          <t>W2</t>
        </is>
      </c>
      <c r="K145" s="564">
        <f>IFERROR(K123/K$142,0)</f>
        <v/>
      </c>
      <c r="L145" s="897" t="n"/>
      <c r="M145" s="564">
        <f>IFERROR(M123/M$142,0)</f>
        <v/>
      </c>
      <c r="N145" s="897" t="n"/>
      <c r="O145" s="564">
        <f>IFERROR(O123/O$142,0)</f>
        <v/>
      </c>
      <c r="P145" s="897" t="n"/>
      <c r="Q145" s="564">
        <f>IFERROR(Q123/Q$142,0)</f>
        <v/>
      </c>
      <c r="R145" s="897" t="n"/>
      <c r="S145" s="564">
        <f>IFERROR(S123/S$142,0)</f>
        <v/>
      </c>
      <c r="T145" s="897" t="n"/>
      <c r="U145" s="564">
        <f>IFERROR(U123/U$142,0)</f>
        <v/>
      </c>
      <c r="V145" s="897" t="n"/>
      <c r="W145" s="564">
        <f>IFERROR(W123/W$142,0)</f>
        <v/>
      </c>
      <c r="X145" s="897" t="n"/>
      <c r="Y145" s="564">
        <f>IFERROR(Y123/Y$142,0)</f>
        <v/>
      </c>
      <c r="Z145" s="897" t="n"/>
      <c r="AA145" s="564">
        <f>IFERROR(AA123/AA$142,0)</f>
        <v/>
      </c>
      <c r="AB145" s="897" t="n"/>
      <c r="AC145" s="564">
        <f>IFERROR(AC123/AC$142,0)</f>
        <v/>
      </c>
      <c r="AD145" s="897" t="n"/>
    </row>
    <row r="146" hidden="1" s="321">
      <c r="I146" s="11" t="n"/>
      <c r="J146" s="11" t="inlineStr">
        <is>
          <t>W3</t>
        </is>
      </c>
      <c r="K146" s="564">
        <f>IFERROR(K124/K$142,0)</f>
        <v/>
      </c>
      <c r="L146" s="897" t="n"/>
      <c r="M146" s="564">
        <f>IFERROR(M124/M$142,0)</f>
        <v/>
      </c>
      <c r="N146" s="897" t="n"/>
      <c r="O146" s="564">
        <f>IFERROR(O124/O$142,0)</f>
        <v/>
      </c>
      <c r="P146" s="897" t="n"/>
      <c r="Q146" s="564">
        <f>IFERROR(Q124/Q$142,0)</f>
        <v/>
      </c>
      <c r="R146" s="897" t="n"/>
      <c r="S146" s="564">
        <f>IFERROR(S124/S$142,0)</f>
        <v/>
      </c>
      <c r="T146" s="897" t="n"/>
      <c r="U146" s="564">
        <f>IFERROR(U124/U$142,0)</f>
        <v/>
      </c>
      <c r="V146" s="897" t="n"/>
      <c r="W146" s="564">
        <f>IFERROR(W124/W$142,0)</f>
        <v/>
      </c>
      <c r="X146" s="897" t="n"/>
      <c r="Y146" s="564">
        <f>IFERROR(Y124/Y$142,0)</f>
        <v/>
      </c>
      <c r="Z146" s="897" t="n"/>
      <c r="AA146" s="564">
        <f>IFERROR(AA124/AA$142,0)</f>
        <v/>
      </c>
      <c r="AB146" s="897" t="n"/>
      <c r="AC146" s="564">
        <f>IFERROR(AC124/AC$142,0)</f>
        <v/>
      </c>
      <c r="AD146" s="897" t="n"/>
    </row>
    <row r="147" hidden="1" s="321">
      <c r="I147" s="11" t="n"/>
      <c r="J147" s="11" t="inlineStr">
        <is>
          <t>W4</t>
        </is>
      </c>
      <c r="K147" s="564">
        <f>IFERROR(K125/K$142,0)</f>
        <v/>
      </c>
      <c r="L147" s="897" t="n"/>
      <c r="M147" s="564">
        <f>IFERROR(M125/M$142,0)</f>
        <v/>
      </c>
      <c r="N147" s="897" t="n"/>
      <c r="O147" s="564">
        <f>IFERROR(O125/O$142,0)</f>
        <v/>
      </c>
      <c r="P147" s="897" t="n"/>
      <c r="Q147" s="564">
        <f>IFERROR(Q125/Q$142,0)</f>
        <v/>
      </c>
      <c r="R147" s="897" t="n"/>
      <c r="S147" s="564">
        <f>IFERROR(S125/S$142,0)</f>
        <v/>
      </c>
      <c r="T147" s="897" t="n"/>
      <c r="U147" s="564">
        <f>IFERROR(U125/U$142,0)</f>
        <v/>
      </c>
      <c r="V147" s="897" t="n"/>
      <c r="W147" s="564">
        <f>IFERROR(W125/W$142,0)</f>
        <v/>
      </c>
      <c r="X147" s="897" t="n"/>
      <c r="Y147" s="564">
        <f>IFERROR(Y125/Y$142,0)</f>
        <v/>
      </c>
      <c r="Z147" s="897" t="n"/>
      <c r="AA147" s="564">
        <f>IFERROR(AA125/AA$142,0)</f>
        <v/>
      </c>
      <c r="AB147" s="897" t="n"/>
      <c r="AC147" s="564">
        <f>IFERROR(AC125/AC$142,0)</f>
        <v/>
      </c>
      <c r="AD147" s="897" t="n"/>
    </row>
    <row r="148" hidden="1" s="321">
      <c r="I148" s="11" t="n"/>
      <c r="J148" s="11" t="inlineStr">
        <is>
          <t>W5</t>
        </is>
      </c>
      <c r="K148" s="564">
        <f>IFERROR(K126/K$142,0)</f>
        <v/>
      </c>
      <c r="L148" s="897" t="n"/>
      <c r="M148" s="564">
        <f>IFERROR(M126/M$142,0)</f>
        <v/>
      </c>
      <c r="N148" s="897" t="n"/>
      <c r="O148" s="564">
        <f>IFERROR(O126/O$142,0)</f>
        <v/>
      </c>
      <c r="P148" s="897" t="n"/>
      <c r="Q148" s="564">
        <f>IFERROR(Q126/Q$142,0)</f>
        <v/>
      </c>
      <c r="R148" s="897" t="n"/>
      <c r="S148" s="564">
        <f>IFERROR(S126/S$142,0)</f>
        <v/>
      </c>
      <c r="T148" s="897" t="n"/>
      <c r="U148" s="564">
        <f>IFERROR(U126/U$142,0)</f>
        <v/>
      </c>
      <c r="V148" s="897" t="n"/>
      <c r="W148" s="564">
        <f>IFERROR(W126/W$142,0)</f>
        <v/>
      </c>
      <c r="X148" s="897" t="n"/>
      <c r="Y148" s="564">
        <f>IFERROR(Y126/Y$142,0)</f>
        <v/>
      </c>
      <c r="Z148" s="897" t="n"/>
      <c r="AA148" s="564">
        <f>IFERROR(AA126/AA$142,0)</f>
        <v/>
      </c>
      <c r="AB148" s="897" t="n"/>
      <c r="AC148" s="564">
        <f>IFERROR(AC126/AC$142,0)</f>
        <v/>
      </c>
      <c r="AD148" s="897" t="n"/>
    </row>
    <row r="149" hidden="1" s="321">
      <c r="I149" s="11" t="n"/>
      <c r="J149" s="11" t="inlineStr">
        <is>
          <t>W6</t>
        </is>
      </c>
      <c r="K149" s="564">
        <f>IFERROR(K127/K$142,0)</f>
        <v/>
      </c>
      <c r="L149" s="897" t="n"/>
      <c r="M149" s="564">
        <f>IFERROR(M127/M$142,0)</f>
        <v/>
      </c>
      <c r="N149" s="897" t="n"/>
      <c r="O149" s="564">
        <f>IFERROR(O127/O$142,0)</f>
        <v/>
      </c>
      <c r="P149" s="897" t="n"/>
      <c r="Q149" s="564">
        <f>IFERROR(Q127/Q$142,0)</f>
        <v/>
      </c>
      <c r="R149" s="897" t="n"/>
      <c r="S149" s="564">
        <f>IFERROR(S127/S$142,0)</f>
        <v/>
      </c>
      <c r="T149" s="897" t="n"/>
      <c r="U149" s="564">
        <f>IFERROR(U127/U$142,0)</f>
        <v/>
      </c>
      <c r="V149" s="897" t="n"/>
      <c r="W149" s="564">
        <f>IFERROR(W127/W$142,0)</f>
        <v/>
      </c>
      <c r="X149" s="897" t="n"/>
      <c r="Y149" s="564">
        <f>IFERROR(Y127/Y$142,0)</f>
        <v/>
      </c>
      <c r="Z149" s="897" t="n"/>
      <c r="AA149" s="564">
        <f>IFERROR(AA127/AA$142,0)</f>
        <v/>
      </c>
      <c r="AB149" s="897" t="n"/>
      <c r="AC149" s="564">
        <f>IFERROR(AC127/AC$142,0)</f>
        <v/>
      </c>
      <c r="AD149" s="897" t="n"/>
    </row>
    <row r="150" hidden="1" s="321">
      <c r="I150" s="11" t="n"/>
      <c r="J150" s="11" t="inlineStr">
        <is>
          <t>W7</t>
        </is>
      </c>
      <c r="K150" s="564">
        <f>IFERROR(K128/K$142,0)</f>
        <v/>
      </c>
      <c r="L150" s="897" t="n"/>
      <c r="M150" s="564">
        <f>IFERROR(M128/M$142,0)</f>
        <v/>
      </c>
      <c r="N150" s="897" t="n"/>
      <c r="O150" s="564">
        <f>IFERROR(O128/O$142,0)</f>
        <v/>
      </c>
      <c r="P150" s="897" t="n"/>
      <c r="Q150" s="564">
        <f>IFERROR(Q128/Q$142,0)</f>
        <v/>
      </c>
      <c r="R150" s="897" t="n"/>
      <c r="S150" s="564">
        <f>IFERROR(S128/S$142,0)</f>
        <v/>
      </c>
      <c r="T150" s="897" t="n"/>
      <c r="U150" s="564">
        <f>IFERROR(U128/U$142,0)</f>
        <v/>
      </c>
      <c r="V150" s="897" t="n"/>
      <c r="W150" s="564">
        <f>IFERROR(W128/W$142,0)</f>
        <v/>
      </c>
      <c r="X150" s="897" t="n"/>
      <c r="Y150" s="564">
        <f>IFERROR(Y128/Y$142,0)</f>
        <v/>
      </c>
      <c r="Z150" s="897" t="n"/>
      <c r="AA150" s="564">
        <f>IFERROR(AA128/AA$142,0)</f>
        <v/>
      </c>
      <c r="AB150" s="897" t="n"/>
      <c r="AC150" s="564">
        <f>IFERROR(AC128/AC$142,0)</f>
        <v/>
      </c>
      <c r="AD150" s="897" t="n"/>
    </row>
    <row r="151" hidden="1" s="321">
      <c r="I151" s="11" t="n"/>
      <c r="J151" s="11" t="inlineStr">
        <is>
          <t>W8</t>
        </is>
      </c>
      <c r="K151" s="564">
        <f>IFERROR(K129/K$142,0)</f>
        <v/>
      </c>
      <c r="L151" s="897" t="n"/>
      <c r="M151" s="564">
        <f>IFERROR(M129/M$142,0)</f>
        <v/>
      </c>
      <c r="N151" s="897" t="n"/>
      <c r="O151" s="564">
        <f>IFERROR(O129/O$142,0)</f>
        <v/>
      </c>
      <c r="P151" s="897" t="n"/>
      <c r="Q151" s="564">
        <f>IFERROR(Q129/Q$142,0)</f>
        <v/>
      </c>
      <c r="R151" s="897" t="n"/>
      <c r="S151" s="564">
        <f>IFERROR(S129/S$142,0)</f>
        <v/>
      </c>
      <c r="T151" s="897" t="n"/>
      <c r="U151" s="564">
        <f>IFERROR(U129/U$142,0)</f>
        <v/>
      </c>
      <c r="V151" s="897" t="n"/>
      <c r="W151" s="564">
        <f>IFERROR(W129/W$142,0)</f>
        <v/>
      </c>
      <c r="X151" s="897" t="n"/>
      <c r="Y151" s="564">
        <f>IFERROR(Y129/Y$142,0)</f>
        <v/>
      </c>
      <c r="Z151" s="897" t="n"/>
      <c r="AA151" s="564">
        <f>IFERROR(AA129/AA$142,0)</f>
        <v/>
      </c>
      <c r="AB151" s="897" t="n"/>
      <c r="AC151" s="564">
        <f>IFERROR(AC129/AC$142,0)</f>
        <v/>
      </c>
      <c r="AD151" s="897" t="n"/>
    </row>
    <row r="152" hidden="1" s="321">
      <c r="I152" s="11" t="n"/>
      <c r="J152" s="11" t="inlineStr">
        <is>
          <t>W9</t>
        </is>
      </c>
      <c r="K152" s="564">
        <f>IFERROR(K130/K$142,0)</f>
        <v/>
      </c>
      <c r="L152" s="897" t="n"/>
      <c r="M152" s="564">
        <f>IFERROR(M130/M$142,0)</f>
        <v/>
      </c>
      <c r="N152" s="897" t="n"/>
      <c r="O152" s="564">
        <f>IFERROR(O130/O$142,0)</f>
        <v/>
      </c>
      <c r="P152" s="897" t="n"/>
      <c r="Q152" s="564">
        <f>IFERROR(Q130/Q$142,0)</f>
        <v/>
      </c>
      <c r="R152" s="897" t="n"/>
      <c r="S152" s="564">
        <f>IFERROR(S130/S$142,0)</f>
        <v/>
      </c>
      <c r="T152" s="897" t="n"/>
      <c r="U152" s="564">
        <f>IFERROR(U130/U$142,0)</f>
        <v/>
      </c>
      <c r="V152" s="897" t="n"/>
      <c r="W152" s="564">
        <f>IFERROR(W130/W$142,0)</f>
        <v/>
      </c>
      <c r="X152" s="897" t="n"/>
      <c r="Y152" s="564">
        <f>IFERROR(Y130/Y$142,0)</f>
        <v/>
      </c>
      <c r="Z152" s="897" t="n"/>
      <c r="AA152" s="564">
        <f>IFERROR(AA130/AA$142,0)</f>
        <v/>
      </c>
      <c r="AB152" s="897" t="n"/>
      <c r="AC152" s="564">
        <f>IFERROR(AC130/AC$142,0)</f>
        <v/>
      </c>
      <c r="AD152" s="897" t="n"/>
    </row>
    <row r="153" hidden="1" s="321">
      <c r="I153" s="11" t="n"/>
      <c r="J153" s="11" t="inlineStr">
        <is>
          <t>W10</t>
        </is>
      </c>
      <c r="K153" s="564">
        <f>IFERROR(K131/K$142,0)</f>
        <v/>
      </c>
      <c r="L153" s="897" t="n"/>
      <c r="M153" s="564">
        <f>IFERROR(M131/M$142,0)</f>
        <v/>
      </c>
      <c r="N153" s="897" t="n"/>
      <c r="O153" s="564">
        <f>IFERROR(O131/O$142,0)</f>
        <v/>
      </c>
      <c r="P153" s="897" t="n"/>
      <c r="Q153" s="564">
        <f>IFERROR(Q131/Q$142,0)</f>
        <v/>
      </c>
      <c r="R153" s="897" t="n"/>
      <c r="S153" s="564">
        <f>IFERROR(S131/S$142,0)</f>
        <v/>
      </c>
      <c r="T153" s="897" t="n"/>
      <c r="U153" s="564">
        <f>IFERROR(U131/U$142,0)</f>
        <v/>
      </c>
      <c r="V153" s="897" t="n"/>
      <c r="W153" s="564">
        <f>IFERROR(W131/W$142,0)</f>
        <v/>
      </c>
      <c r="X153" s="897" t="n"/>
      <c r="Y153" s="564">
        <f>IFERROR(Y131/Y$142,0)</f>
        <v/>
      </c>
      <c r="Z153" s="897" t="n"/>
      <c r="AA153" s="564">
        <f>IFERROR(AA131/AA$142,0)</f>
        <v/>
      </c>
      <c r="AB153" s="897" t="n"/>
      <c r="AC153" s="564">
        <f>IFERROR(AC131/AC$142,0)</f>
        <v/>
      </c>
      <c r="AD153" s="897" t="n"/>
    </row>
    <row r="154" hidden="1" s="321">
      <c r="I154" s="11" t="n"/>
      <c r="J154" s="11" t="inlineStr">
        <is>
          <t>W11</t>
        </is>
      </c>
      <c r="K154" s="564">
        <f>IFERROR(K132/K$142,0)</f>
        <v/>
      </c>
      <c r="L154" s="897" t="n"/>
      <c r="M154" s="564">
        <f>IFERROR(M132/M$142,0)</f>
        <v/>
      </c>
      <c r="N154" s="897" t="n"/>
      <c r="O154" s="564">
        <f>IFERROR(O132/O$142,0)</f>
        <v/>
      </c>
      <c r="P154" s="897" t="n"/>
      <c r="Q154" s="564">
        <f>IFERROR(Q132/Q$142,0)</f>
        <v/>
      </c>
      <c r="R154" s="897" t="n"/>
      <c r="S154" s="564">
        <f>IFERROR(S132/S$142,0)</f>
        <v/>
      </c>
      <c r="T154" s="897" t="n"/>
      <c r="U154" s="564">
        <f>IFERROR(U132/U$142,0)</f>
        <v/>
      </c>
      <c r="V154" s="897" t="n"/>
      <c r="W154" s="564">
        <f>IFERROR(W132/W$142,0)</f>
        <v/>
      </c>
      <c r="X154" s="897" t="n"/>
      <c r="Y154" s="564">
        <f>IFERROR(Y132/Y$142,0)</f>
        <v/>
      </c>
      <c r="Z154" s="897" t="n"/>
      <c r="AA154" s="564">
        <f>IFERROR(AA132/AA$142,0)</f>
        <v/>
      </c>
      <c r="AB154" s="897" t="n"/>
      <c r="AC154" s="564">
        <f>IFERROR(AC132/AC$142,0)</f>
        <v/>
      </c>
      <c r="AD154" s="897" t="n"/>
    </row>
    <row r="155" hidden="1" s="321">
      <c r="I155" s="11" t="n"/>
      <c r="J155" s="11" t="inlineStr">
        <is>
          <t>W12</t>
        </is>
      </c>
      <c r="K155" s="564">
        <f>IFERROR(K133/K$142,0)</f>
        <v/>
      </c>
      <c r="L155" s="897" t="n"/>
      <c r="M155" s="564">
        <f>IFERROR(M133/M$142,0)</f>
        <v/>
      </c>
      <c r="N155" s="897" t="n"/>
      <c r="O155" s="564">
        <f>IFERROR(O133/O$142,0)</f>
        <v/>
      </c>
      <c r="P155" s="897" t="n"/>
      <c r="Q155" s="564">
        <f>IFERROR(Q133/Q$142,0)</f>
        <v/>
      </c>
      <c r="R155" s="897" t="n"/>
      <c r="S155" s="564">
        <f>IFERROR(S133/S$142,0)</f>
        <v/>
      </c>
      <c r="T155" s="897" t="n"/>
      <c r="U155" s="564">
        <f>IFERROR(U133/U$142,0)</f>
        <v/>
      </c>
      <c r="V155" s="897" t="n"/>
      <c r="W155" s="564">
        <f>IFERROR(W133/W$142,0)</f>
        <v/>
      </c>
      <c r="X155" s="897" t="n"/>
      <c r="Y155" s="564">
        <f>IFERROR(Y133/Y$142,0)</f>
        <v/>
      </c>
      <c r="Z155" s="897" t="n"/>
      <c r="AA155" s="564">
        <f>IFERROR(AA133/AA$142,0)</f>
        <v/>
      </c>
      <c r="AB155" s="897" t="n"/>
      <c r="AC155" s="564">
        <f>IFERROR(AC133/AC$142,0)</f>
        <v/>
      </c>
      <c r="AD155" s="897" t="n"/>
    </row>
    <row r="156" hidden="1" s="321">
      <c r="I156" s="11" t="n"/>
      <c r="J156" s="11" t="inlineStr">
        <is>
          <t>W13</t>
        </is>
      </c>
      <c r="K156" s="564">
        <f>IFERROR(K134/K$142,0)</f>
        <v/>
      </c>
      <c r="L156" s="897" t="n"/>
      <c r="M156" s="564">
        <f>IFERROR(M134/M$142,0)</f>
        <v/>
      </c>
      <c r="N156" s="897" t="n"/>
      <c r="O156" s="564">
        <f>IFERROR(O134/O$142,0)</f>
        <v/>
      </c>
      <c r="P156" s="897" t="n"/>
      <c r="Q156" s="564">
        <f>IFERROR(Q134/Q$142,0)</f>
        <v/>
      </c>
      <c r="R156" s="897" t="n"/>
      <c r="S156" s="564">
        <f>IFERROR(S134/S$142,0)</f>
        <v/>
      </c>
      <c r="T156" s="897" t="n"/>
      <c r="U156" s="564">
        <f>IFERROR(U134/U$142,0)</f>
        <v/>
      </c>
      <c r="V156" s="897" t="n"/>
      <c r="W156" s="564">
        <f>IFERROR(W134/W$142,0)</f>
        <v/>
      </c>
      <c r="X156" s="897" t="n"/>
      <c r="Y156" s="564">
        <f>IFERROR(Y134/Y$142,0)</f>
        <v/>
      </c>
      <c r="Z156" s="897" t="n"/>
      <c r="AA156" s="564">
        <f>IFERROR(AA134/AA$142,0)</f>
        <v/>
      </c>
      <c r="AB156" s="897" t="n"/>
      <c r="AC156" s="564">
        <f>IFERROR(AC134/AC$142,0)</f>
        <v/>
      </c>
      <c r="AD156" s="897" t="n"/>
    </row>
    <row r="157" hidden="1" s="321">
      <c r="I157" s="11" t="n"/>
      <c r="J157" s="11" t="inlineStr">
        <is>
          <t>W14</t>
        </is>
      </c>
      <c r="K157" s="564">
        <f>IFERROR(K135/K$142,0)</f>
        <v/>
      </c>
      <c r="L157" s="897" t="n"/>
      <c r="M157" s="564">
        <f>IFERROR(M135/M$142,0)</f>
        <v/>
      </c>
      <c r="N157" s="897" t="n"/>
      <c r="O157" s="564">
        <f>IFERROR(O135/O$142,0)</f>
        <v/>
      </c>
      <c r="P157" s="897" t="n"/>
      <c r="Q157" s="564">
        <f>IFERROR(Q135/Q$142,0)</f>
        <v/>
      </c>
      <c r="R157" s="897" t="n"/>
      <c r="S157" s="564">
        <f>IFERROR(S135/S$142,0)</f>
        <v/>
      </c>
      <c r="T157" s="897" t="n"/>
      <c r="U157" s="564">
        <f>IFERROR(U135/U$142,0)</f>
        <v/>
      </c>
      <c r="V157" s="897" t="n"/>
      <c r="W157" s="564">
        <f>IFERROR(W135/W$142,0)</f>
        <v/>
      </c>
      <c r="X157" s="897" t="n"/>
      <c r="Y157" s="564">
        <f>IFERROR(Y135/Y$142,0)</f>
        <v/>
      </c>
      <c r="Z157" s="897" t="n"/>
      <c r="AA157" s="564">
        <f>IFERROR(AA135/AA$142,0)</f>
        <v/>
      </c>
      <c r="AB157" s="897" t="n"/>
      <c r="AC157" s="564">
        <f>IFERROR(AC135/AC$142,0)</f>
        <v/>
      </c>
      <c r="AD157" s="897" t="n"/>
    </row>
    <row r="158" hidden="1" s="321">
      <c r="I158" s="11" t="n"/>
      <c r="J158" s="11" t="inlineStr">
        <is>
          <t>W15</t>
        </is>
      </c>
      <c r="K158" s="564">
        <f>IFERROR(K136/K$142,0)</f>
        <v/>
      </c>
      <c r="L158" s="897" t="n"/>
      <c r="M158" s="564">
        <f>IFERROR(M136/M$142,0)</f>
        <v/>
      </c>
      <c r="N158" s="897" t="n"/>
      <c r="O158" s="564">
        <f>IFERROR(O136/O$142,0)</f>
        <v/>
      </c>
      <c r="P158" s="897" t="n"/>
      <c r="Q158" s="564">
        <f>IFERROR(Q136/Q$142,0)</f>
        <v/>
      </c>
      <c r="R158" s="897" t="n"/>
      <c r="S158" s="564">
        <f>IFERROR(S136/S$142,0)</f>
        <v/>
      </c>
      <c r="T158" s="897" t="n"/>
      <c r="U158" s="564">
        <f>IFERROR(U136/U$142,0)</f>
        <v/>
      </c>
      <c r="V158" s="897" t="n"/>
      <c r="W158" s="564">
        <f>IFERROR(W136/W$142,0)</f>
        <v/>
      </c>
      <c r="X158" s="897" t="n"/>
      <c r="Y158" s="564">
        <f>IFERROR(Y136/Y$142,0)</f>
        <v/>
      </c>
      <c r="Z158" s="897" t="n"/>
      <c r="AA158" s="564">
        <f>IFERROR(AA136/AA$142,0)</f>
        <v/>
      </c>
      <c r="AB158" s="897" t="n"/>
      <c r="AC158" s="564">
        <f>IFERROR(AC136/AC$142,0)</f>
        <v/>
      </c>
      <c r="AD158" s="897" t="n"/>
    </row>
    <row r="159" hidden="1" s="321">
      <c r="I159" s="11" t="n"/>
      <c r="J159" s="11" t="inlineStr">
        <is>
          <t>W16</t>
        </is>
      </c>
      <c r="K159" s="564">
        <f>IFERROR(K137/K$142,0)</f>
        <v/>
      </c>
      <c r="L159" s="897" t="n"/>
      <c r="M159" s="564">
        <f>IFERROR(M137/M$142,0)</f>
        <v/>
      </c>
      <c r="N159" s="897" t="n"/>
      <c r="O159" s="564">
        <f>IFERROR(O137/O$142,0)</f>
        <v/>
      </c>
      <c r="P159" s="897" t="n"/>
      <c r="Q159" s="564">
        <f>IFERROR(Q137/Q$142,0)</f>
        <v/>
      </c>
      <c r="R159" s="897" t="n"/>
      <c r="S159" s="564">
        <f>IFERROR(S137/S$142,0)</f>
        <v/>
      </c>
      <c r="T159" s="897" t="n"/>
      <c r="U159" s="564">
        <f>IFERROR(U137/U$142,0)</f>
        <v/>
      </c>
      <c r="V159" s="897" t="n"/>
      <c r="W159" s="564">
        <f>IFERROR(W137/W$142,0)</f>
        <v/>
      </c>
      <c r="X159" s="897" t="n"/>
      <c r="Y159" s="564">
        <f>IFERROR(Y137/Y$142,0)</f>
        <v/>
      </c>
      <c r="Z159" s="897" t="n"/>
      <c r="AA159" s="564">
        <f>IFERROR(AA137/AA$142,0)</f>
        <v/>
      </c>
      <c r="AB159" s="897" t="n"/>
      <c r="AC159" s="564">
        <f>IFERROR(AC137/AC$142,0)</f>
        <v/>
      </c>
      <c r="AD159" s="897" t="n"/>
    </row>
    <row r="160" hidden="1" s="321">
      <c r="I160" s="11" t="n"/>
      <c r="J160" s="11" t="inlineStr">
        <is>
          <t>W17</t>
        </is>
      </c>
      <c r="K160" s="564">
        <f>IFERROR(K138/K$142,0)</f>
        <v/>
      </c>
      <c r="L160" s="897" t="n"/>
      <c r="M160" s="564">
        <f>IFERROR(M138/M$142,0)</f>
        <v/>
      </c>
      <c r="N160" s="897" t="n"/>
      <c r="O160" s="564">
        <f>IFERROR(O138/O$142,0)</f>
        <v/>
      </c>
      <c r="P160" s="897" t="n"/>
      <c r="Q160" s="564">
        <f>IFERROR(Q138/Q$142,0)</f>
        <v/>
      </c>
      <c r="R160" s="897" t="n"/>
      <c r="S160" s="564">
        <f>IFERROR(S138/S$142,0)</f>
        <v/>
      </c>
      <c r="T160" s="897" t="n"/>
      <c r="U160" s="564">
        <f>IFERROR(U138/U$142,0)</f>
        <v/>
      </c>
      <c r="V160" s="897" t="n"/>
      <c r="W160" s="564">
        <f>IFERROR(W138/W$142,0)</f>
        <v/>
      </c>
      <c r="X160" s="897" t="n"/>
      <c r="Y160" s="564">
        <f>IFERROR(Y138/Y$142,0)</f>
        <v/>
      </c>
      <c r="Z160" s="897" t="n"/>
      <c r="AA160" s="564">
        <f>IFERROR(AA138/AA$142,0)</f>
        <v/>
      </c>
      <c r="AB160" s="897" t="n"/>
      <c r="AC160" s="564">
        <f>IFERROR(AC138/AC$142,0)</f>
        <v/>
      </c>
      <c r="AD160" s="897" t="n"/>
    </row>
    <row r="161" hidden="1" s="321">
      <c r="I161" s="11" t="n"/>
      <c r="J161" s="11" t="inlineStr">
        <is>
          <t>W18</t>
        </is>
      </c>
      <c r="K161" s="564">
        <f>IFERROR(K139/K$142,0)</f>
        <v/>
      </c>
      <c r="L161" s="897" t="n"/>
      <c r="M161" s="564">
        <f>IFERROR(M139/M$142,0)</f>
        <v/>
      </c>
      <c r="N161" s="897" t="n"/>
      <c r="O161" s="564">
        <f>IFERROR(O139/O$142,0)</f>
        <v/>
      </c>
      <c r="P161" s="897" t="n"/>
      <c r="Q161" s="564">
        <f>IFERROR(Q139/Q$142,0)</f>
        <v/>
      </c>
      <c r="R161" s="897" t="n"/>
      <c r="S161" s="564">
        <f>IFERROR(S139/S$142,0)</f>
        <v/>
      </c>
      <c r="T161" s="897" t="n"/>
      <c r="U161" s="564">
        <f>IFERROR(U139/U$142,0)</f>
        <v/>
      </c>
      <c r="V161" s="897" t="n"/>
      <c r="W161" s="564">
        <f>IFERROR(W139/W$142,0)</f>
        <v/>
      </c>
      <c r="X161" s="897" t="n"/>
      <c r="Y161" s="564">
        <f>IFERROR(Y139/Y$142,0)</f>
        <v/>
      </c>
      <c r="Z161" s="897" t="n"/>
      <c r="AA161" s="564">
        <f>IFERROR(AA139/AA$142,0)</f>
        <v/>
      </c>
      <c r="AB161" s="897" t="n"/>
      <c r="AC161" s="564">
        <f>IFERROR(AC139/AC$142,0)</f>
        <v/>
      </c>
      <c r="AD161" s="897" t="n"/>
    </row>
    <row r="162" hidden="1" s="321">
      <c r="I162" s="11" t="n"/>
      <c r="J162" s="11" t="inlineStr">
        <is>
          <t>W19</t>
        </is>
      </c>
      <c r="K162" s="564">
        <f>IFERROR(K140/K$142,0)</f>
        <v/>
      </c>
      <c r="L162" s="897" t="n"/>
      <c r="M162" s="564">
        <f>IFERROR(M140/M$142,0)</f>
        <v/>
      </c>
      <c r="N162" s="897" t="n"/>
      <c r="O162" s="564">
        <f>IFERROR(O140/O$142,0)</f>
        <v/>
      </c>
      <c r="P162" s="897" t="n"/>
      <c r="Q162" s="564">
        <f>IFERROR(Q140/Q$142,0)</f>
        <v/>
      </c>
      <c r="R162" s="897" t="n"/>
      <c r="S162" s="564">
        <f>IFERROR(S140/S$142,0)</f>
        <v/>
      </c>
      <c r="T162" s="897" t="n"/>
      <c r="U162" s="564">
        <f>IFERROR(U140/U$142,0)</f>
        <v/>
      </c>
      <c r="V162" s="897" t="n"/>
      <c r="W162" s="564">
        <f>IFERROR(W140/W$142,0)</f>
        <v/>
      </c>
      <c r="X162" s="897" t="n"/>
      <c r="Y162" s="564">
        <f>IFERROR(Y140/Y$142,0)</f>
        <v/>
      </c>
      <c r="Z162" s="897" t="n"/>
      <c r="AA162" s="564">
        <f>IFERROR(AA140/AA$142,0)</f>
        <v/>
      </c>
      <c r="AB162" s="897" t="n"/>
      <c r="AC162" s="564">
        <f>IFERROR(AC140/AC$142,0)</f>
        <v/>
      </c>
      <c r="AD162" s="897" t="n"/>
    </row>
    <row r="163" hidden="1" s="321">
      <c r="I163" s="11" t="n"/>
      <c r="J163" s="11" t="inlineStr">
        <is>
          <t>W20</t>
        </is>
      </c>
      <c r="K163" s="564">
        <f>IFERROR(K141/K$142,0)</f>
        <v/>
      </c>
      <c r="L163" s="897" t="n"/>
      <c r="M163" s="564">
        <f>IFERROR(M141/M$142,0)</f>
        <v/>
      </c>
      <c r="N163" s="897" t="n"/>
      <c r="O163" s="564">
        <f>IFERROR(O141/O$142,0)</f>
        <v/>
      </c>
      <c r="P163" s="897" t="n"/>
      <c r="Q163" s="564">
        <f>IFERROR(Q141/Q$142,0)</f>
        <v/>
      </c>
      <c r="R163" s="897" t="n"/>
      <c r="S163" s="564">
        <f>IFERROR(S141/S$142,0)</f>
        <v/>
      </c>
      <c r="T163" s="897" t="n"/>
      <c r="U163" s="564">
        <f>IFERROR(U141/U$142,0)</f>
        <v/>
      </c>
      <c r="V163" s="897" t="n"/>
      <c r="W163" s="564">
        <f>IFERROR(W141/W$142,0)</f>
        <v/>
      </c>
      <c r="X163" s="897" t="n"/>
      <c r="Y163" s="564">
        <f>IFERROR(Y141/Y$142,0)</f>
        <v/>
      </c>
      <c r="Z163" s="897" t="n"/>
      <c r="AA163" s="564">
        <f>IFERROR(AA141/AA$142,0)</f>
        <v/>
      </c>
      <c r="AB163" s="897" t="n"/>
      <c r="AC163" s="564">
        <f>IFERROR(AC141/AC$142,0)</f>
        <v/>
      </c>
      <c r="AD163" s="89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PxiQL66kGHssLCyJXUN/rA==" formatRows="0" sort="1" spinCount="100000" hashValue="FFAjYeVnU3K3ZzRyb4c+F1FU0AVWc/wcgQSQHOwrxDz6b50drTp96lzrKMDmivV+1YS81KvcyaHXJxgYhS2khQ=="/>
  <mergeCells count="1735">
    <mergeCell ref="AC48:AD48"/>
    <mergeCell ref="AA161:AB161"/>
    <mergeCell ref="W65:X65"/>
    <mergeCell ref="M60:N60"/>
    <mergeCell ref="M35:N35"/>
    <mergeCell ref="O88:P88"/>
    <mergeCell ref="O63:P63"/>
    <mergeCell ref="Y129:Z129"/>
    <mergeCell ref="Y123:Z123"/>
    <mergeCell ref="W50:X50"/>
    <mergeCell ref="O124:P124"/>
    <mergeCell ref="O99:P99"/>
    <mergeCell ref="U20:V20"/>
    <mergeCell ref="U14:V14"/>
    <mergeCell ref="M50:N50"/>
    <mergeCell ref="O150:P150"/>
    <mergeCell ref="G59:H59"/>
    <mergeCell ref="U22:V22"/>
    <mergeCell ref="W78:X78"/>
    <mergeCell ref="O152:P152"/>
    <mergeCell ref="Y134:Z134"/>
    <mergeCell ref="G67:H67"/>
    <mergeCell ref="G61:H61"/>
    <mergeCell ref="O145:P145"/>
    <mergeCell ref="W80:X80"/>
    <mergeCell ref="Y142:Z142"/>
    <mergeCell ref="O147:P147"/>
    <mergeCell ref="K41:L41"/>
    <mergeCell ref="G62:H62"/>
    <mergeCell ref="Q122:R122"/>
    <mergeCell ref="B17:F17"/>
    <mergeCell ref="K43:L43"/>
    <mergeCell ref="M105:N105"/>
    <mergeCell ref="O134:P134"/>
    <mergeCell ref="O51:P51"/>
    <mergeCell ref="B19:F19"/>
    <mergeCell ref="U58:V58"/>
    <mergeCell ref="M101:N101"/>
    <mergeCell ref="O163:P163"/>
    <mergeCell ref="O76:P76"/>
    <mergeCell ref="Q138:R138"/>
    <mergeCell ref="Q104:R104"/>
    <mergeCell ref="Y66:Z66"/>
    <mergeCell ref="Q140:R140"/>
    <mergeCell ref="AC17:AD17"/>
    <mergeCell ref="K25:L25"/>
    <mergeCell ref="O77:P77"/>
    <mergeCell ref="Q106:R106"/>
    <mergeCell ref="Q133:R133"/>
    <mergeCell ref="Y68:Z68"/>
    <mergeCell ref="AA130:AB130"/>
    <mergeCell ref="U84:V84"/>
    <mergeCell ref="K54:L54"/>
    <mergeCell ref="Q135:R135"/>
    <mergeCell ref="U86:V86"/>
    <mergeCell ref="AC39:AD39"/>
    <mergeCell ref="M31:N31"/>
    <mergeCell ref="W150:X150"/>
    <mergeCell ref="W144:X144"/>
    <mergeCell ref="O59:P59"/>
    <mergeCell ref="W21:X21"/>
    <mergeCell ref="O95:P95"/>
    <mergeCell ref="W152:X152"/>
    <mergeCell ref="O89:P89"/>
    <mergeCell ref="O61:P61"/>
    <mergeCell ref="M26:N26"/>
    <mergeCell ref="I51:J51"/>
    <mergeCell ref="Q153:R153"/>
    <mergeCell ref="O90:P90"/>
    <mergeCell ref="S41:T41"/>
    <mergeCell ref="Y122:Z122"/>
    <mergeCell ref="B91:F91"/>
    <mergeCell ref="S43:T43"/>
    <mergeCell ref="U99:V99"/>
    <mergeCell ref="B93:F93"/>
    <mergeCell ref="W74:X74"/>
    <mergeCell ref="O148:P148"/>
    <mergeCell ref="K110:L110"/>
    <mergeCell ref="U101:V101"/>
    <mergeCell ref="W163:X163"/>
    <mergeCell ref="B86:F86"/>
    <mergeCell ref="O141:P141"/>
    <mergeCell ref="W76:X76"/>
    <mergeCell ref="Y138:Z138"/>
    <mergeCell ref="Y132:Z132"/>
    <mergeCell ref="AA20:AB20"/>
    <mergeCell ref="K12:L12"/>
    <mergeCell ref="AC85:AD85"/>
    <mergeCell ref="K39:L39"/>
    <mergeCell ref="K14:L14"/>
    <mergeCell ref="AC84:AD84"/>
    <mergeCell ref="Y135:Z135"/>
    <mergeCell ref="U29:V29"/>
    <mergeCell ref="B104:F104"/>
    <mergeCell ref="M103:N103"/>
    <mergeCell ref="U23:V23"/>
    <mergeCell ref="AC80:AD80"/>
    <mergeCell ref="O159:P159"/>
    <mergeCell ref="M96:N96"/>
    <mergeCell ref="U31:V31"/>
    <mergeCell ref="B106:F106"/>
    <mergeCell ref="W87:X87"/>
    <mergeCell ref="O161:P161"/>
    <mergeCell ref="AA38:AB38"/>
    <mergeCell ref="M98:N98"/>
    <mergeCell ref="AC13:AD13"/>
    <mergeCell ref="W89:X89"/>
    <mergeCell ref="AA40:AB40"/>
    <mergeCell ref="AC15:AD15"/>
    <mergeCell ref="O156:P156"/>
    <mergeCell ref="Q51:R51"/>
    <mergeCell ref="AA33:AB33"/>
    <mergeCell ref="K50:L50"/>
    <mergeCell ref="S107:T107"/>
    <mergeCell ref="U57:V57"/>
    <mergeCell ref="K58:L58"/>
    <mergeCell ref="K52:L52"/>
    <mergeCell ref="B34:F34"/>
    <mergeCell ref="B28:F28"/>
    <mergeCell ref="M124:N124"/>
    <mergeCell ref="U42:V42"/>
    <mergeCell ref="B30:F30"/>
    <mergeCell ref="M126:N126"/>
    <mergeCell ref="K53:L53"/>
    <mergeCell ref="W148:X148"/>
    <mergeCell ref="I20:J20"/>
    <mergeCell ref="I13:J13"/>
    <mergeCell ref="K78:L78"/>
    <mergeCell ref="B54:F54"/>
    <mergeCell ref="I15:J15"/>
    <mergeCell ref="S12:T12"/>
    <mergeCell ref="AC28:AD28"/>
    <mergeCell ref="K80:L80"/>
    <mergeCell ref="M142:N142"/>
    <mergeCell ref="B56:F56"/>
    <mergeCell ref="K79:L79"/>
    <mergeCell ref="S39:T39"/>
    <mergeCell ref="U95:V95"/>
    <mergeCell ref="U70:V70"/>
    <mergeCell ref="AC30:AD30"/>
    <mergeCell ref="M144:N144"/>
    <mergeCell ref="AC23:AD23"/>
    <mergeCell ref="M137:N137"/>
    <mergeCell ref="U97:V97"/>
    <mergeCell ref="W159:X159"/>
    <mergeCell ref="W153:X153"/>
    <mergeCell ref="B57:F57"/>
    <mergeCell ref="M139:N139"/>
    <mergeCell ref="W161:X161"/>
    <mergeCell ref="AC54:AD54"/>
    <mergeCell ref="I33:J33"/>
    <mergeCell ref="M41:N41"/>
    <mergeCell ref="S65:T65"/>
    <mergeCell ref="AC56:AD56"/>
    <mergeCell ref="I35:J35"/>
    <mergeCell ref="U129:V129"/>
    <mergeCell ref="M66:N66"/>
    <mergeCell ref="AC49:AD49"/>
    <mergeCell ref="U123:V123"/>
    <mergeCell ref="S50:T50"/>
    <mergeCell ref="AC110:AD110"/>
    <mergeCell ref="K124:L124"/>
    <mergeCell ref="Y131:Z131"/>
    <mergeCell ref="B75:F75"/>
    <mergeCell ref="O101:P101"/>
    <mergeCell ref="M68:N68"/>
    <mergeCell ref="O130:P130"/>
    <mergeCell ref="M67:N67"/>
    <mergeCell ref="O132:P132"/>
    <mergeCell ref="M69:N69"/>
    <mergeCell ref="O125:P125"/>
    <mergeCell ref="Q20:R20"/>
    <mergeCell ref="Q14:R14"/>
    <mergeCell ref="K150:L150"/>
    <mergeCell ref="O127:P127"/>
    <mergeCell ref="S103:T103"/>
    <mergeCell ref="S78:T78"/>
    <mergeCell ref="AC100:AD100"/>
    <mergeCell ref="AA65:AB65"/>
    <mergeCell ref="U134:V134"/>
    <mergeCell ref="AA31:AB31"/>
    <mergeCell ref="K23:L23"/>
    <mergeCell ref="K145:L145"/>
    <mergeCell ref="S80:T80"/>
    <mergeCell ref="U142:V142"/>
    <mergeCell ref="AC129:AD129"/>
    <mergeCell ref="U55:V55"/>
    <mergeCell ref="W111:X111"/>
    <mergeCell ref="AC95:AD95"/>
    <mergeCell ref="K147:L147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55:AD155"/>
    <mergeCell ref="I101:J101"/>
    <mergeCell ref="K163:L163"/>
    <mergeCell ref="AA86:AB86"/>
    <mergeCell ref="I100:J100"/>
    <mergeCell ref="AC151:AD151"/>
    <mergeCell ref="U66:V66"/>
    <mergeCell ref="M140:N140"/>
    <mergeCell ref="I102:J102"/>
    <mergeCell ref="Y17:Z17"/>
    <mergeCell ref="K77:L77"/>
    <mergeCell ref="M133:N133"/>
    <mergeCell ref="U68:V68"/>
    <mergeCell ref="Q84:R84"/>
    <mergeCell ref="Y46:Z46"/>
    <mergeCell ref="AA75:AB75"/>
    <mergeCell ref="M135:N135"/>
    <mergeCell ref="Y12:Z12"/>
    <mergeCell ref="I29:J29"/>
    <mergeCell ref="B55:F55"/>
    <mergeCell ref="Q86:R86"/>
    <mergeCell ref="Y48:Z48"/>
    <mergeCell ref="AA104:AB104"/>
    <mergeCell ref="AC52:AD52"/>
    <mergeCell ref="I31:J31"/>
    <mergeCell ref="S150:T150"/>
    <mergeCell ref="K87:L87"/>
    <mergeCell ref="S144:T144"/>
    <mergeCell ref="AA106:AB106"/>
    <mergeCell ref="AC45:AD45"/>
    <mergeCell ref="S21:T21"/>
    <mergeCell ref="AC81:AD81"/>
    <mergeCell ref="K95:L95"/>
    <mergeCell ref="K89:L89"/>
    <mergeCell ref="AC134:AD134"/>
    <mergeCell ref="B71:F71"/>
    <mergeCell ref="AC47:AD47"/>
    <mergeCell ref="I26:J26"/>
    <mergeCell ref="K88:L88"/>
    <mergeCell ref="S145:T145"/>
    <mergeCell ref="M153:N153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Q99:R99"/>
    <mergeCell ref="I52:J52"/>
    <mergeCell ref="S74:T74"/>
    <mergeCell ref="G110:H110"/>
    <mergeCell ref="I44:J44"/>
    <mergeCell ref="S163:T163"/>
    <mergeCell ref="K141:L141"/>
    <mergeCell ref="S76:T76"/>
    <mergeCell ref="U138:V138"/>
    <mergeCell ref="U132:V132"/>
    <mergeCell ref="G12:H12"/>
    <mergeCell ref="Y112:Z112"/>
    <mergeCell ref="I70:J70"/>
    <mergeCell ref="Q29:R29"/>
    <mergeCell ref="Q23:R23"/>
    <mergeCell ref="W51:X51"/>
    <mergeCell ref="K134:L134"/>
    <mergeCell ref="I96:J96"/>
    <mergeCell ref="Q31:R31"/>
    <mergeCell ref="S131:T131"/>
    <mergeCell ref="U160:V160"/>
    <mergeCell ref="S87:T87"/>
    <mergeCell ref="S97:T97"/>
    <mergeCell ref="I98:J98"/>
    <mergeCell ref="G65:H65"/>
    <mergeCell ref="S89:T89"/>
    <mergeCell ref="AC148:AD148"/>
    <mergeCell ref="K156:L156"/>
    <mergeCell ref="G25:H25"/>
    <mergeCell ref="G60:H60"/>
    <mergeCell ref="Q57:R57"/>
    <mergeCell ref="AA100:AB100"/>
    <mergeCell ref="Q42:R42"/>
    <mergeCell ref="AA102:AB102"/>
    <mergeCell ref="Y39:Z39"/>
    <mergeCell ref="AC130:AD130"/>
    <mergeCell ref="AC160:AD160"/>
    <mergeCell ref="AA103:AB103"/>
    <mergeCell ref="G78:H78"/>
    <mergeCell ref="AC161:AD161"/>
    <mergeCell ref="Y28:Z28"/>
    <mergeCell ref="G80:H80"/>
    <mergeCell ref="AA128:AB128"/>
    <mergeCell ref="Y65:Z65"/>
    <mergeCell ref="G79:H79"/>
    <mergeCell ref="G73:H73"/>
    <mergeCell ref="Q95:R95"/>
    <mergeCell ref="Q70:R70"/>
    <mergeCell ref="Y57:Z57"/>
    <mergeCell ref="AA129:AB129"/>
    <mergeCell ref="Y23:Z23"/>
    <mergeCell ref="B36:F36"/>
    <mergeCell ref="S159:T159"/>
    <mergeCell ref="S153:T153"/>
    <mergeCell ref="Q96:R96"/>
    <mergeCell ref="S161:T161"/>
    <mergeCell ref="AA27:AB27"/>
    <mergeCell ref="Y83:Z83"/>
    <mergeCell ref="AC91:AD91"/>
    <mergeCell ref="Q150:R150"/>
    <mergeCell ref="Y85:Z85"/>
    <mergeCell ref="I68:J68"/>
    <mergeCell ref="K130:L130"/>
    <mergeCell ref="G92:H92"/>
    <mergeCell ref="Q152:R152"/>
    <mergeCell ref="M46:N46"/>
    <mergeCell ref="I67:J67"/>
    <mergeCell ref="K132:L132"/>
    <mergeCell ref="B49:F49"/>
    <mergeCell ref="AA55:AB55"/>
    <mergeCell ref="K125:L125"/>
    <mergeCell ref="M14:N14"/>
    <mergeCell ref="W38:X38"/>
    <mergeCell ref="O106:P106"/>
    <mergeCell ref="K127:L127"/>
    <mergeCell ref="G21:H21"/>
    <mergeCell ref="O78:P78"/>
    <mergeCell ref="M43:N43"/>
    <mergeCell ref="O105:P105"/>
    <mergeCell ref="W40:X40"/>
    <mergeCell ref="Q134:R134"/>
    <mergeCell ref="Y15:Z15"/>
    <mergeCell ref="AA44:AB44"/>
    <mergeCell ref="G23:H23"/>
    <mergeCell ref="O107:P107"/>
    <mergeCell ref="Q55:R55"/>
    <mergeCell ref="AA37:AB37"/>
    <mergeCell ref="S111:T111"/>
    <mergeCell ref="AA73:AB73"/>
    <mergeCell ref="G18:H18"/>
    <mergeCell ref="W91:X91"/>
    <mergeCell ref="M25:N25"/>
    <mergeCell ref="S112:T112"/>
    <mergeCell ref="AA68:AB68"/>
    <mergeCell ref="M33:N33"/>
    <mergeCell ref="W93:X93"/>
    <mergeCell ref="Y155:Z155"/>
    <mergeCell ref="S141:T141"/>
    <mergeCell ref="W86:X86"/>
    <mergeCell ref="M62:N62"/>
    <mergeCell ref="Y151:Z151"/>
    <mergeCell ref="G44:H44"/>
    <mergeCell ref="Q66:R66"/>
    <mergeCell ref="AA126:AB126"/>
    <mergeCell ref="Y150:Z150"/>
    <mergeCell ref="G77:H77"/>
    <mergeCell ref="I108:J108"/>
    <mergeCell ref="Q68:R68"/>
    <mergeCell ref="Y152:Z152"/>
    <mergeCell ref="U46:V46"/>
    <mergeCell ref="Q97:R97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48:R148"/>
    <mergeCell ref="Q123:R123"/>
    <mergeCell ref="AA145:AB145"/>
    <mergeCell ref="AA139:AB139"/>
    <mergeCell ref="Y163:Z163"/>
    <mergeCell ref="Y76:Z76"/>
    <mergeCell ref="G90:H90"/>
    <mergeCell ref="AA138:AB138"/>
    <mergeCell ref="B45:F45"/>
    <mergeCell ref="AC27:AD27"/>
    <mergeCell ref="AA140:AB140"/>
    <mergeCell ref="W34:X34"/>
    <mergeCell ref="B47:F47"/>
    <mergeCell ref="B46:F46"/>
    <mergeCell ref="M39:N39"/>
    <mergeCell ref="W36:X36"/>
    <mergeCell ref="W30:X30"/>
    <mergeCell ref="Y92:Z92"/>
    <mergeCell ref="B48:F48"/>
    <mergeCell ref="O103:P103"/>
    <mergeCell ref="Q159:R159"/>
    <mergeCell ref="Y94:Z94"/>
    <mergeCell ref="W31:X31"/>
    <mergeCell ref="B73:F73"/>
    <mergeCell ref="Q161:R161"/>
    <mergeCell ref="AA158:AB158"/>
    <mergeCell ref="AC38:AD38"/>
    <mergeCell ref="U112:V112"/>
    <mergeCell ref="AC46:AD46"/>
    <mergeCell ref="AC40:AD40"/>
    <mergeCell ref="M29:N29"/>
    <mergeCell ref="O129:P129"/>
    <mergeCell ref="M23:N23"/>
    <mergeCell ref="AA153:AB153"/>
    <mergeCell ref="I50:J50"/>
    <mergeCell ref="W57:X57"/>
    <mergeCell ref="O131:P131"/>
    <mergeCell ref="M58:N58"/>
    <mergeCell ref="O87:P87"/>
    <mergeCell ref="W49:X49"/>
    <mergeCell ref="K108:L108"/>
    <mergeCell ref="U140:V140"/>
    <mergeCell ref="Y148:Z148"/>
    <mergeCell ref="K20:L20"/>
    <mergeCell ref="U17:V17"/>
    <mergeCell ref="U11:V11"/>
    <mergeCell ref="Y19:Z19"/>
    <mergeCell ref="K22:L22"/>
    <mergeCell ref="M84:N84"/>
    <mergeCell ref="W75:X75"/>
    <mergeCell ref="M86:N86"/>
    <mergeCell ref="M42:N42"/>
    <mergeCell ref="M80:N80"/>
    <mergeCell ref="W102:X102"/>
    <mergeCell ref="O142:P142"/>
    <mergeCell ref="U39:V39"/>
    <mergeCell ref="O144:P144"/>
    <mergeCell ref="K38:L38"/>
    <mergeCell ref="W103:X103"/>
    <mergeCell ref="Y47:Z47"/>
    <mergeCell ref="B16:F16"/>
    <mergeCell ref="Y161:Z161"/>
    <mergeCell ref="K33:L33"/>
    <mergeCell ref="W128:X128"/>
    <mergeCell ref="U65:V65"/>
    <mergeCell ref="B18:F18"/>
    <mergeCell ref="M70:N70"/>
    <mergeCell ref="K35:L35"/>
    <mergeCell ref="B11:F11"/>
    <mergeCell ref="W129:X129"/>
    <mergeCell ref="W123:X123"/>
    <mergeCell ref="M99:N99"/>
    <mergeCell ref="O74:P74"/>
    <mergeCell ref="W131:X131"/>
    <mergeCell ref="S19:T19"/>
    <mergeCell ref="O40:P40"/>
    <mergeCell ref="U83:V83"/>
    <mergeCell ref="S20:T20"/>
    <mergeCell ref="AC36:AD36"/>
    <mergeCell ref="AC11:AD11"/>
    <mergeCell ref="M150:N150"/>
    <mergeCell ref="U85:V85"/>
    <mergeCell ref="AA92:AB92"/>
    <mergeCell ref="S22:T22"/>
    <mergeCell ref="U78:V78"/>
    <mergeCell ref="M152:N152"/>
    <mergeCell ref="I46:J46"/>
    <mergeCell ref="B72:F72"/>
    <mergeCell ref="U80:V80"/>
    <mergeCell ref="W142:X142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M163:N163"/>
    <mergeCell ref="O58:P58"/>
    <mergeCell ref="B83:F83"/>
    <mergeCell ref="AC65:AD65"/>
    <mergeCell ref="M76:N76"/>
    <mergeCell ref="O138:P138"/>
    <mergeCell ref="W73:X73"/>
    <mergeCell ref="I59:J59"/>
    <mergeCell ref="B85:F85"/>
    <mergeCell ref="O140:P140"/>
    <mergeCell ref="AA17:AB17"/>
    <mergeCell ref="S91:T91"/>
    <mergeCell ref="W68:X68"/>
    <mergeCell ref="Y130:Z130"/>
    <mergeCell ref="AA19:AB19"/>
    <mergeCell ref="S93:T93"/>
    <mergeCell ref="U155:V155"/>
    <mergeCell ref="AC75:AD75"/>
    <mergeCell ref="U149:V149"/>
    <mergeCell ref="AC111:AD111"/>
    <mergeCell ref="K29:L29"/>
    <mergeCell ref="S86:T86"/>
    <mergeCell ref="AC83:AD83"/>
    <mergeCell ref="AA48:AB48"/>
    <mergeCell ref="S122:T122"/>
    <mergeCell ref="U151:V151"/>
    <mergeCell ref="K31:L31"/>
    <mergeCell ref="U150:V150"/>
    <mergeCell ref="B13:F13"/>
    <mergeCell ref="AC112:AD112"/>
    <mergeCell ref="AC106:AD106"/>
    <mergeCell ref="I87:J87"/>
    <mergeCell ref="U21:V21"/>
    <mergeCell ref="M95:N95"/>
    <mergeCell ref="U152:V152"/>
    <mergeCell ref="M89:N89"/>
    <mergeCell ref="Q46:R46"/>
    <mergeCell ref="M97:N97"/>
    <mergeCell ref="G51:H51"/>
    <mergeCell ref="O153:P153"/>
    <mergeCell ref="Q48:R48"/>
    <mergeCell ref="S104:T104"/>
    <mergeCell ref="K57:L57"/>
    <mergeCell ref="Q41:R41"/>
    <mergeCell ref="S106:T106"/>
    <mergeCell ref="Q43:R43"/>
    <mergeCell ref="S105:T105"/>
    <mergeCell ref="U74:V74"/>
    <mergeCell ref="M123:N123"/>
    <mergeCell ref="U163:V163"/>
    <mergeCell ref="S130:T130"/>
    <mergeCell ref="U76:V76"/>
    <mergeCell ref="W138:X138"/>
    <mergeCell ref="M108:N108"/>
    <mergeCell ref="K75:L75"/>
    <mergeCell ref="S132:T132"/>
    <mergeCell ref="W140:X140"/>
    <mergeCell ref="I12:J12"/>
    <mergeCell ref="S34:T34"/>
    <mergeCell ref="I39:J39"/>
    <mergeCell ref="I14:J14"/>
    <mergeCell ref="S36:T36"/>
    <mergeCell ref="K70:L70"/>
    <mergeCell ref="U92:V92"/>
    <mergeCell ref="S29:T29"/>
    <mergeCell ref="K103:L103"/>
    <mergeCell ref="M159:N159"/>
    <mergeCell ref="M134:N134"/>
    <mergeCell ref="U94:V94"/>
    <mergeCell ref="AA122:AB122"/>
    <mergeCell ref="B79:F79"/>
    <mergeCell ref="S31:T31"/>
    <mergeCell ref="W160:X160"/>
    <mergeCell ref="M161:N161"/>
    <mergeCell ref="Y38:Z38"/>
    <mergeCell ref="B81:F81"/>
    <mergeCell ref="Q112:R112"/>
    <mergeCell ref="AA13:AB13"/>
    <mergeCell ref="S62:T62"/>
    <mergeCell ref="AA15:AB15"/>
    <mergeCell ref="K129:L129"/>
    <mergeCell ref="I25:J25"/>
    <mergeCell ref="S57:T57"/>
    <mergeCell ref="AC79:AD79"/>
    <mergeCell ref="I58:J58"/>
    <mergeCell ref="K131:L131"/>
    <mergeCell ref="AC73:AD73"/>
    <mergeCell ref="S49:T49"/>
    <mergeCell ref="G108:H108"/>
    <mergeCell ref="AC102:AD102"/>
    <mergeCell ref="I83:J83"/>
    <mergeCell ref="B92:F92"/>
    <mergeCell ref="U148:V148"/>
    <mergeCell ref="G20:H20"/>
    <mergeCell ref="Q17:R17"/>
    <mergeCell ref="Q11:R11"/>
    <mergeCell ref="B94:F94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142:L142"/>
    <mergeCell ref="K55:L55"/>
    <mergeCell ref="Q39:R39"/>
    <mergeCell ref="AC136:AD136"/>
    <mergeCell ref="S70:T70"/>
    <mergeCell ref="AA30:AB30"/>
    <mergeCell ref="AC92:AD92"/>
    <mergeCell ref="K144:L144"/>
    <mergeCell ref="G38:H38"/>
    <mergeCell ref="U159:V159"/>
    <mergeCell ref="Y26:Z26"/>
    <mergeCell ref="AA88:AB88"/>
    <mergeCell ref="U47:V47"/>
    <mergeCell ref="U161:V161"/>
    <mergeCell ref="AA54:AB54"/>
    <mergeCell ref="G33:H33"/>
    <mergeCell ref="S128:T128"/>
    <mergeCell ref="Q65:R65"/>
    <mergeCell ref="Y27:Z27"/>
    <mergeCell ref="AA56:AB56"/>
    <mergeCell ref="G35:H35"/>
    <mergeCell ref="AA83:AB83"/>
    <mergeCell ref="S157:T157"/>
    <mergeCell ref="S129:T129"/>
    <mergeCell ref="K66:L66"/>
    <mergeCell ref="S123:T123"/>
    <mergeCell ref="U63:V63"/>
    <mergeCell ref="AA85:AB85"/>
    <mergeCell ref="I99:J99"/>
    <mergeCell ref="K74:L74"/>
    <mergeCell ref="K68:L68"/>
    <mergeCell ref="M130:N130"/>
    <mergeCell ref="O19:P19"/>
    <mergeCell ref="AC149:AD149"/>
    <mergeCell ref="M132:N132"/>
    <mergeCell ref="Q83:R83"/>
    <mergeCell ref="O20:P20"/>
    <mergeCell ref="Y11:Z11"/>
    <mergeCell ref="Q85:R85"/>
    <mergeCell ref="O22:P22"/>
    <mergeCell ref="AC42:AD42"/>
    <mergeCell ref="I21:J21"/>
    <mergeCell ref="Q78:R78"/>
    <mergeCell ref="Y40:Z40"/>
    <mergeCell ref="S53:T53"/>
    <mergeCell ref="AC44:AD44"/>
    <mergeCell ref="I23:J23"/>
    <mergeCell ref="Q80:R80"/>
    <mergeCell ref="S142:T142"/>
    <mergeCell ref="O47:P47"/>
    <mergeCell ref="Y96:Z96"/>
    <mergeCell ref="S55:T55"/>
    <mergeCell ref="O38:P38"/>
    <mergeCell ref="B63:F63"/>
    <mergeCell ref="G106:H106"/>
    <mergeCell ref="Y91:Z91"/>
    <mergeCell ref="G105:H105"/>
    <mergeCell ref="AA156:AB156"/>
    <mergeCell ref="I49:J49"/>
    <mergeCell ref="O33:P33"/>
    <mergeCell ref="Y93:Z93"/>
    <mergeCell ref="G107:H107"/>
    <mergeCell ref="AA155:AB155"/>
    <mergeCell ref="AA157:AB157"/>
    <mergeCell ref="AA151:AB151"/>
    <mergeCell ref="S66:T66"/>
    <mergeCell ref="K140:L140"/>
    <mergeCell ref="Y109:Z109"/>
    <mergeCell ref="S68:T68"/>
    <mergeCell ref="U130:V130"/>
    <mergeCell ref="W46:X46"/>
    <mergeCell ref="Y111:Z111"/>
    <mergeCell ref="G29:H29"/>
    <mergeCell ref="W48:X48"/>
    <mergeCell ref="O122:P122"/>
    <mergeCell ref="Y104:Z104"/>
    <mergeCell ref="G31:H31"/>
    <mergeCell ref="AA79:AB79"/>
    <mergeCell ref="Q21:R21"/>
    <mergeCell ref="I95:J95"/>
    <mergeCell ref="AA81:AB81"/>
    <mergeCell ref="I89:J89"/>
    <mergeCell ref="AC145:AD145"/>
    <mergeCell ref="AC139:AD139"/>
    <mergeCell ref="K153:L153"/>
    <mergeCell ref="G57:H57"/>
    <mergeCell ref="AC147:AD147"/>
    <mergeCell ref="Y34:Z34"/>
    <mergeCell ref="AA63:AB63"/>
    <mergeCell ref="G58:H58"/>
    <mergeCell ref="U28:V28"/>
    <mergeCell ref="Q74:R74"/>
    <mergeCell ref="Q49:R49"/>
    <mergeCell ref="Y36:Z36"/>
    <mergeCell ref="Q110:R110"/>
    <mergeCell ref="B15:F15"/>
    <mergeCell ref="Q76:R76"/>
    <mergeCell ref="S138:T138"/>
    <mergeCell ref="AA94:AB94"/>
    <mergeCell ref="G75:H75"/>
    <mergeCell ref="S140:T140"/>
    <mergeCell ref="AC158:AD158"/>
    <mergeCell ref="AA125:AB125"/>
    <mergeCell ref="Y62:Z62"/>
    <mergeCell ref="Q136:R136"/>
    <mergeCell ref="G70:H70"/>
    <mergeCell ref="K21:L21"/>
    <mergeCell ref="Y54:Z54"/>
    <mergeCell ref="Q102:R102"/>
    <mergeCell ref="O29:P29"/>
    <mergeCell ref="Y64:Z64"/>
    <mergeCell ref="O65:P65"/>
    <mergeCell ref="O31:P31"/>
    <mergeCell ref="Q131:R131"/>
    <mergeCell ref="S160:T160"/>
    <mergeCell ref="W16:X16"/>
    <mergeCell ref="O62:P62"/>
    <mergeCell ref="M27:N27"/>
    <mergeCell ref="Q89:R89"/>
    <mergeCell ref="O56:P56"/>
    <mergeCell ref="W18:X18"/>
    <mergeCell ref="W17:X17"/>
    <mergeCell ref="O91:P91"/>
    <mergeCell ref="W11:X11"/>
    <mergeCell ref="O85:P85"/>
    <mergeCell ref="O57:P57"/>
    <mergeCell ref="W19:X19"/>
    <mergeCell ref="Y75:Z75"/>
    <mergeCell ref="Q149:R149"/>
    <mergeCell ref="O86:P86"/>
    <mergeCell ref="Y102:Z102"/>
    <mergeCell ref="Q151:R151"/>
    <mergeCell ref="W158:X158"/>
    <mergeCell ref="M11:N11"/>
    <mergeCell ref="O75:P75"/>
    <mergeCell ref="M40:N40"/>
    <mergeCell ref="M12:N12"/>
    <mergeCell ref="W72:X72"/>
    <mergeCell ref="O104:P104"/>
    <mergeCell ref="Y136:Z136"/>
    <mergeCell ref="O70:P70"/>
    <mergeCell ref="Q45:R45"/>
    <mergeCell ref="U26:V26"/>
    <mergeCell ref="W88:X88"/>
    <mergeCell ref="Q47:R47"/>
    <mergeCell ref="B100:F100"/>
    <mergeCell ref="O155:P155"/>
    <mergeCell ref="Y146:Z146"/>
    <mergeCell ref="U27:V27"/>
    <mergeCell ref="B102:F102"/>
    <mergeCell ref="W83:X83"/>
    <mergeCell ref="O157:P157"/>
    <mergeCell ref="AA34:AB34"/>
    <mergeCell ref="W85:X85"/>
    <mergeCell ref="AA36:AB36"/>
    <mergeCell ref="G74:H74"/>
    <mergeCell ref="Y60:Z60"/>
    <mergeCell ref="B29:F29"/>
    <mergeCell ref="Y149:Z149"/>
    <mergeCell ref="AC94:AD94"/>
    <mergeCell ref="AA124:AB124"/>
    <mergeCell ref="K48:L48"/>
    <mergeCell ref="B24:F24"/>
    <mergeCell ref="U38:V38"/>
    <mergeCell ref="M112:N112"/>
    <mergeCell ref="B32:F32"/>
    <mergeCell ref="W13:X13"/>
    <mergeCell ref="B26:F26"/>
    <mergeCell ref="U40:V40"/>
    <mergeCell ref="O53:P53"/>
    <mergeCell ref="W15:X15"/>
    <mergeCell ref="Y71:Z71"/>
    <mergeCell ref="M107:N107"/>
    <mergeCell ref="U96:V96"/>
    <mergeCell ref="B27:F27"/>
    <mergeCell ref="Q111:R111"/>
    <mergeCell ref="Y73:Z73"/>
    <mergeCell ref="B42:F42"/>
    <mergeCell ref="AC24:AD24"/>
    <mergeCell ref="K76:L76"/>
    <mergeCell ref="M138:N138"/>
    <mergeCell ref="AA137:AB137"/>
    <mergeCell ref="U91:V91"/>
    <mergeCell ref="B44:F44"/>
    <mergeCell ref="AC26:AD26"/>
    <mergeCell ref="K67:L67"/>
    <mergeCell ref="W156:X156"/>
    <mergeCell ref="B37:F37"/>
    <mergeCell ref="M36:N36"/>
    <mergeCell ref="AC19:AD19"/>
    <mergeCell ref="U93:V93"/>
    <mergeCell ref="W155:X155"/>
    <mergeCell ref="O100:P100"/>
    <mergeCell ref="W157:X157"/>
    <mergeCell ref="W151:X151"/>
    <mergeCell ref="O66:P66"/>
    <mergeCell ref="W28:X28"/>
    <mergeCell ref="O102:P102"/>
    <mergeCell ref="Q158:R158"/>
    <mergeCell ref="S47:T47"/>
    <mergeCell ref="U109:V109"/>
    <mergeCell ref="O68:P68"/>
    <mergeCell ref="S46:T46"/>
    <mergeCell ref="Q160:R160"/>
    <mergeCell ref="AC37:AD37"/>
    <mergeCell ref="U111:V111"/>
    <mergeCell ref="B96:F96"/>
    <mergeCell ref="O97:P97"/>
    <mergeCell ref="M64:N64"/>
    <mergeCell ref="S48:T48"/>
    <mergeCell ref="K122:L122"/>
    <mergeCell ref="U104:V104"/>
    <mergeCell ref="B98:F98"/>
    <mergeCell ref="W79:X79"/>
    <mergeCell ref="W54:X54"/>
    <mergeCell ref="O128:P128"/>
    <mergeCell ref="M65:N65"/>
    <mergeCell ref="M21:N21"/>
    <mergeCell ref="W81:X81"/>
    <mergeCell ref="W56:X56"/>
    <mergeCell ref="O123:P123"/>
    <mergeCell ref="Y145:Z145"/>
    <mergeCell ref="K17:L17"/>
    <mergeCell ref="Y139:Z139"/>
    <mergeCell ref="K148:L148"/>
    <mergeCell ref="K19:L19"/>
    <mergeCell ref="U34:V34"/>
    <mergeCell ref="B109:F109"/>
    <mergeCell ref="M83:N83"/>
    <mergeCell ref="Q28:R28"/>
    <mergeCell ref="M49:N49"/>
    <mergeCell ref="U36:V36"/>
    <mergeCell ref="U30:V30"/>
    <mergeCell ref="W92:X92"/>
    <mergeCell ref="G39:H39"/>
    <mergeCell ref="M78:N78"/>
    <mergeCell ref="W94:X94"/>
    <mergeCell ref="I103:J103"/>
    <mergeCell ref="I97:J97"/>
    <mergeCell ref="AA45:AB45"/>
    <mergeCell ref="K159:L159"/>
    <mergeCell ref="Y158:Z158"/>
    <mergeCell ref="W125:X125"/>
    <mergeCell ref="AC109:AD109"/>
    <mergeCell ref="K161:L161"/>
    <mergeCell ref="U62:V62"/>
    <mergeCell ref="M136:N136"/>
    <mergeCell ref="AA46:AB46"/>
    <mergeCell ref="Y13:Z13"/>
    <mergeCell ref="U64:V64"/>
    <mergeCell ref="AC51:AD51"/>
    <mergeCell ref="K65:L65"/>
    <mergeCell ref="AA71:AB71"/>
    <mergeCell ref="G50:H50"/>
    <mergeCell ref="M131:N131"/>
    <mergeCell ref="S16:T16"/>
    <mergeCell ref="G52:H52"/>
    <mergeCell ref="B66:F66"/>
    <mergeCell ref="I27:J27"/>
    <mergeCell ref="S18:T18"/>
    <mergeCell ref="S17:T17"/>
    <mergeCell ref="AC77:AD77"/>
    <mergeCell ref="S11:T11"/>
    <mergeCell ref="K91:L91"/>
    <mergeCell ref="K85:L85"/>
    <mergeCell ref="B67:F67"/>
    <mergeCell ref="B61:F61"/>
    <mergeCell ref="AC43:AD43"/>
    <mergeCell ref="I22:J22"/>
    <mergeCell ref="K84:L84"/>
    <mergeCell ref="U75:V75"/>
    <mergeCell ref="M149:N149"/>
    <mergeCell ref="B69:F69"/>
    <mergeCell ref="AC34:AD34"/>
    <mergeCell ref="AC72:AD72"/>
    <mergeCell ref="K86:L86"/>
    <mergeCell ref="M151:N151"/>
    <mergeCell ref="Q129:R129"/>
    <mergeCell ref="W52:X52"/>
    <mergeCell ref="S158:T158"/>
    <mergeCell ref="Y108:Z108"/>
    <mergeCell ref="AC59:AD59"/>
    <mergeCell ref="I38:J38"/>
    <mergeCell ref="U133:V133"/>
    <mergeCell ref="B64:F64"/>
    <mergeCell ref="AA32:AB32"/>
    <mergeCell ref="AC61:AD61"/>
    <mergeCell ref="I40:J40"/>
    <mergeCell ref="S72:T72"/>
    <mergeCell ref="U128:V128"/>
    <mergeCell ref="AC96:AD96"/>
    <mergeCell ref="K104:L104"/>
    <mergeCell ref="AC62:AD62"/>
    <mergeCell ref="M79:N79"/>
    <mergeCell ref="U136:V136"/>
    <mergeCell ref="B112:J112"/>
    <mergeCell ref="W63:X63"/>
    <mergeCell ref="K99:L99"/>
    <mergeCell ref="I66:J66"/>
    <mergeCell ref="Q26:R26"/>
    <mergeCell ref="Y110:Z110"/>
    <mergeCell ref="M74:N74"/>
    <mergeCell ref="U131:V131"/>
    <mergeCell ref="O139:P139"/>
    <mergeCell ref="AA16:AB16"/>
    <mergeCell ref="K155:L155"/>
    <mergeCell ref="U146:V146"/>
    <mergeCell ref="Q27:R27"/>
    <mergeCell ref="S83:T83"/>
    <mergeCell ref="AA18:AB18"/>
    <mergeCell ref="K157:L157"/>
    <mergeCell ref="K28:L28"/>
    <mergeCell ref="AA11:AB11"/>
    <mergeCell ref="S85:T85"/>
    <mergeCell ref="AA47:AB47"/>
    <mergeCell ref="U60:V60"/>
    <mergeCell ref="K30:L30"/>
    <mergeCell ref="M92:N92"/>
    <mergeCell ref="K152:L152"/>
    <mergeCell ref="Q37:R37"/>
    <mergeCell ref="W124:X124"/>
    <mergeCell ref="G48:H48"/>
    <mergeCell ref="Q38:R38"/>
    <mergeCell ref="AA98:AB98"/>
    <mergeCell ref="S13:T13"/>
    <mergeCell ref="K56:L56"/>
    <mergeCell ref="Q40:R40"/>
    <mergeCell ref="AC162:AD162"/>
    <mergeCell ref="S15:T15"/>
    <mergeCell ref="U71:V71"/>
    <mergeCell ref="I107:J107"/>
    <mergeCell ref="U73:V73"/>
    <mergeCell ref="AC157:AD157"/>
    <mergeCell ref="G76:H76"/>
    <mergeCell ref="Q91:R91"/>
    <mergeCell ref="Y53:Z53"/>
    <mergeCell ref="AA82:AB82"/>
    <mergeCell ref="S156:T156"/>
    <mergeCell ref="I11:J11"/>
    <mergeCell ref="S155:T155"/>
    <mergeCell ref="Y55:Z55"/>
    <mergeCell ref="AC146:AD146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G95:H95"/>
    <mergeCell ref="G89:H89"/>
    <mergeCell ref="Y37:Z37"/>
    <mergeCell ref="K97:L97"/>
    <mergeCell ref="I64:J64"/>
    <mergeCell ref="O48:P48"/>
    <mergeCell ref="S54:T54"/>
    <mergeCell ref="K128:L128"/>
    <mergeCell ref="I65:J65"/>
    <mergeCell ref="S56:T56"/>
    <mergeCell ref="AA43:AB43"/>
    <mergeCell ref="Y63:Z63"/>
    <mergeCell ref="AC71:AD71"/>
    <mergeCell ref="K123:L123"/>
    <mergeCell ref="G17:H17"/>
    <mergeCell ref="AC101:AD101"/>
    <mergeCell ref="Q130:R130"/>
    <mergeCell ref="G19:H19"/>
    <mergeCell ref="I75:J75"/>
    <mergeCell ref="B101:F101"/>
    <mergeCell ref="Q132:R132"/>
    <mergeCell ref="Q34:R34"/>
    <mergeCell ref="AA69:AB69"/>
    <mergeCell ref="M28:N28"/>
    <mergeCell ref="AA35:AB35"/>
    <mergeCell ref="G14:H14"/>
    <mergeCell ref="Q36:R36"/>
    <mergeCell ref="S136:T136"/>
    <mergeCell ref="AC133:AD133"/>
    <mergeCell ref="AC127:AD127"/>
    <mergeCell ref="M57:N57"/>
    <mergeCell ref="AC99:AD99"/>
    <mergeCell ref="I78:J78"/>
    <mergeCell ref="AA64:AB64"/>
    <mergeCell ref="S94:T94"/>
    <mergeCell ref="AC128:AD128"/>
    <mergeCell ref="G72:H72"/>
    <mergeCell ref="U158:V158"/>
    <mergeCell ref="S125:T125"/>
    <mergeCell ref="Y147:Z147"/>
    <mergeCell ref="M111:N111"/>
    <mergeCell ref="Q62:R62"/>
    <mergeCell ref="Y24:Z24"/>
    <mergeCell ref="Q64:R64"/>
    <mergeCell ref="Q93:R93"/>
    <mergeCell ref="O16:P16"/>
    <mergeCell ref="W100:X100"/>
    <mergeCell ref="S151:T151"/>
    <mergeCell ref="AA110:AB110"/>
    <mergeCell ref="O17:P17"/>
    <mergeCell ref="Y77:Z77"/>
    <mergeCell ref="O11:P11"/>
    <mergeCell ref="G91:H91"/>
    <mergeCell ref="G85:H85"/>
    <mergeCell ref="Y160:Z160"/>
    <mergeCell ref="G84:H84"/>
    <mergeCell ref="AA141:AB141"/>
    <mergeCell ref="Q75:R75"/>
    <mergeCell ref="AA135:AB135"/>
    <mergeCell ref="G86:H86"/>
    <mergeCell ref="Y72:Z72"/>
    <mergeCell ref="M129:N129"/>
    <mergeCell ref="S52:T52"/>
    <mergeCell ref="U108:V108"/>
    <mergeCell ref="AA136:AB136"/>
    <mergeCell ref="B43:F43"/>
    <mergeCell ref="W32:X32"/>
    <mergeCell ref="Y88:Z88"/>
    <mergeCell ref="Q162:R162"/>
    <mergeCell ref="G104:H104"/>
    <mergeCell ref="Y90:Z90"/>
    <mergeCell ref="W27:X27"/>
    <mergeCell ref="Q157:R157"/>
    <mergeCell ref="M24:N24"/>
    <mergeCell ref="AA154:AB154"/>
    <mergeCell ref="S63:T63"/>
    <mergeCell ref="G99:H99"/>
    <mergeCell ref="M53:N53"/>
    <mergeCell ref="U110:V110"/>
    <mergeCell ref="I74:J74"/>
    <mergeCell ref="W44:X44"/>
    <mergeCell ref="AA149:AB149"/>
    <mergeCell ref="B62:F62"/>
    <mergeCell ref="M55:N55"/>
    <mergeCell ref="Q146:R146"/>
    <mergeCell ref="AC124:AD124"/>
    <mergeCell ref="O83:P83"/>
    <mergeCell ref="M48:N48"/>
    <mergeCell ref="W45:X45"/>
    <mergeCell ref="AC126:AD126"/>
    <mergeCell ref="Y20:Z20"/>
    <mergeCell ref="Y14:Z14"/>
    <mergeCell ref="O112:P112"/>
    <mergeCell ref="W47:X47"/>
    <mergeCell ref="Y22:Z22"/>
    <mergeCell ref="AA78:AB78"/>
    <mergeCell ref="M81:N81"/>
    <mergeCell ref="M37:N37"/>
    <mergeCell ref="AA80:AB80"/>
    <mergeCell ref="AC142:AD142"/>
    <mergeCell ref="O109:P109"/>
    <mergeCell ref="AC108:AD108"/>
    <mergeCell ref="K160:L160"/>
    <mergeCell ref="S147:T147"/>
    <mergeCell ref="G54:H54"/>
    <mergeCell ref="M38:N38"/>
    <mergeCell ref="W98:X98"/>
    <mergeCell ref="B110:F110"/>
    <mergeCell ref="G56:H56"/>
    <mergeCell ref="Y162:Z162"/>
    <mergeCell ref="K34:L34"/>
    <mergeCell ref="K36:L36"/>
    <mergeCell ref="B12:F12"/>
    <mergeCell ref="Y35:Z35"/>
    <mergeCell ref="Y157:Z157"/>
    <mergeCell ref="M94:N94"/>
    <mergeCell ref="AA101:AB101"/>
    <mergeCell ref="B14:F14"/>
    <mergeCell ref="O69:P69"/>
    <mergeCell ref="W126:X126"/>
    <mergeCell ref="U53:V53"/>
    <mergeCell ref="W109:X109"/>
    <mergeCell ref="O158:P158"/>
    <mergeCell ref="O64:P64"/>
    <mergeCell ref="Y61:Z61"/>
    <mergeCell ref="O72:P72"/>
    <mergeCell ref="Q101:R101"/>
    <mergeCell ref="Q128:R128"/>
    <mergeCell ref="W112:X112"/>
    <mergeCell ref="U79:V79"/>
    <mergeCell ref="K49:L49"/>
    <mergeCell ref="Y56:Z56"/>
    <mergeCell ref="B25:F25"/>
    <mergeCell ref="AC32:AD32"/>
    <mergeCell ref="U81:V81"/>
    <mergeCell ref="W137:X137"/>
    <mergeCell ref="G97:H97"/>
    <mergeCell ref="B58:F58"/>
    <mergeCell ref="B52:F52"/>
    <mergeCell ref="M148:N148"/>
    <mergeCell ref="W139:X139"/>
    <mergeCell ref="AA147:AB147"/>
    <mergeCell ref="O54:P54"/>
    <mergeCell ref="B60:F60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Y100:Z100"/>
    <mergeCell ref="W67:X67"/>
    <mergeCell ref="B80:F80"/>
    <mergeCell ref="W69:X69"/>
    <mergeCell ref="Y125:Z125"/>
    <mergeCell ref="O136:P136"/>
    <mergeCell ref="Y133:Z133"/>
    <mergeCell ref="Y127:Z127"/>
    <mergeCell ref="AC78:AD78"/>
    <mergeCell ref="I57:J57"/>
    <mergeCell ref="W64:X64"/>
    <mergeCell ref="K32:L32"/>
    <mergeCell ref="AC107:AD107"/>
    <mergeCell ref="Y128:Z128"/>
    <mergeCell ref="U147:V147"/>
    <mergeCell ref="I111:J111"/>
    <mergeCell ref="K27:L27"/>
    <mergeCell ref="W122:X122"/>
    <mergeCell ref="U24:V24"/>
    <mergeCell ref="B99:F99"/>
    <mergeCell ref="U18:V18"/>
    <mergeCell ref="O154:P154"/>
    <mergeCell ref="M91:N91"/>
    <mergeCell ref="W82:X82"/>
    <mergeCell ref="U19:V19"/>
    <mergeCell ref="M93:N93"/>
    <mergeCell ref="O149:P149"/>
    <mergeCell ref="K16:L16"/>
    <mergeCell ref="S100:T100"/>
    <mergeCell ref="Q124:R124"/>
    <mergeCell ref="O151:P151"/>
    <mergeCell ref="K45:L45"/>
    <mergeCell ref="S102:T102"/>
    <mergeCell ref="Q126:R126"/>
    <mergeCell ref="B21:F21"/>
    <mergeCell ref="W110:X110"/>
    <mergeCell ref="U77:V77"/>
    <mergeCell ref="K11:L11"/>
    <mergeCell ref="K47:L47"/>
    <mergeCell ref="M109:N109"/>
    <mergeCell ref="B23:F23"/>
    <mergeCell ref="K46:L46"/>
    <mergeCell ref="W141:X141"/>
    <mergeCell ref="M75:N75"/>
    <mergeCell ref="K40:L40"/>
    <mergeCell ref="W135:X135"/>
    <mergeCell ref="U37:V37"/>
    <mergeCell ref="M15:N15"/>
    <mergeCell ref="U72:V72"/>
    <mergeCell ref="W12:X12"/>
    <mergeCell ref="M104:N104"/>
    <mergeCell ref="K71:L71"/>
    <mergeCell ref="O79:P79"/>
    <mergeCell ref="W136:X136"/>
    <mergeCell ref="Y70:Z70"/>
    <mergeCell ref="M106:N106"/>
    <mergeCell ref="AC21:AD21"/>
    <mergeCell ref="K73:L73"/>
    <mergeCell ref="O81:P81"/>
    <mergeCell ref="S32:T32"/>
    <mergeCell ref="S26:T26"/>
    <mergeCell ref="U88:V88"/>
    <mergeCell ref="M162:N162"/>
    <mergeCell ref="Q139:R139"/>
    <mergeCell ref="AC16:AD16"/>
    <mergeCell ref="U90:V90"/>
    <mergeCell ref="W146:X146"/>
    <mergeCell ref="S27:T27"/>
    <mergeCell ref="AC18:AD18"/>
    <mergeCell ref="M157:N157"/>
    <mergeCell ref="W154:X154"/>
    <mergeCell ref="B77:F77"/>
    <mergeCell ref="I53:J53"/>
    <mergeCell ref="I28:J28"/>
    <mergeCell ref="M30:N30"/>
    <mergeCell ref="W149:X149"/>
    <mergeCell ref="I55:J55"/>
    <mergeCell ref="AC103:AD103"/>
    <mergeCell ref="Y124:Z124"/>
    <mergeCell ref="O94:P94"/>
    <mergeCell ref="I48:J48"/>
    <mergeCell ref="M61:N61"/>
    <mergeCell ref="S45:T45"/>
    <mergeCell ref="Y97:Z97"/>
    <mergeCell ref="B95:F95"/>
    <mergeCell ref="B89:F89"/>
    <mergeCell ref="K112:L112"/>
    <mergeCell ref="B97:F97"/>
    <mergeCell ref="M56:N56"/>
    <mergeCell ref="Q13:R13"/>
    <mergeCell ref="I81:J81"/>
    <mergeCell ref="AA29:AB29"/>
    <mergeCell ref="U15:V15"/>
    <mergeCell ref="B90:F90"/>
    <mergeCell ref="S96:T96"/>
    <mergeCell ref="S71:T71"/>
    <mergeCell ref="AC131:AD131"/>
    <mergeCell ref="AA58:AB58"/>
    <mergeCell ref="AC87:AD87"/>
    <mergeCell ref="AA24:AB24"/>
    <mergeCell ref="I76:J76"/>
    <mergeCell ref="S98:T98"/>
    <mergeCell ref="S73:T73"/>
    <mergeCell ref="K138:L138"/>
    <mergeCell ref="AA60:AB60"/>
    <mergeCell ref="AC89:AD89"/>
    <mergeCell ref="Y137:Z137"/>
    <mergeCell ref="AA26:AB26"/>
    <mergeCell ref="AC88:AD88"/>
    <mergeCell ref="AA53:AB53"/>
    <mergeCell ref="U162:V162"/>
    <mergeCell ref="AC82:AD82"/>
    <mergeCell ref="G34:H34"/>
    <mergeCell ref="U156:V156"/>
    <mergeCell ref="U33:V33"/>
    <mergeCell ref="B108:F108"/>
    <mergeCell ref="AC90:AD90"/>
    <mergeCell ref="AA84:AB84"/>
    <mergeCell ref="M100:N100"/>
    <mergeCell ref="U157:V157"/>
    <mergeCell ref="AA50:AB50"/>
    <mergeCell ref="S124:T124"/>
    <mergeCell ref="B20:F20"/>
    <mergeCell ref="AA42:AB42"/>
    <mergeCell ref="I94:J94"/>
    <mergeCell ref="W101:X101"/>
    <mergeCell ref="M102:N102"/>
    <mergeCell ref="K69:L69"/>
    <mergeCell ref="Q53:R53"/>
    <mergeCell ref="S109:T109"/>
    <mergeCell ref="AC144:AD144"/>
    <mergeCell ref="K158:L158"/>
    <mergeCell ref="U59:V59"/>
    <mergeCell ref="O160:P160"/>
    <mergeCell ref="AC12:AD12"/>
    <mergeCell ref="K64:L64"/>
    <mergeCell ref="U61:V61"/>
    <mergeCell ref="K72:L72"/>
    <mergeCell ref="AC14:AD14"/>
    <mergeCell ref="M128:N128"/>
    <mergeCell ref="Q79:R79"/>
    <mergeCell ref="AA70:AB70"/>
    <mergeCell ref="G49:H49"/>
    <mergeCell ref="U56:V56"/>
    <mergeCell ref="I24:J24"/>
    <mergeCell ref="Q81:R81"/>
    <mergeCell ref="S137:T137"/>
    <mergeCell ref="AA99:AB99"/>
    <mergeCell ref="W145:X145"/>
    <mergeCell ref="I17:J17"/>
    <mergeCell ref="K82:L82"/>
    <mergeCell ref="S139:T139"/>
    <mergeCell ref="W147:X147"/>
    <mergeCell ref="I19:J19"/>
    <mergeCell ref="M146:N146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G103:H103"/>
    <mergeCell ref="I37:J37"/>
    <mergeCell ref="Q94:R94"/>
    <mergeCell ref="S69:T69"/>
    <mergeCell ref="U125:V125"/>
    <mergeCell ref="K136:L136"/>
    <mergeCell ref="U127:V127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K154:L154"/>
    <mergeCell ref="AA77:AB77"/>
    <mergeCell ref="I91:J91"/>
    <mergeCell ref="I85:J85"/>
    <mergeCell ref="S82:T82"/>
    <mergeCell ref="Q19:R19"/>
    <mergeCell ref="I93:J93"/>
    <mergeCell ref="AC141:AD141"/>
    <mergeCell ref="K149:L149"/>
    <mergeCell ref="W62:X62"/>
    <mergeCell ref="K151:L151"/>
    <mergeCell ref="Q44:R44"/>
    <mergeCell ref="AA66:AB66"/>
    <mergeCell ref="G45:H45"/>
    <mergeCell ref="U52:V52"/>
    <mergeCell ref="G55:H55"/>
    <mergeCell ref="S108:T108"/>
    <mergeCell ref="G47:H47"/>
    <mergeCell ref="I109:J109"/>
    <mergeCell ref="AA95:AB95"/>
    <mergeCell ref="AA67:AB67"/>
    <mergeCell ref="Y32:Z32"/>
    <mergeCell ref="G46:H46"/>
    <mergeCell ref="AA61:AB61"/>
    <mergeCell ref="G40:H40"/>
    <mergeCell ref="S135:T135"/>
    <mergeCell ref="AA97:AB97"/>
    <mergeCell ref="AC159:AD159"/>
    <mergeCell ref="AC153:AD153"/>
    <mergeCell ref="AA96:AB96"/>
    <mergeCell ref="AC125:AD125"/>
    <mergeCell ref="I104:J104"/>
    <mergeCell ref="AA90:AB90"/>
    <mergeCell ref="G71:H71"/>
    <mergeCell ref="I106:J106"/>
    <mergeCell ref="AC154:AD154"/>
    <mergeCell ref="Y21:Z21"/>
    <mergeCell ref="K81:L81"/>
    <mergeCell ref="O32:P32"/>
    <mergeCell ref="G66:H66"/>
    <mergeCell ref="O26:P26"/>
    <mergeCell ref="Q88:R88"/>
    <mergeCell ref="Q63:R63"/>
    <mergeCell ref="AC156:AD156"/>
    <mergeCell ref="AA123:AB123"/>
    <mergeCell ref="Y50:Z50"/>
    <mergeCell ref="Y16:Z16"/>
    <mergeCell ref="G68:H68"/>
    <mergeCell ref="Q90:R90"/>
    <mergeCell ref="O55:P55"/>
    <mergeCell ref="Y52:Z52"/>
    <mergeCell ref="S146:T146"/>
    <mergeCell ref="AA108:AB108"/>
    <mergeCell ref="O27:P27"/>
    <mergeCell ref="Y18:Z18"/>
    <mergeCell ref="Y45:Z45"/>
    <mergeCell ref="S154:T154"/>
    <mergeCell ref="K101:L101"/>
    <mergeCell ref="AA109:AB109"/>
    <mergeCell ref="W14:X14"/>
    <mergeCell ref="S60:T60"/>
    <mergeCell ref="AA22:AB22"/>
    <mergeCell ref="I30:J30"/>
    <mergeCell ref="K92:L92"/>
    <mergeCell ref="S149:T149"/>
    <mergeCell ref="Y42:Z42"/>
    <mergeCell ref="Y103:Z103"/>
    <mergeCell ref="U124:V124"/>
    <mergeCell ref="AA134:AB134"/>
    <mergeCell ref="I61:J61"/>
    <mergeCell ref="O45:P45"/>
    <mergeCell ref="Q145:R145"/>
    <mergeCell ref="B70:F70"/>
    <mergeCell ref="I54:J54"/>
    <mergeCell ref="Y98:Z98"/>
    <mergeCell ref="Q147:R147"/>
    <mergeCell ref="I56:J56"/>
    <mergeCell ref="M13:N13"/>
    <mergeCell ref="AA162:AB162"/>
    <mergeCell ref="Q15:R15"/>
    <mergeCell ref="O71:P71"/>
    <mergeCell ref="W58:X58"/>
    <mergeCell ref="G16:H16"/>
    <mergeCell ref="O73:P73"/>
    <mergeCell ref="W60:X60"/>
    <mergeCell ref="U137:V137"/>
    <mergeCell ref="Y126:Z126"/>
    <mergeCell ref="W53:X53"/>
    <mergeCell ref="Q77:R77"/>
    <mergeCell ref="G11:H11"/>
    <mergeCell ref="W84:X84"/>
    <mergeCell ref="K44:L44"/>
    <mergeCell ref="Q72:R72"/>
    <mergeCell ref="S101:T101"/>
    <mergeCell ref="AC150:AD150"/>
    <mergeCell ref="G69:H69"/>
    <mergeCell ref="Y144:Z144"/>
    <mergeCell ref="AC152:AD152"/>
    <mergeCell ref="Q59:R59"/>
    <mergeCell ref="G64:H64"/>
    <mergeCell ref="Q61:R61"/>
    <mergeCell ref="Y41:Z41"/>
    <mergeCell ref="U35:V35"/>
    <mergeCell ref="Q56:R56"/>
    <mergeCell ref="Y43:Z43"/>
    <mergeCell ref="AA105:AB105"/>
    <mergeCell ref="W99:X99"/>
    <mergeCell ref="B22:F22"/>
    <mergeCell ref="Y74:Z74"/>
    <mergeCell ref="AC163:AD163"/>
    <mergeCell ref="G82:H82"/>
    <mergeCell ref="M110:N110"/>
    <mergeCell ref="Y67:Z67"/>
    <mergeCell ref="Q141:R141"/>
    <mergeCell ref="AA132:AB132"/>
    <mergeCell ref="G83:H83"/>
    <mergeCell ref="Y69:Z69"/>
    <mergeCell ref="B38:F38"/>
    <mergeCell ref="AC20:AD20"/>
    <mergeCell ref="AA133:AB133"/>
    <mergeCell ref="AA127:AB127"/>
    <mergeCell ref="B40:F40"/>
    <mergeCell ref="AC22:AD22"/>
    <mergeCell ref="U54:V54"/>
    <mergeCell ref="B33:F33"/>
    <mergeCell ref="M32:N32"/>
    <mergeCell ref="O67:P67"/>
    <mergeCell ref="W29:X29"/>
    <mergeCell ref="W23:X23"/>
    <mergeCell ref="S44:T44"/>
    <mergeCell ref="B41:F41"/>
    <mergeCell ref="B35:F35"/>
    <mergeCell ref="O96:P96"/>
    <mergeCell ref="Q125:R125"/>
    <mergeCell ref="Y87:Z87"/>
    <mergeCell ref="W24:X24"/>
    <mergeCell ref="O98:P98"/>
    <mergeCell ref="Q127:R127"/>
    <mergeCell ref="Q154:R154"/>
    <mergeCell ref="Y89:Z89"/>
    <mergeCell ref="U105:V105"/>
    <mergeCell ref="W26:X26"/>
    <mergeCell ref="Y82:Z82"/>
    <mergeCell ref="Q156:R156"/>
    <mergeCell ref="AC33:AD33"/>
    <mergeCell ref="U107:V107"/>
    <mergeCell ref="AA57:AB57"/>
    <mergeCell ref="I71:J71"/>
    <mergeCell ref="O93:P93"/>
    <mergeCell ref="Q155:R155"/>
    <mergeCell ref="M16:N16"/>
    <mergeCell ref="AA146:AB146"/>
    <mergeCell ref="U100:V100"/>
    <mergeCell ref="AC35:AD35"/>
    <mergeCell ref="M18:N18"/>
    <mergeCell ref="M45:N45"/>
    <mergeCell ref="Y140:Z140"/>
    <mergeCell ref="U102:V102"/>
    <mergeCell ref="W42:X42"/>
    <mergeCell ref="M17:N17"/>
    <mergeCell ref="W77:X77"/>
    <mergeCell ref="O126:P126"/>
    <mergeCell ref="O82:P82"/>
    <mergeCell ref="M47:N47"/>
    <mergeCell ref="M19:N19"/>
    <mergeCell ref="Y141:Z141"/>
    <mergeCell ref="K13:L13"/>
    <mergeCell ref="W37:X37"/>
    <mergeCell ref="O111:P111"/>
    <mergeCell ref="K15:L15"/>
    <mergeCell ref="M44:N44"/>
    <mergeCell ref="Q52:R52"/>
    <mergeCell ref="B105:F105"/>
    <mergeCell ref="O108:P108"/>
    <mergeCell ref="M73:N73"/>
    <mergeCell ref="W95:X95"/>
    <mergeCell ref="U32:V32"/>
    <mergeCell ref="B107:F107"/>
    <mergeCell ref="O162:P162"/>
    <mergeCell ref="O137:P137"/>
    <mergeCell ref="W97:X97"/>
    <mergeCell ref="Y159:Z159"/>
    <mergeCell ref="Y153:Z153"/>
    <mergeCell ref="W96:X96"/>
    <mergeCell ref="W90:X90"/>
    <mergeCell ref="AA41:AB41"/>
    <mergeCell ref="Y154:Z154"/>
    <mergeCell ref="AC105:AD105"/>
    <mergeCell ref="Y156:Z156"/>
    <mergeCell ref="M63:N63"/>
    <mergeCell ref="U50:V50"/>
    <mergeCell ref="U44:V44"/>
    <mergeCell ref="AA131:AB131"/>
    <mergeCell ref="W108:X108"/>
    <mergeCell ref="B31:F31"/>
    <mergeCell ref="U45:V45"/>
    <mergeCell ref="B39:F39"/>
    <mergeCell ref="W20:X20"/>
    <mergeCell ref="G101:H101"/>
    <mergeCell ref="S14:T14"/>
    <mergeCell ref="W22:X22"/>
    <mergeCell ref="Y78:Z78"/>
    <mergeCell ref="AC29:AD29"/>
    <mergeCell ref="U103:V103"/>
    <mergeCell ref="W134:X134"/>
    <mergeCell ref="Y80:Z80"/>
    <mergeCell ref="AA142:AB142"/>
    <mergeCell ref="AC31:AD31"/>
    <mergeCell ref="M145:N145"/>
    <mergeCell ref="B65:F65"/>
    <mergeCell ref="U98:V98"/>
    <mergeCell ref="M147:N147"/>
    <mergeCell ref="B50:F50"/>
    <mergeCell ref="W162:X162"/>
    <mergeCell ref="I34:J34"/>
    <mergeCell ref="S25:T25"/>
    <mergeCell ref="Y106:Z106"/>
    <mergeCell ref="W33:X33"/>
    <mergeCell ref="AC57:AD57"/>
    <mergeCell ref="I36:J36"/>
    <mergeCell ref="S58:T58"/>
    <mergeCell ref="W35:X35"/>
    <mergeCell ref="K100:L100"/>
    <mergeCell ref="K94:L94"/>
    <mergeCell ref="U126:V126"/>
    <mergeCell ref="W66:X66"/>
    <mergeCell ref="K102:L102"/>
    <mergeCell ref="M158:N158"/>
    <mergeCell ref="B103:F103"/>
    <mergeCell ref="B78:F78"/>
    <mergeCell ref="M77:N77"/>
    <mergeCell ref="W59:X59"/>
    <mergeCell ref="O133:P133"/>
    <mergeCell ref="Q22:R22"/>
    <mergeCell ref="S84:T84"/>
    <mergeCell ref="M160:N160"/>
    <mergeCell ref="B10:AD10"/>
    <mergeCell ref="W61:X61"/>
    <mergeCell ref="O135:P135"/>
    <mergeCell ref="AA12:AB12"/>
    <mergeCell ref="M72:N72"/>
    <mergeCell ref="Q163:R163"/>
    <mergeCell ref="S79:T79"/>
    <mergeCell ref="AA14:AB14"/>
    <mergeCell ref="M87:N87"/>
    <mergeCell ref="AC70:AD70"/>
    <mergeCell ref="U144:V144"/>
    <mergeCell ref="M59:N59"/>
    <mergeCell ref="K24:L24"/>
    <mergeCell ref="S81:T81"/>
    <mergeCell ref="K26:L26"/>
    <mergeCell ref="M88:N88"/>
    <mergeCell ref="U145:V145"/>
    <mergeCell ref="M82:N82"/>
    <mergeCell ref="U139:V139"/>
    <mergeCell ref="M54:N54"/>
    <mergeCell ref="U16:V16"/>
    <mergeCell ref="M90:N90"/>
    <mergeCell ref="O146:P146"/>
    <mergeCell ref="Q35:R35"/>
    <mergeCell ref="AA25:AB25"/>
    <mergeCell ref="K42:L42"/>
    <mergeCell ref="S99:T99"/>
    <mergeCell ref="Y49:Z49"/>
    <mergeCell ref="M85:N85"/>
    <mergeCell ref="I110:J110"/>
    <mergeCell ref="Q30:R30"/>
    <mergeCell ref="S92:T92"/>
    <mergeCell ref="O60:P60"/>
    <mergeCell ref="W130:X130"/>
    <mergeCell ref="U67:V67"/>
    <mergeCell ref="M141:N141"/>
    <mergeCell ref="K37:L37"/>
    <mergeCell ref="W132:X132"/>
    <mergeCell ref="U69:V69"/>
    <mergeCell ref="W133:X133"/>
    <mergeCell ref="W127:X127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K96:L96"/>
    <mergeCell ref="U87:V87"/>
    <mergeCell ref="S24:T24"/>
    <mergeCell ref="K98:L98"/>
    <mergeCell ref="M154:N154"/>
    <mergeCell ref="U89:V89"/>
    <mergeCell ref="B74:F74"/>
    <mergeCell ref="Q105:R105"/>
    <mergeCell ref="B68:F68"/>
    <mergeCell ref="U82:V82"/>
    <mergeCell ref="M156:N156"/>
    <mergeCell ref="Y33:Z33"/>
    <mergeCell ref="B76:F76"/>
    <mergeCell ref="Q107:R107"/>
    <mergeCell ref="AC41:AD41"/>
    <mergeCell ref="K93:L93"/>
    <mergeCell ref="M155:N155"/>
    <mergeCell ref="I60:J60"/>
    <mergeCell ref="Q100:R100"/>
    <mergeCell ref="AC66:AD66"/>
    <mergeCell ref="I45:J45"/>
    <mergeCell ref="S42:T42"/>
    <mergeCell ref="S77:T77"/>
    <mergeCell ref="AC74:AD74"/>
    <mergeCell ref="AA39:AB39"/>
    <mergeCell ref="K126:L126"/>
    <mergeCell ref="AC68:AD68"/>
    <mergeCell ref="I47:J47"/>
    <mergeCell ref="K109:L109"/>
    <mergeCell ref="AC67:AD67"/>
    <mergeCell ref="U141:V141"/>
    <mergeCell ref="G13:H13"/>
    <mergeCell ref="U135:V135"/>
    <mergeCell ref="S37:T37"/>
    <mergeCell ref="AC97:AD97"/>
    <mergeCell ref="K111:L111"/>
    <mergeCell ref="U12:V12"/>
    <mergeCell ref="B87:F87"/>
    <mergeCell ref="AC69:AD69"/>
    <mergeCell ref="G15:H15"/>
    <mergeCell ref="W70:X70"/>
    <mergeCell ref="AC98:AD98"/>
    <mergeCell ref="I79:J79"/>
    <mergeCell ref="AA21:AB21"/>
    <mergeCell ref="I73:J73"/>
    <mergeCell ref="S95:T95"/>
    <mergeCell ref="Q32:R32"/>
    <mergeCell ref="S88:T88"/>
    <mergeCell ref="AA23:AB23"/>
    <mergeCell ref="AC123:AD123"/>
    <mergeCell ref="K137:L137"/>
    <mergeCell ref="K162:L162"/>
    <mergeCell ref="U153:V153"/>
    <mergeCell ref="S90:T90"/>
    <mergeCell ref="K139:L139"/>
    <mergeCell ref="AA52:AB52"/>
    <mergeCell ref="S126:T126"/>
    <mergeCell ref="U154:V154"/>
    <mergeCell ref="Q58:R58"/>
    <mergeCell ref="U25:V25"/>
    <mergeCell ref="G53:H53"/>
    <mergeCell ref="G28:H28"/>
    <mergeCell ref="AA49:AB49"/>
    <mergeCell ref="Q50:R50"/>
    <mergeCell ref="Q60:R60"/>
    <mergeCell ref="K59:L59"/>
    <mergeCell ref="G30:H30"/>
    <mergeCell ref="I92:J92"/>
    <mergeCell ref="S152:T152"/>
    <mergeCell ref="K61:L61"/>
    <mergeCell ref="O12:P12"/>
    <mergeCell ref="M125:N125"/>
    <mergeCell ref="O14:P14"/>
    <mergeCell ref="K62:L62"/>
    <mergeCell ref="O13:P13"/>
    <mergeCell ref="M127:N127"/>
    <mergeCell ref="G81:H81"/>
    <mergeCell ref="S134:T134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G100:H100"/>
    <mergeCell ref="G94:H94"/>
    <mergeCell ref="I69:J69"/>
    <mergeCell ref="G102:H102"/>
    <mergeCell ref="AA150:AB150"/>
    <mergeCell ref="AA144:AB144"/>
    <mergeCell ref="I77:J77"/>
    <mergeCell ref="S59:T59"/>
    <mergeCell ref="K133:L133"/>
    <mergeCell ref="AA152:AB152"/>
    <mergeCell ref="S61:T61"/>
    <mergeCell ref="K135:L135"/>
    <mergeCell ref="M51:N51"/>
    <mergeCell ref="B111:F111"/>
    <mergeCell ref="Q142:R142"/>
    <mergeCell ref="I72:J72"/>
    <mergeCell ref="W41:X41"/>
    <mergeCell ref="AC122:AD122"/>
    <mergeCell ref="G24:H24"/>
    <mergeCell ref="Q137:R137"/>
    <mergeCell ref="AC137:AD137"/>
    <mergeCell ref="Y99:Z99"/>
    <mergeCell ref="G26:H26"/>
    <mergeCell ref="AA74:AB74"/>
    <mergeCell ref="I88:J88"/>
    <mergeCell ref="S148:T148"/>
    <mergeCell ref="I82:J82"/>
    <mergeCell ref="Y101:Z101"/>
    <mergeCell ref="AA163:AB163"/>
    <mergeCell ref="AA76:AB76"/>
    <mergeCell ref="AC138:AD138"/>
    <mergeCell ref="AC132:AD132"/>
    <mergeCell ref="K146:L146"/>
    <mergeCell ref="AC104:AD104"/>
    <mergeCell ref="AC140:AD140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AC135:AD135"/>
    <mergeCell ref="Y29:Z29"/>
    <mergeCell ref="Q103:R103"/>
    <mergeCell ref="G37:H37"/>
    <mergeCell ref="Q69:R69"/>
    <mergeCell ref="Y31:Z31"/>
    <mergeCell ref="AA59:AB59"/>
    <mergeCell ref="S133:T133"/>
    <mergeCell ref="Q98:R98"/>
    <mergeCell ref="S127:T127"/>
    <mergeCell ref="AA89:AB89"/>
    <mergeCell ref="S162:T162"/>
    <mergeCell ref="G63:H63"/>
    <mergeCell ref="O23:P23"/>
    <mergeCell ref="U51:V51"/>
    <mergeCell ref="W107:X107"/>
    <mergeCell ref="G96:H96"/>
    <mergeCell ref="Q87:R87"/>
    <mergeCell ref="O24:P24"/>
    <mergeCell ref="G98:H98"/>
    <mergeCell ref="O18:P18"/>
    <mergeCell ref="AA148:AB148"/>
    <mergeCell ref="Q82:R82"/>
    <mergeCell ref="M20:N20"/>
    <mergeCell ref="O49:P49"/>
    <mergeCell ref="Y44:Z44"/>
    <mergeCell ref="G93:H93"/>
    <mergeCell ref="M22:N22"/>
    <mergeCell ref="O84:P84"/>
    <mergeCell ref="O50:P50"/>
    <mergeCell ref="O42:P42"/>
    <mergeCell ref="O80:P80"/>
    <mergeCell ref="O52:P52"/>
    <mergeCell ref="W39:X39"/>
    <mergeCell ref="Q108:R108"/>
    <mergeCell ref="G109:H109"/>
    <mergeCell ref="Y95:Z95"/>
    <mergeCell ref="Q144:R144"/>
    <mergeCell ref="AA160:AB160"/>
    <mergeCell ref="B51:F51"/>
    <mergeCell ref="O37:P37"/>
    <mergeCell ref="G111:H111"/>
    <mergeCell ref="AA159:AB159"/>
  </mergeCells>
  <pageMargins left="0.7086614173228347" right="0.7086614173228347" top="0.7480314960629921" bottom="0.7480314960629921" header="0.3149606299212598" footer="0.3149606299212598"/>
  <pageSetup orientation="landscape" paperSize="9" scale="68"/>
  <headerFooter>
    <oddHeader/>
    <oddFooter>&amp;R&amp;A - &amp;P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ayfa5">
    <tabColor theme="0"/>
    <outlinePr summaryBelow="1" summaryRight="1"/>
    <pageSetUpPr/>
  </sheetPr>
  <dimension ref="A2:AG79"/>
  <sheetViews>
    <sheetView showGridLines="0" showRowColHeaders="0" showZeros="0" zoomScale="80" zoomScaleNormal="80" zoomScaleSheetLayoutView="55" zoomScalePageLayoutView="70" workbookViewId="0">
      <selection activeCell="B45" sqref="B45:AD45"/>
    </sheetView>
  </sheetViews>
  <sheetFormatPr baseColWidth="8" defaultColWidth="0" defaultRowHeight="11.25" customHeight="1" zeroHeight="1"/>
  <cols>
    <col width="12.7109375" customWidth="1" style="2" min="1" max="1"/>
    <col width="5.7109375" customWidth="1" style="2" min="2" max="32"/>
    <col width="2.28515625" customWidth="1" style="2" min="33" max="33"/>
    <col width="5.7109375" customWidth="1" style="2" min="34" max="34"/>
    <col width="1.28515625" customWidth="1" style="2" min="35" max="35"/>
    <col hidden="1" width="5.7109375" customWidth="1" style="2" min="36" max="89"/>
    <col hidden="1" width="9.140625" customWidth="1" style="2" min="90" max="16384"/>
  </cols>
  <sheetData>
    <row r="1" ht="4.5" customFormat="1" customHeight="1" s="52"/>
    <row r="2" ht="4.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4.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4.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4.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4.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4.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4.5" customFormat="1" customHeight="1" s="52"/>
    <row r="9" ht="15" customHeight="1" s="321"/>
    <row r="10" ht="16.9" customHeight="1" s="321">
      <c r="B10" s="898" t="inlineStr">
        <is>
          <t>Tablo 5.1 Tam Kapasitede İşletme Sermayesi İhtiyacı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4" t="n"/>
      <c r="W10" s="69" t="n"/>
      <c r="X10" s="69" t="n"/>
    </row>
    <row r="11" ht="75" customHeight="1" s="321">
      <c r="B11" s="607" t="inlineStr">
        <is>
          <t>UNSURLAR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4" t="n"/>
      <c r="K11" s="607" t="inlineStr">
        <is>
          <t>Süre (Gün)</t>
        </is>
      </c>
      <c r="L11" s="774" t="n"/>
      <c r="M11" s="607" t="inlineStr">
        <is>
          <t>Yıllık Tutar (Sabit)</t>
        </is>
      </c>
      <c r="N11" s="774" t="n"/>
      <c r="O11" s="607" t="inlineStr">
        <is>
          <t>Yıllık Tutar (Değişken)</t>
        </is>
      </c>
      <c r="P11" s="774" t="n"/>
      <c r="Q11" s="607" t="inlineStr">
        <is>
          <t>İşletme  Sermayesi Tutarı (Sabit) (a)</t>
        </is>
      </c>
      <c r="R11" s="774" t="n"/>
      <c r="S11" s="607" t="inlineStr">
        <is>
          <t xml:space="preserve">İşletme  Sermayesi
Tutarı (Değişken) (b)
</t>
        </is>
      </c>
      <c r="T11" s="774" t="n"/>
      <c r="U11" s="607" t="inlineStr">
        <is>
          <t>Toplam (a+b)</t>
        </is>
      </c>
      <c r="V11" s="774" t="n"/>
      <c r="W11" s="70" t="n"/>
      <c r="X11" s="70" t="n"/>
    </row>
    <row r="12" ht="16.9" customHeight="1" s="321">
      <c r="B12" s="899">
        <f>VeriGiris!B325</f>
        <v/>
      </c>
      <c r="C12" s="773" t="n"/>
      <c r="D12" s="773" t="n"/>
      <c r="E12" s="773" t="n"/>
      <c r="F12" s="773" t="n"/>
      <c r="G12" s="773" t="n"/>
      <c r="H12" s="773" t="n"/>
      <c r="I12" s="773" t="n"/>
      <c r="J12" s="774" t="n"/>
      <c r="K12" s="616" t="n"/>
      <c r="L12" s="774" t="n"/>
      <c r="M12" s="616" t="n"/>
      <c r="N12" s="774" t="n"/>
      <c r="O12" s="616" t="n"/>
      <c r="P12" s="774" t="n"/>
      <c r="Q12" s="616">
        <f>VeriGiris!Q325</f>
        <v/>
      </c>
      <c r="R12" s="774" t="n"/>
      <c r="S12" s="616">
        <f>VeriGiris!S325</f>
        <v/>
      </c>
      <c r="T12" s="774" t="n"/>
      <c r="U12" s="616">
        <f>VeriGiris!U325</f>
        <v/>
      </c>
      <c r="V12" s="774" t="n"/>
      <c r="W12" s="74" t="n"/>
      <c r="X12" s="74" t="n"/>
    </row>
    <row r="13" ht="14.45" customHeight="1" s="321">
      <c r="B13" s="900">
        <f>VeriGiris!B326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4" t="n"/>
      <c r="K13" s="749">
        <f>VeriGiris!K326</f>
        <v/>
      </c>
      <c r="L13" s="774" t="n"/>
      <c r="M13" s="749">
        <f>VeriGiris!M326</f>
        <v/>
      </c>
      <c r="N13" s="774" t="n"/>
      <c r="O13" s="749">
        <f>VeriGiris!O326</f>
        <v/>
      </c>
      <c r="P13" s="774" t="n"/>
      <c r="Q13" s="749">
        <f>VeriGiris!Q326</f>
        <v/>
      </c>
      <c r="R13" s="774" t="n"/>
      <c r="S13" s="749">
        <f>VeriGiris!S326</f>
        <v/>
      </c>
      <c r="T13" s="774" t="n"/>
      <c r="U13" s="749">
        <f>VeriGiris!U326</f>
        <v/>
      </c>
      <c r="V13" s="774" t="n"/>
      <c r="W13" s="74" t="n"/>
      <c r="X13" s="74" t="n"/>
    </row>
    <row r="14" ht="14.45" customHeight="1" s="321">
      <c r="B14" s="900">
        <f>VeriGiris!B327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4" t="n"/>
      <c r="K14" s="749">
        <f>VeriGiris!K327</f>
        <v/>
      </c>
      <c r="L14" s="774" t="n"/>
      <c r="M14" s="749">
        <f>VeriGiris!M327</f>
        <v/>
      </c>
      <c r="N14" s="774" t="n"/>
      <c r="O14" s="749">
        <f>VeriGiris!O327</f>
        <v/>
      </c>
      <c r="P14" s="774" t="n"/>
      <c r="Q14" s="749">
        <f>VeriGiris!Q327</f>
        <v/>
      </c>
      <c r="R14" s="774" t="n"/>
      <c r="S14" s="749">
        <f>VeriGiris!S327</f>
        <v/>
      </c>
      <c r="T14" s="774" t="n"/>
      <c r="U14" s="749">
        <f>VeriGiris!U327</f>
        <v/>
      </c>
      <c r="V14" s="774" t="n"/>
      <c r="W14" s="74" t="n"/>
      <c r="X14" s="74" t="n"/>
    </row>
    <row r="15" ht="14.45" customHeight="1" s="321">
      <c r="B15" s="900">
        <f>VeriGiris!B328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4" t="n"/>
      <c r="K15" s="749">
        <f>VeriGiris!K328</f>
        <v/>
      </c>
      <c r="L15" s="774" t="n"/>
      <c r="M15" s="749">
        <f>VeriGiris!M328</f>
        <v/>
      </c>
      <c r="N15" s="774" t="n"/>
      <c r="O15" s="749">
        <f>VeriGiris!O328</f>
        <v/>
      </c>
      <c r="P15" s="774" t="n"/>
      <c r="Q15" s="749">
        <f>VeriGiris!Q328</f>
        <v/>
      </c>
      <c r="R15" s="774" t="n"/>
      <c r="S15" s="749">
        <f>VeriGiris!S328</f>
        <v/>
      </c>
      <c r="T15" s="774" t="n"/>
      <c r="U15" s="749">
        <f>VeriGiris!U328</f>
        <v/>
      </c>
      <c r="V15" s="774" t="n"/>
      <c r="W15" s="74" t="n"/>
      <c r="X15" s="74" t="n"/>
    </row>
    <row r="16" ht="14.45" customHeight="1" s="321">
      <c r="B16" s="900">
        <f>VeriGiris!B329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4" t="n"/>
      <c r="K16" s="749">
        <f>VeriGiris!K329</f>
        <v/>
      </c>
      <c r="L16" s="774" t="n"/>
      <c r="M16" s="749">
        <f>VeriGiris!M329</f>
        <v/>
      </c>
      <c r="N16" s="774" t="n"/>
      <c r="O16" s="749">
        <f>VeriGiris!O329</f>
        <v/>
      </c>
      <c r="P16" s="774" t="n"/>
      <c r="Q16" s="749">
        <f>VeriGiris!Q329</f>
        <v/>
      </c>
      <c r="R16" s="774" t="n"/>
      <c r="S16" s="749">
        <f>VeriGiris!S329</f>
        <v/>
      </c>
      <c r="T16" s="774" t="n"/>
      <c r="U16" s="749">
        <f>VeriGiris!U329</f>
        <v/>
      </c>
      <c r="V16" s="774" t="n"/>
      <c r="W16" s="74" t="n"/>
      <c r="X16" s="74" t="n"/>
    </row>
    <row r="17" ht="14.45" customHeight="1" s="321">
      <c r="B17" s="899">
        <f>VeriGiris!B330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4" t="n"/>
      <c r="K17" s="616" t="n"/>
      <c r="L17" s="774" t="n"/>
      <c r="M17" s="616" t="n"/>
      <c r="N17" s="774" t="n"/>
      <c r="O17" s="616" t="n"/>
      <c r="P17" s="774" t="n"/>
      <c r="Q17" s="616">
        <f>VeriGiris!Q330</f>
        <v/>
      </c>
      <c r="R17" s="774" t="n"/>
      <c r="S17" s="616">
        <f>VeriGiris!S330</f>
        <v/>
      </c>
      <c r="T17" s="774" t="n"/>
      <c r="U17" s="616">
        <f>VeriGiris!U330</f>
        <v/>
      </c>
      <c r="V17" s="774" t="n"/>
      <c r="W17" s="74" t="n"/>
      <c r="X17" s="74" t="n"/>
    </row>
    <row r="18" ht="15" customHeight="1" s="321">
      <c r="B18" s="900">
        <f>VeriGiris!B331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4" t="n"/>
      <c r="K18" s="749">
        <f>VeriGiris!K331</f>
        <v/>
      </c>
      <c r="L18" s="774" t="n"/>
      <c r="M18" s="749">
        <f>VeriGiris!M331</f>
        <v/>
      </c>
      <c r="N18" s="774" t="n"/>
      <c r="O18" s="749">
        <f>VeriGiris!O331</f>
        <v/>
      </c>
      <c r="P18" s="774" t="n"/>
      <c r="Q18" s="749">
        <f>VeriGiris!Q331</f>
        <v/>
      </c>
      <c r="R18" s="774" t="n"/>
      <c r="S18" s="749">
        <f>VeriGiris!S331</f>
        <v/>
      </c>
      <c r="T18" s="774" t="n"/>
      <c r="U18" s="749">
        <f>VeriGiris!U331</f>
        <v/>
      </c>
      <c r="V18" s="774" t="n"/>
      <c r="W18" s="74" t="n"/>
      <c r="X18" s="74" t="n"/>
    </row>
    <row r="19" ht="15" customHeight="1" s="321">
      <c r="B19" s="900">
        <f>VeriGiris!B332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4" t="n"/>
      <c r="K19" s="749">
        <f>VeriGiris!K332</f>
        <v/>
      </c>
      <c r="L19" s="774" t="n"/>
      <c r="M19" s="749">
        <f>VeriGiris!M332</f>
        <v/>
      </c>
      <c r="N19" s="774" t="n"/>
      <c r="O19" s="749">
        <f>VeriGiris!O332</f>
        <v/>
      </c>
      <c r="P19" s="774" t="n"/>
      <c r="Q19" s="749">
        <f>VeriGiris!Q332</f>
        <v/>
      </c>
      <c r="R19" s="774" t="n"/>
      <c r="S19" s="749">
        <f>VeriGiris!S332</f>
        <v/>
      </c>
      <c r="T19" s="774" t="n"/>
      <c r="U19" s="749">
        <f>VeriGiris!U332</f>
        <v/>
      </c>
      <c r="V19" s="774" t="n"/>
      <c r="W19" s="74" t="n"/>
      <c r="X19" s="74" t="n"/>
    </row>
    <row r="20" ht="14.45" customHeight="1" s="321">
      <c r="B20" s="899">
        <f>VeriGiris!B333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4" t="n"/>
      <c r="K20" s="616" t="n"/>
      <c r="L20" s="774" t="n"/>
      <c r="M20" s="616" t="n"/>
      <c r="N20" s="774" t="n"/>
      <c r="O20" s="616" t="n"/>
      <c r="P20" s="774" t="n"/>
      <c r="Q20" s="616">
        <f>VeriGiris!Q333</f>
        <v/>
      </c>
      <c r="R20" s="774" t="n"/>
      <c r="S20" s="616">
        <f>VeriGiris!S333</f>
        <v/>
      </c>
      <c r="T20" s="774" t="n"/>
      <c r="U20" s="616">
        <f>VeriGiris!U333</f>
        <v/>
      </c>
      <c r="V20" s="774" t="n"/>
      <c r="W20" s="74" t="n"/>
      <c r="X20" s="74" t="n"/>
    </row>
    <row r="21" ht="14.45" customHeight="1" s="321">
      <c r="B21" s="900">
        <f>VeriGiris!B334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4" t="n"/>
      <c r="K21" s="749">
        <f>VeriGiris!K334</f>
        <v/>
      </c>
      <c r="L21" s="774" t="n"/>
      <c r="M21" s="749">
        <f>VeriGiris!M334</f>
        <v/>
      </c>
      <c r="N21" s="774" t="n"/>
      <c r="O21" s="749">
        <f>VeriGiris!O334</f>
        <v/>
      </c>
      <c r="P21" s="774" t="n"/>
      <c r="Q21" s="749">
        <f>VeriGiris!Q334</f>
        <v/>
      </c>
      <c r="R21" s="774" t="n"/>
      <c r="S21" s="749">
        <f>VeriGiris!S334</f>
        <v/>
      </c>
      <c r="T21" s="774" t="n"/>
      <c r="U21" s="749">
        <f>VeriGiris!U334</f>
        <v/>
      </c>
      <c r="V21" s="774" t="n"/>
      <c r="W21" s="74" t="n"/>
      <c r="X21" s="74" t="n"/>
    </row>
    <row r="22" ht="14.45" customHeight="1" s="321">
      <c r="B22" s="900">
        <f>VeriGiris!B335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4" t="n"/>
      <c r="K22" s="749">
        <f>VeriGiris!K335</f>
        <v/>
      </c>
      <c r="L22" s="774" t="n"/>
      <c r="M22" s="749">
        <f>VeriGiris!M335</f>
        <v/>
      </c>
      <c r="N22" s="774" t="n"/>
      <c r="O22" s="749">
        <f>VeriGiris!O335</f>
        <v/>
      </c>
      <c r="P22" s="774" t="n"/>
      <c r="Q22" s="749">
        <f>VeriGiris!Q335</f>
        <v/>
      </c>
      <c r="R22" s="774" t="n"/>
      <c r="S22" s="749">
        <f>VeriGiris!S335</f>
        <v/>
      </c>
      <c r="T22" s="774" t="n"/>
      <c r="U22" s="749">
        <f>VeriGiris!U335</f>
        <v/>
      </c>
      <c r="V22" s="774" t="n"/>
      <c r="W22" s="74" t="n"/>
      <c r="X22" s="74" t="n"/>
    </row>
    <row r="23" ht="14.45" customHeight="1" s="321">
      <c r="B23" s="900">
        <f>VeriGiris!B336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4" t="n"/>
      <c r="K23" s="749">
        <f>VeriGiris!K336</f>
        <v/>
      </c>
      <c r="L23" s="774" t="n"/>
      <c r="M23" s="749">
        <f>VeriGiris!M336</f>
        <v/>
      </c>
      <c r="N23" s="774" t="n"/>
      <c r="O23" s="749">
        <f>VeriGiris!O336</f>
        <v/>
      </c>
      <c r="P23" s="774" t="n"/>
      <c r="Q23" s="749">
        <f>VeriGiris!Q336</f>
        <v/>
      </c>
      <c r="R23" s="774" t="n"/>
      <c r="S23" s="749">
        <f>VeriGiris!S336</f>
        <v/>
      </c>
      <c r="T23" s="774" t="n"/>
      <c r="U23" s="749">
        <f>VeriGiris!U336</f>
        <v/>
      </c>
      <c r="V23" s="774" t="n"/>
      <c r="W23" s="74" t="n"/>
      <c r="X23" s="74" t="n"/>
    </row>
    <row r="24" ht="15" customHeight="1" s="321">
      <c r="B24" s="899">
        <f>VeriGiris!B337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4" t="n"/>
      <c r="K24" s="749">
        <f>VeriGiris!K337</f>
        <v/>
      </c>
      <c r="L24" s="774" t="n"/>
      <c r="M24" s="749">
        <f>VeriGiris!M337</f>
        <v/>
      </c>
      <c r="N24" s="774" t="n"/>
      <c r="O24" s="749">
        <f>VeriGiris!O337</f>
        <v/>
      </c>
      <c r="P24" s="774" t="n"/>
      <c r="Q24" s="749">
        <f>VeriGiris!Q337</f>
        <v/>
      </c>
      <c r="R24" s="774" t="n"/>
      <c r="S24" s="749">
        <f>VeriGiris!S337</f>
        <v/>
      </c>
      <c r="T24" s="774" t="n"/>
      <c r="U24" s="749">
        <f>VeriGiris!U337</f>
        <v/>
      </c>
      <c r="V24" s="774" t="n"/>
      <c r="W24" s="74" t="n"/>
      <c r="X24" s="74" t="n"/>
    </row>
    <row r="25" ht="15" customHeight="1" s="321">
      <c r="B25" s="899">
        <f>VeriGiris!B338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4" t="n"/>
      <c r="K25" s="616" t="n"/>
      <c r="L25" s="774" t="n"/>
      <c r="M25" s="616" t="n"/>
      <c r="N25" s="774" t="n"/>
      <c r="O25" s="616" t="n"/>
      <c r="P25" s="774" t="n"/>
      <c r="Q25" s="616">
        <f>VeriGiris!Q338</f>
        <v/>
      </c>
      <c r="R25" s="774" t="n"/>
      <c r="S25" s="616">
        <f>VeriGiris!S338</f>
        <v/>
      </c>
      <c r="T25" s="774" t="n"/>
      <c r="U25" s="616">
        <f>VeriGiris!U338</f>
        <v/>
      </c>
      <c r="V25" s="774" t="n"/>
      <c r="W25" s="74" t="n"/>
      <c r="X25" s="74" t="n"/>
    </row>
    <row r="26" ht="14.45" customHeight="1" s="321">
      <c r="B26" s="900">
        <f>VeriGiris!B339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4" t="n"/>
      <c r="K26" s="749">
        <f>VeriGiris!K339</f>
        <v/>
      </c>
      <c r="L26" s="774" t="n"/>
      <c r="M26" s="749">
        <f>VeriGiris!M339</f>
        <v/>
      </c>
      <c r="N26" s="774" t="n"/>
      <c r="O26" s="749">
        <f>VeriGiris!O339</f>
        <v/>
      </c>
      <c r="P26" s="774" t="n"/>
      <c r="Q26" s="749">
        <f>VeriGiris!Q339</f>
        <v/>
      </c>
      <c r="R26" s="774" t="n"/>
      <c r="S26" s="749">
        <f>VeriGiris!S339</f>
        <v/>
      </c>
      <c r="T26" s="774" t="n"/>
      <c r="U26" s="749">
        <f>VeriGiris!U339</f>
        <v/>
      </c>
      <c r="V26" s="774" t="n"/>
      <c r="W26" s="74" t="n"/>
      <c r="X26" s="74" t="n"/>
      <c r="Y26" s="36">
        <f>IF(OR(B26="",B26=0),"",1)</f>
        <v/>
      </c>
    </row>
    <row r="27" hidden="1" ht="15" customHeight="1" s="321">
      <c r="B27" s="900">
        <f>VeriGiris!B340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4" t="n"/>
      <c r="K27" s="749">
        <f>VeriGiris!K340</f>
        <v/>
      </c>
      <c r="L27" s="774" t="n"/>
      <c r="M27" s="749">
        <f>VeriGiris!M340</f>
        <v/>
      </c>
      <c r="N27" s="774" t="n"/>
      <c r="O27" s="749">
        <f>VeriGiris!O340</f>
        <v/>
      </c>
      <c r="P27" s="774" t="n"/>
      <c r="Q27" s="749">
        <f>VeriGiris!Q340</f>
        <v/>
      </c>
      <c r="R27" s="774" t="n"/>
      <c r="S27" s="749">
        <f>VeriGiris!S340</f>
        <v/>
      </c>
      <c r="T27" s="774" t="n"/>
      <c r="U27" s="749">
        <f>VeriGiris!U340</f>
        <v/>
      </c>
      <c r="V27" s="774" t="n"/>
      <c r="W27" s="74" t="n"/>
      <c r="X27" s="74" t="n"/>
      <c r="Y27" s="36">
        <f>IF(OR(B27="",B27=0),"",1)</f>
        <v/>
      </c>
    </row>
    <row r="28" hidden="1" ht="15" customHeight="1" s="321">
      <c r="B28" s="900">
        <f>VeriGiris!B341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4" t="n"/>
      <c r="K28" s="749">
        <f>VeriGiris!K341</f>
        <v/>
      </c>
      <c r="L28" s="774" t="n"/>
      <c r="M28" s="749">
        <f>VeriGiris!M341</f>
        <v/>
      </c>
      <c r="N28" s="774" t="n"/>
      <c r="O28" s="749">
        <f>VeriGiris!O341</f>
        <v/>
      </c>
      <c r="P28" s="774" t="n"/>
      <c r="Q28" s="749">
        <f>VeriGiris!Q341</f>
        <v/>
      </c>
      <c r="R28" s="774" t="n"/>
      <c r="S28" s="749">
        <f>VeriGiris!S341</f>
        <v/>
      </c>
      <c r="T28" s="774" t="n"/>
      <c r="U28" s="749">
        <f>VeriGiris!U341</f>
        <v/>
      </c>
      <c r="V28" s="774" t="n"/>
      <c r="W28" s="74" t="n"/>
      <c r="X28" s="74" t="n"/>
      <c r="Y28" s="36">
        <f>IF(OR(B28="",B28=0),"",1)</f>
        <v/>
      </c>
    </row>
    <row r="29" hidden="1" ht="15" customHeight="1" s="321">
      <c r="B29" s="900">
        <f>VeriGiris!B342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4" t="n"/>
      <c r="K29" s="749">
        <f>VeriGiris!K342</f>
        <v/>
      </c>
      <c r="L29" s="774" t="n"/>
      <c r="M29" s="749">
        <f>VeriGiris!M342</f>
        <v/>
      </c>
      <c r="N29" s="774" t="n"/>
      <c r="O29" s="749">
        <f>VeriGiris!O342</f>
        <v/>
      </c>
      <c r="P29" s="774" t="n"/>
      <c r="Q29" s="749">
        <f>VeriGiris!Q342</f>
        <v/>
      </c>
      <c r="R29" s="774" t="n"/>
      <c r="S29" s="749">
        <f>VeriGiris!S342</f>
        <v/>
      </c>
      <c r="T29" s="774" t="n"/>
      <c r="U29" s="749">
        <f>VeriGiris!U342</f>
        <v/>
      </c>
      <c r="V29" s="774" t="n"/>
      <c r="W29" s="74" t="n"/>
      <c r="X29" s="74" t="n"/>
      <c r="Y29" s="36">
        <f>IF(OR(B29="",B29=0),"",1)</f>
        <v/>
      </c>
    </row>
    <row r="30" hidden="1" ht="15" customHeight="1" s="321">
      <c r="B30" s="900">
        <f>VeriGiris!B343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4" t="n"/>
      <c r="K30" s="749">
        <f>VeriGiris!K343</f>
        <v/>
      </c>
      <c r="L30" s="774" t="n"/>
      <c r="M30" s="749">
        <f>VeriGiris!M343</f>
        <v/>
      </c>
      <c r="N30" s="774" t="n"/>
      <c r="O30" s="749">
        <f>VeriGiris!O343</f>
        <v/>
      </c>
      <c r="P30" s="774" t="n"/>
      <c r="Q30" s="749">
        <f>VeriGiris!Q343</f>
        <v/>
      </c>
      <c r="R30" s="774" t="n"/>
      <c r="S30" s="749">
        <f>VeriGiris!S343</f>
        <v/>
      </c>
      <c r="T30" s="774" t="n"/>
      <c r="U30" s="749">
        <f>VeriGiris!U343</f>
        <v/>
      </c>
      <c r="V30" s="774" t="n"/>
      <c r="W30" s="74" t="n"/>
      <c r="X30" s="74" t="n"/>
      <c r="Y30" s="36">
        <f>IF(OR(B30="",B30=0),"",1)</f>
        <v/>
      </c>
    </row>
    <row r="31" hidden="1" ht="15" customHeight="1" s="321">
      <c r="B31" s="900">
        <f>VeriGiris!B344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4" t="n"/>
      <c r="K31" s="749">
        <f>VeriGiris!K344</f>
        <v/>
      </c>
      <c r="L31" s="774" t="n"/>
      <c r="M31" s="749">
        <f>VeriGiris!M344</f>
        <v/>
      </c>
      <c r="N31" s="774" t="n"/>
      <c r="O31" s="749">
        <f>VeriGiris!O344</f>
        <v/>
      </c>
      <c r="P31" s="774" t="n"/>
      <c r="Q31" s="749">
        <f>VeriGiris!Q344</f>
        <v/>
      </c>
      <c r="R31" s="774" t="n"/>
      <c r="S31" s="749">
        <f>VeriGiris!S344</f>
        <v/>
      </c>
      <c r="T31" s="774" t="n"/>
      <c r="U31" s="749">
        <f>VeriGiris!U344</f>
        <v/>
      </c>
      <c r="V31" s="774" t="n"/>
      <c r="W31" s="74" t="n"/>
      <c r="X31" s="74" t="n"/>
      <c r="Y31" s="36">
        <f>IF(OR(B31="",B31=0),"",1)</f>
        <v/>
      </c>
    </row>
    <row r="32" hidden="1" ht="15" customHeight="1" s="321">
      <c r="B32" s="900">
        <f>VeriGiris!B345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4" t="n"/>
      <c r="K32" s="749">
        <f>VeriGiris!K345</f>
        <v/>
      </c>
      <c r="L32" s="774" t="n"/>
      <c r="M32" s="749">
        <f>VeriGiris!M345</f>
        <v/>
      </c>
      <c r="N32" s="774" t="n"/>
      <c r="O32" s="749">
        <f>VeriGiris!O345</f>
        <v/>
      </c>
      <c r="P32" s="774" t="n"/>
      <c r="Q32" s="749">
        <f>VeriGiris!Q345</f>
        <v/>
      </c>
      <c r="R32" s="774" t="n"/>
      <c r="S32" s="749">
        <f>VeriGiris!S345</f>
        <v/>
      </c>
      <c r="T32" s="774" t="n"/>
      <c r="U32" s="749">
        <f>VeriGiris!U345</f>
        <v/>
      </c>
      <c r="V32" s="774" t="n"/>
      <c r="W32" s="74" t="n"/>
      <c r="X32" s="74" t="n"/>
      <c r="Y32" s="36">
        <f>IF(OR(B32="",B32=0),"",1)</f>
        <v/>
      </c>
    </row>
    <row r="33" hidden="1" ht="15" customHeight="1" s="321">
      <c r="B33" s="900">
        <f>VeriGiris!B346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4" t="n"/>
      <c r="K33" s="749">
        <f>VeriGiris!K346</f>
        <v/>
      </c>
      <c r="L33" s="774" t="n"/>
      <c r="M33" s="749">
        <f>VeriGiris!M346</f>
        <v/>
      </c>
      <c r="N33" s="774" t="n"/>
      <c r="O33" s="749">
        <f>VeriGiris!O346</f>
        <v/>
      </c>
      <c r="P33" s="774" t="n"/>
      <c r="Q33" s="749">
        <f>VeriGiris!Q346</f>
        <v/>
      </c>
      <c r="R33" s="774" t="n"/>
      <c r="S33" s="749">
        <f>VeriGiris!S346</f>
        <v/>
      </c>
      <c r="T33" s="774" t="n"/>
      <c r="U33" s="749">
        <f>VeriGiris!U346</f>
        <v/>
      </c>
      <c r="V33" s="774" t="n"/>
      <c r="W33" s="74" t="n"/>
      <c r="X33" s="74" t="n"/>
      <c r="Y33" s="36">
        <f>IF(OR(B33="",B33=0),"",1)</f>
        <v/>
      </c>
    </row>
    <row r="34" hidden="1" ht="15" customHeight="1" s="321">
      <c r="B34" s="900">
        <f>VeriGiris!B347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4" t="n"/>
      <c r="K34" s="749">
        <f>VeriGiris!K347</f>
        <v/>
      </c>
      <c r="L34" s="774" t="n"/>
      <c r="M34" s="749">
        <f>VeriGiris!M347</f>
        <v/>
      </c>
      <c r="N34" s="774" t="n"/>
      <c r="O34" s="749">
        <f>VeriGiris!O347</f>
        <v/>
      </c>
      <c r="P34" s="774" t="n"/>
      <c r="Q34" s="749">
        <f>VeriGiris!Q347</f>
        <v/>
      </c>
      <c r="R34" s="774" t="n"/>
      <c r="S34" s="749">
        <f>VeriGiris!S347</f>
        <v/>
      </c>
      <c r="T34" s="774" t="n"/>
      <c r="U34" s="749">
        <f>VeriGiris!U347</f>
        <v/>
      </c>
      <c r="V34" s="774" t="n"/>
      <c r="W34" s="74" t="n"/>
      <c r="X34" s="74" t="n"/>
      <c r="Y34" s="36">
        <f>IF(OR(B34="",B34=0),"",1)</f>
        <v/>
      </c>
    </row>
    <row r="35" hidden="1" ht="15" customHeight="1" s="321">
      <c r="B35" s="900">
        <f>VeriGiris!B348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4" t="n"/>
      <c r="K35" s="749">
        <f>VeriGiris!K348</f>
        <v/>
      </c>
      <c r="L35" s="774" t="n"/>
      <c r="M35" s="749">
        <f>VeriGiris!M348</f>
        <v/>
      </c>
      <c r="N35" s="774" t="n"/>
      <c r="O35" s="749">
        <f>VeriGiris!O348</f>
        <v/>
      </c>
      <c r="P35" s="774" t="n"/>
      <c r="Q35" s="749">
        <f>VeriGiris!Q348</f>
        <v/>
      </c>
      <c r="R35" s="774" t="n"/>
      <c r="S35" s="749">
        <f>VeriGiris!S348</f>
        <v/>
      </c>
      <c r="T35" s="774" t="n"/>
      <c r="U35" s="749">
        <f>VeriGiris!U348</f>
        <v/>
      </c>
      <c r="V35" s="774" t="n"/>
      <c r="W35" s="74" t="n"/>
      <c r="X35" s="74" t="n"/>
      <c r="Y35" s="36">
        <f>IF(OR(B35="",B35=0),"",1)</f>
        <v/>
      </c>
    </row>
    <row r="36" ht="18" customHeight="1" s="321">
      <c r="B36" s="899" t="inlineStr">
        <is>
          <t>Tam Kapasitede Toplam İşletme Sermayesi İhtiyacı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3" t="n"/>
      <c r="L36" s="773" t="n"/>
      <c r="M36" s="773" t="n"/>
      <c r="N36" s="773" t="n"/>
      <c r="O36" s="773" t="n"/>
      <c r="P36" s="774" t="n"/>
      <c r="Q36" s="583">
        <f>Q12+Q17+Q20+Q24-Q25</f>
        <v/>
      </c>
      <c r="R36" s="774" t="n"/>
      <c r="S36" s="583">
        <f>S12+S17+S20+S24-S25</f>
        <v/>
      </c>
      <c r="T36" s="774" t="n"/>
      <c r="U36" s="583">
        <f>U12+U17+U20+U24-U25</f>
        <v/>
      </c>
      <c r="V36" s="774" t="n"/>
      <c r="W36" s="74" t="n"/>
      <c r="X36" s="74" t="n"/>
    </row>
    <row r="37" ht="6.75" customHeight="1" s="321"/>
    <row r="38" ht="6.75" customFormat="1" customHeight="1" s="8">
      <c r="A38" s="7" t="n"/>
    </row>
    <row r="39" ht="6.75" customFormat="1" customHeight="1" s="8">
      <c r="A39" s="7" t="n"/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  <c r="Z39" s="76" t="n"/>
      <c r="AA39" s="76" t="n"/>
    </row>
    <row r="40" ht="6.75" customFormat="1" customHeight="1" s="8">
      <c r="A40" s="7" t="n"/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  <c r="Z40" s="77" t="n"/>
      <c r="AA40" s="77" t="n"/>
    </row>
    <row r="41" ht="6.75" customFormat="1" customHeight="1" s="8">
      <c r="A41" s="7" t="n"/>
      <c r="B41" s="77" t="n"/>
      <c r="C41" s="77" t="n"/>
      <c r="D41" s="77" t="n"/>
      <c r="E41" s="77" t="n"/>
      <c r="F41" s="77" t="n"/>
      <c r="G41" s="77" t="n"/>
      <c r="H41" s="77" t="n"/>
      <c r="I41" s="77" t="n"/>
      <c r="J41" s="77" t="n"/>
      <c r="K41" s="77" t="n"/>
      <c r="L41" s="77" t="n"/>
      <c r="M41" s="77" t="n"/>
      <c r="N41" s="77" t="n"/>
      <c r="O41" s="77" t="n"/>
      <c r="P41" s="77" t="n"/>
      <c r="Q41" s="77" t="n"/>
      <c r="R41" s="77" t="n"/>
      <c r="S41" s="77" t="n"/>
      <c r="T41" s="77" t="n"/>
      <c r="U41" s="77" t="n"/>
      <c r="V41" s="77" t="n"/>
      <c r="W41" s="77" t="n"/>
      <c r="X41" s="48" t="n"/>
      <c r="Y41" s="48" t="n"/>
      <c r="Z41" s="48" t="n"/>
      <c r="AA41" s="48" t="n"/>
    </row>
    <row r="42" ht="6.75" customFormat="1" customHeight="1" s="8">
      <c r="A42" s="7" t="n"/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77" t="n"/>
      <c r="V42" s="77" t="n"/>
      <c r="W42" s="77" t="n"/>
      <c r="X42" s="48" t="n"/>
      <c r="Y42" s="48" t="n"/>
      <c r="Z42" s="48" t="n"/>
      <c r="AA42" s="48" t="n"/>
    </row>
    <row r="43" ht="6.75" customHeight="1" s="321"/>
    <row r="44" ht="15" customHeight="1" s="321"/>
    <row r="45" ht="14.45" customHeight="1" s="321">
      <c r="B45" s="898" t="inlineStr">
        <is>
          <t xml:space="preserve">Table 5.2-  İşletme Sermayesi Değişimi Tablosu  (TL) </t>
        </is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3" t="n"/>
      <c r="L45" s="773" t="n"/>
      <c r="M45" s="773" t="n"/>
      <c r="N45" s="773" t="n"/>
      <c r="O45" s="773" t="n"/>
      <c r="P45" s="773" t="n"/>
      <c r="Q45" s="773" t="n"/>
      <c r="R45" s="773" t="n"/>
      <c r="S45" s="773" t="n"/>
      <c r="T45" s="773" t="n"/>
      <c r="U45" s="773" t="n"/>
      <c r="V45" s="773" t="n"/>
      <c r="W45" s="773" t="n"/>
      <c r="X45" s="773" t="n"/>
      <c r="Y45" s="773" t="n"/>
      <c r="Z45" s="773" t="n"/>
      <c r="AA45" s="773" t="n"/>
      <c r="AB45" s="773" t="n"/>
      <c r="AC45" s="773" t="n"/>
      <c r="AD45" s="774" t="n"/>
      <c r="AE45" s="72" t="n"/>
      <c r="AF45" s="72" t="n"/>
    </row>
    <row r="46" ht="30.6" customHeight="1" s="321">
      <c r="B46" s="607" t="inlineStr">
        <is>
          <t>UNSURLAR</t>
        </is>
      </c>
      <c r="C46" s="773" t="n"/>
      <c r="D46" s="773" t="n"/>
      <c r="E46" s="773" t="n"/>
      <c r="F46" s="773" t="n"/>
      <c r="G46" s="773" t="n"/>
      <c r="H46" s="774" t="n"/>
      <c r="I46" s="656">
        <f>VeriGiris!I35</f>
        <v/>
      </c>
      <c r="J46" s="774" t="n"/>
      <c r="K46" s="656">
        <f>VeriGiris!K35</f>
        <v/>
      </c>
      <c r="L46" s="774" t="n"/>
      <c r="M46" s="656">
        <f>VeriGiris!M35</f>
        <v/>
      </c>
      <c r="N46" s="774" t="n"/>
      <c r="O46" s="656">
        <f>VeriGiris!O35</f>
        <v/>
      </c>
      <c r="P46" s="774" t="n"/>
      <c r="Q46" s="656">
        <f>VeriGiris!Q35</f>
        <v/>
      </c>
      <c r="R46" s="774" t="n"/>
      <c r="S46" s="656">
        <f>VeriGiris!S35</f>
        <v/>
      </c>
      <c r="T46" s="774" t="n"/>
      <c r="U46" s="656">
        <f>VeriGiris!U35</f>
        <v/>
      </c>
      <c r="V46" s="774" t="n"/>
      <c r="W46" s="656">
        <f>VeriGiris!W35</f>
        <v/>
      </c>
      <c r="X46" s="774" t="n"/>
      <c r="Y46" s="656">
        <f>VeriGiris!Y35</f>
        <v/>
      </c>
      <c r="Z46" s="774" t="n"/>
      <c r="AA46" s="656">
        <f>VeriGiris!AA35</f>
        <v/>
      </c>
      <c r="AB46" s="774" t="n"/>
      <c r="AC46" s="656">
        <f>VeriGiris!AC35</f>
        <v/>
      </c>
      <c r="AD46" s="774" t="n"/>
      <c r="AE46" s="73" t="n"/>
      <c r="AF46" s="73" t="n"/>
    </row>
    <row r="47" ht="32.25" customHeight="1" s="321">
      <c r="B47" s="589" t="inlineStr">
        <is>
          <t>A.Hammadde, Malzeme ve Yakıt  Stoğu (A1+A2+A3+A4)</t>
        </is>
      </c>
      <c r="C47" s="773" t="n"/>
      <c r="D47" s="773" t="n"/>
      <c r="E47" s="773" t="n"/>
      <c r="F47" s="773" t="n"/>
      <c r="G47" s="773" t="n"/>
      <c r="H47" s="774" t="n"/>
      <c r="I47" s="585">
        <f>VeriGiris!W325</f>
        <v/>
      </c>
      <c r="J47" s="774" t="n"/>
      <c r="K47" s="585">
        <f>SUM(K48:L51)</f>
        <v/>
      </c>
      <c r="L47" s="774" t="n"/>
      <c r="M47" s="585">
        <f>SUM(M48:N51)</f>
        <v/>
      </c>
      <c r="N47" s="774" t="n"/>
      <c r="O47" s="585">
        <f>SUM(O48:P51)</f>
        <v/>
      </c>
      <c r="P47" s="774" t="n"/>
      <c r="Q47" s="585">
        <f>SUM(Q48:R51)</f>
        <v/>
      </c>
      <c r="R47" s="774" t="n"/>
      <c r="S47" s="585">
        <f>SUM(S48:T51)</f>
        <v/>
      </c>
      <c r="T47" s="774" t="n"/>
      <c r="U47" s="585">
        <f>SUM(U48:V51)</f>
        <v/>
      </c>
      <c r="V47" s="774" t="n"/>
      <c r="W47" s="585">
        <f>SUM(W48:X51)</f>
        <v/>
      </c>
      <c r="X47" s="774" t="n"/>
      <c r="Y47" s="585">
        <f>SUM(Y48:Z51)</f>
        <v/>
      </c>
      <c r="Z47" s="774" t="n"/>
      <c r="AA47" s="585">
        <f>SUM(AA48:AB51)</f>
        <v/>
      </c>
      <c r="AB47" s="774" t="n"/>
      <c r="AC47" s="585">
        <f>SUM(AC48:AD51)</f>
        <v/>
      </c>
      <c r="AD47" s="774" t="n"/>
      <c r="AE47" s="74" t="n"/>
      <c r="AF47" s="74" t="n"/>
    </row>
    <row r="48" ht="14.45" customHeight="1" s="321">
      <c r="B48" s="900">
        <f>B13</f>
        <v/>
      </c>
      <c r="C48" s="773" t="n"/>
      <c r="D48" s="773" t="n"/>
      <c r="E48" s="773" t="n"/>
      <c r="F48" s="773" t="n"/>
      <c r="G48" s="773" t="n"/>
      <c r="H48" s="774" t="n"/>
      <c r="I48" s="749">
        <f>VeriGiris!W326</f>
        <v/>
      </c>
      <c r="J48" s="774" t="n"/>
      <c r="K48" s="749">
        <f>IFERROR($Q$13+$S$13*cur_1,0)</f>
        <v/>
      </c>
      <c r="L48" s="774" t="n"/>
      <c r="M48" s="749">
        <f>IFERROR($Q$13+$S$13*cur_2,0)</f>
        <v/>
      </c>
      <c r="N48" s="774" t="n"/>
      <c r="O48" s="749">
        <f>IFERROR($Q$13+$S$13*cur_3,0)</f>
        <v/>
      </c>
      <c r="P48" s="774" t="n"/>
      <c r="Q48" s="749">
        <f>IFERROR($Q$13+$S$13*cur_4,0)</f>
        <v/>
      </c>
      <c r="R48" s="774" t="n"/>
      <c r="S48" s="749">
        <f>IFERROR($Q$13+$S$13*cur_5,0)</f>
        <v/>
      </c>
      <c r="T48" s="774" t="n"/>
      <c r="U48" s="749">
        <f>IFERROR($Q$13+$S$13*cur_6,0)</f>
        <v/>
      </c>
      <c r="V48" s="774" t="n"/>
      <c r="W48" s="749">
        <f>IFERROR($Q$13+$S$13*cur_7,0)</f>
        <v/>
      </c>
      <c r="X48" s="774" t="n"/>
      <c r="Y48" s="749">
        <f>IFERROR($Q$13+$S$13*cur_8,0)</f>
        <v/>
      </c>
      <c r="Z48" s="774" t="n"/>
      <c r="AA48" s="749">
        <f>IFERROR($Q$13+$S$13*cur_9,0)</f>
        <v/>
      </c>
      <c r="AB48" s="774" t="n"/>
      <c r="AC48" s="749">
        <f>IFERROR($Q$13+$S$13*cur_10,0)</f>
        <v/>
      </c>
      <c r="AD48" s="774" t="n"/>
      <c r="AE48" s="74" t="n"/>
      <c r="AF48" s="74" t="n"/>
    </row>
    <row r="49" ht="14.45" customHeight="1" s="321">
      <c r="B49" s="900">
        <f>B14</f>
        <v/>
      </c>
      <c r="C49" s="773" t="n"/>
      <c r="D49" s="773" t="n"/>
      <c r="E49" s="773" t="n"/>
      <c r="F49" s="773" t="n"/>
      <c r="G49" s="773" t="n"/>
      <c r="H49" s="774" t="n"/>
      <c r="I49" s="749">
        <f>VeriGiris!W327</f>
        <v/>
      </c>
      <c r="J49" s="774" t="n"/>
      <c r="K49" s="749">
        <f>IFERROR($Q$14+$S$14*cur_1,0)</f>
        <v/>
      </c>
      <c r="L49" s="774" t="n"/>
      <c r="M49" s="749">
        <f>IFERROR($Q$14+$S$14*cur_2,0)</f>
        <v/>
      </c>
      <c r="N49" s="774" t="n"/>
      <c r="O49" s="749">
        <f>IFERROR($Q$14+$S$14*cur_3,0)</f>
        <v/>
      </c>
      <c r="P49" s="774" t="n"/>
      <c r="Q49" s="749">
        <f>IFERROR($Q$14+$S$14*cur_4,0)</f>
        <v/>
      </c>
      <c r="R49" s="774" t="n"/>
      <c r="S49" s="749">
        <f>IFERROR($Q$14+$S$14*cur_5,0)</f>
        <v/>
      </c>
      <c r="T49" s="774" t="n"/>
      <c r="U49" s="749">
        <f>IFERROR($Q$14+$S$14*cur_6,0)</f>
        <v/>
      </c>
      <c r="V49" s="774" t="n"/>
      <c r="W49" s="749">
        <f>IFERROR($Q$14+$S$14*cur_7,0)</f>
        <v/>
      </c>
      <c r="X49" s="774" t="n"/>
      <c r="Y49" s="749">
        <f>IFERROR($Q$14+$S$14*cur_8,0)</f>
        <v/>
      </c>
      <c r="Z49" s="774" t="n"/>
      <c r="AA49" s="749">
        <f>IFERROR($Q$14+$S$14*cur_9,0)</f>
        <v/>
      </c>
      <c r="AB49" s="774" t="n"/>
      <c r="AC49" s="749">
        <f>IFERROR($Q$14+$S$14*cur_10,0)</f>
        <v/>
      </c>
      <c r="AD49" s="774" t="n"/>
      <c r="AE49" s="74" t="n"/>
      <c r="AF49" s="74" t="n"/>
    </row>
    <row r="50" ht="14.45" customHeight="1" s="321">
      <c r="B50" s="900">
        <f>B15</f>
        <v/>
      </c>
      <c r="C50" s="773" t="n"/>
      <c r="D50" s="773" t="n"/>
      <c r="E50" s="773" t="n"/>
      <c r="F50" s="773" t="n"/>
      <c r="G50" s="773" t="n"/>
      <c r="H50" s="774" t="n"/>
      <c r="I50" s="749">
        <f>VeriGiris!W328</f>
        <v/>
      </c>
      <c r="J50" s="774" t="n"/>
      <c r="K50" s="749">
        <f>IFERROR($Q$15+$S$15*cur_1,0)</f>
        <v/>
      </c>
      <c r="L50" s="774" t="n"/>
      <c r="M50" s="749">
        <f>IFERROR($Q$15+$S$15*cur_2,0)</f>
        <v/>
      </c>
      <c r="N50" s="774" t="n"/>
      <c r="O50" s="749">
        <f>IFERROR($Q$15+$S$15*cur_3,0)</f>
        <v/>
      </c>
      <c r="P50" s="774" t="n"/>
      <c r="Q50" s="749">
        <f>IFERROR($Q$15+$S$15*cur_4,0)</f>
        <v/>
      </c>
      <c r="R50" s="774" t="n"/>
      <c r="S50" s="749">
        <f>IFERROR($Q$15+$S$15*cur_5,0)</f>
        <v/>
      </c>
      <c r="T50" s="774" t="n"/>
      <c r="U50" s="749">
        <f>IFERROR($Q$15+$S$15*cur_6,0)</f>
        <v/>
      </c>
      <c r="V50" s="774" t="n"/>
      <c r="W50" s="749">
        <f>IFERROR($Q$15+$S$15*cur_7,0)</f>
        <v/>
      </c>
      <c r="X50" s="774" t="n"/>
      <c r="Y50" s="749">
        <f>IFERROR($Q$15+$S$15*cur_8,0)</f>
        <v/>
      </c>
      <c r="Z50" s="774" t="n"/>
      <c r="AA50" s="749">
        <f>IFERROR($Q$15+$S$15*cur_9,0)</f>
        <v/>
      </c>
      <c r="AB50" s="774" t="n"/>
      <c r="AC50" s="749">
        <f>IFERROR($Q$15+$S$15*cur_10,0)</f>
        <v/>
      </c>
      <c r="AD50" s="774" t="n"/>
      <c r="AE50" s="74" t="n"/>
      <c r="AF50" s="74" t="n"/>
    </row>
    <row r="51" ht="14.45" customHeight="1" s="321">
      <c r="B51" s="900">
        <f>B16</f>
        <v/>
      </c>
      <c r="C51" s="773" t="n"/>
      <c r="D51" s="773" t="n"/>
      <c r="E51" s="773" t="n"/>
      <c r="F51" s="773" t="n"/>
      <c r="G51" s="773" t="n"/>
      <c r="H51" s="774" t="n"/>
      <c r="I51" s="749">
        <f>VeriGiris!W329</f>
        <v/>
      </c>
      <c r="J51" s="774" t="n"/>
      <c r="K51" s="749">
        <f>IFERROR($Q$16+$S$16*cur_1,0)</f>
        <v/>
      </c>
      <c r="L51" s="774" t="n"/>
      <c r="M51" s="749">
        <f>IFERROR($Q$16+$S$16*cur_2,0)</f>
        <v/>
      </c>
      <c r="N51" s="774" t="n"/>
      <c r="O51" s="749">
        <f>IFERROR($Q$16+$S$16*cur_3,0)</f>
        <v/>
      </c>
      <c r="P51" s="774" t="n"/>
      <c r="Q51" s="749">
        <f>IFERROR($Q$16+$S$16*cur_4,0)</f>
        <v/>
      </c>
      <c r="R51" s="774" t="n"/>
      <c r="S51" s="749">
        <f>IFERROR($Q$16+$S$16*cur_5,0)</f>
        <v/>
      </c>
      <c r="T51" s="774" t="n"/>
      <c r="U51" s="749">
        <f>IFERROR($Q$16+$S$16*cur_6,0)</f>
        <v/>
      </c>
      <c r="V51" s="774" t="n"/>
      <c r="W51" s="749">
        <f>IFERROR($Q$16+$S$16*cur_7,0)</f>
        <v/>
      </c>
      <c r="X51" s="774" t="n"/>
      <c r="Y51" s="749">
        <f>IFERROR($Q$16+$S$16*cur_8,0)</f>
        <v/>
      </c>
      <c r="Z51" s="774" t="n"/>
      <c r="AA51" s="749">
        <f>IFERROR($Q$16+$S$16*cur_9,0)</f>
        <v/>
      </c>
      <c r="AB51" s="774" t="n"/>
      <c r="AC51" s="749">
        <f>IFERROR($Q$16+$S$16*cur_10,0)</f>
        <v/>
      </c>
      <c r="AD51" s="774" t="n"/>
      <c r="AE51" s="74" t="n"/>
      <c r="AF51" s="74" t="n"/>
    </row>
    <row r="52" ht="14.45" customHeight="1" s="321">
      <c r="B52" s="589" t="inlineStr">
        <is>
          <t>B. Mamul ve Yarımamul Stoğu (B1+B2)</t>
        </is>
      </c>
      <c r="C52" s="773" t="n"/>
      <c r="D52" s="773" t="n"/>
      <c r="E52" s="773" t="n"/>
      <c r="F52" s="773" t="n"/>
      <c r="G52" s="773" t="n"/>
      <c r="H52" s="774" t="n"/>
      <c r="I52" s="585">
        <f>VeriGiris!W330</f>
        <v/>
      </c>
      <c r="J52" s="774" t="n"/>
      <c r="K52" s="585">
        <f>SUM(K53:L54)</f>
        <v/>
      </c>
      <c r="L52" s="774" t="n"/>
      <c r="M52" s="585">
        <f>SUM(M53:N54)</f>
        <v/>
      </c>
      <c r="N52" s="774" t="n"/>
      <c r="O52" s="585">
        <f>SUM(O53:P54)</f>
        <v/>
      </c>
      <c r="P52" s="774" t="n"/>
      <c r="Q52" s="585">
        <f>SUM(Q53:R54)</f>
        <v/>
      </c>
      <c r="R52" s="774" t="n"/>
      <c r="S52" s="585">
        <f>SUM(S53:T54)</f>
        <v/>
      </c>
      <c r="T52" s="774" t="n"/>
      <c r="U52" s="585">
        <f>SUM(U53:V54)</f>
        <v/>
      </c>
      <c r="V52" s="774" t="n"/>
      <c r="W52" s="585">
        <f>SUM(W53:X54)</f>
        <v/>
      </c>
      <c r="X52" s="774" t="n"/>
      <c r="Y52" s="585">
        <f>SUM(Y53:Z54)</f>
        <v/>
      </c>
      <c r="Z52" s="774" t="n"/>
      <c r="AA52" s="585">
        <f>SUM(AA53:AB54)</f>
        <v/>
      </c>
      <c r="AB52" s="774" t="n"/>
      <c r="AC52" s="585">
        <f>SUM(AC53:AD54)</f>
        <v/>
      </c>
      <c r="AD52" s="774" t="n"/>
      <c r="AE52" s="74" t="n"/>
      <c r="AF52" s="74" t="n"/>
    </row>
    <row r="53" ht="14.45" customHeight="1" s="321">
      <c r="B53" s="900">
        <f>B18</f>
        <v/>
      </c>
      <c r="C53" s="773" t="n"/>
      <c r="D53" s="773" t="n"/>
      <c r="E53" s="773" t="n"/>
      <c r="F53" s="773" t="n"/>
      <c r="G53" s="773" t="n"/>
      <c r="H53" s="774" t="n"/>
      <c r="I53" s="749">
        <f>VeriGiris!W331</f>
        <v/>
      </c>
      <c r="J53" s="774" t="n"/>
      <c r="K53" s="749">
        <f>IFERROR($Q$18+$S$18*cur_1,0)</f>
        <v/>
      </c>
      <c r="L53" s="774" t="n"/>
      <c r="M53" s="749">
        <f>IFERROR($Q$18+$S$18*cur_2,0)</f>
        <v/>
      </c>
      <c r="N53" s="774" t="n"/>
      <c r="O53" s="749">
        <f>IFERROR($Q$18+$S$18*cur_3,0)</f>
        <v/>
      </c>
      <c r="P53" s="774" t="n"/>
      <c r="Q53" s="749">
        <f>IFERROR($Q$18+$S$18*cur_4,0)</f>
        <v/>
      </c>
      <c r="R53" s="774" t="n"/>
      <c r="S53" s="749">
        <f>IFERROR($Q$18+$S$18*cur_5,0)</f>
        <v/>
      </c>
      <c r="T53" s="774" t="n"/>
      <c r="U53" s="749">
        <f>IFERROR($Q$18+$S$18*cur_6,0)</f>
        <v/>
      </c>
      <c r="V53" s="774" t="n"/>
      <c r="W53" s="749">
        <f>IFERROR($Q$18+$S$18*cur_7,0)</f>
        <v/>
      </c>
      <c r="X53" s="774" t="n"/>
      <c r="Y53" s="749">
        <f>IFERROR($Q$18+$S$18*cur_8,0)</f>
        <v/>
      </c>
      <c r="Z53" s="774" t="n"/>
      <c r="AA53" s="749">
        <f>IFERROR($Q$18+$S$18*cur_9,0)</f>
        <v/>
      </c>
      <c r="AB53" s="774" t="n"/>
      <c r="AC53" s="749">
        <f>IFERROR($Q$18+$S$18*cur_10,0)</f>
        <v/>
      </c>
      <c r="AD53" s="774" t="n"/>
      <c r="AE53" s="74" t="n"/>
      <c r="AF53" s="74" t="n"/>
    </row>
    <row r="54" ht="14.45" customHeight="1" s="321">
      <c r="B54" s="900">
        <f>B19</f>
        <v/>
      </c>
      <c r="C54" s="773" t="n"/>
      <c r="D54" s="773" t="n"/>
      <c r="E54" s="773" t="n"/>
      <c r="F54" s="773" t="n"/>
      <c r="G54" s="773" t="n"/>
      <c r="H54" s="774" t="n"/>
      <c r="I54" s="749">
        <f>VeriGiris!W332</f>
        <v/>
      </c>
      <c r="J54" s="774" t="n"/>
      <c r="K54" s="749">
        <f>IFERROR($Q$19+$S$19*cur_1,0)</f>
        <v/>
      </c>
      <c r="L54" s="774" t="n"/>
      <c r="M54" s="749">
        <f>IFERROR($Q$19+$S$19*cur_2,0)</f>
        <v/>
      </c>
      <c r="N54" s="774" t="n"/>
      <c r="O54" s="749">
        <f>IFERROR($Q$19+$S$19*cur_3,0)</f>
        <v/>
      </c>
      <c r="P54" s="774" t="n"/>
      <c r="Q54" s="749">
        <f>IFERROR($Q$19+$S$19*cur_4,0)</f>
        <v/>
      </c>
      <c r="R54" s="774" t="n"/>
      <c r="S54" s="749">
        <f>IFERROR($Q$19+$S$19*cur_5,0)</f>
        <v/>
      </c>
      <c r="T54" s="774" t="n"/>
      <c r="U54" s="749">
        <f>IFERROR($Q$19+$S$19*cur_6,0)</f>
        <v/>
      </c>
      <c r="V54" s="774" t="n"/>
      <c r="W54" s="749">
        <f>IFERROR($Q$19+$S$19*cur_7,0)</f>
        <v/>
      </c>
      <c r="X54" s="774" t="n"/>
      <c r="Y54" s="749">
        <f>IFERROR($Q$19+$S$19*cur_8,0)</f>
        <v/>
      </c>
      <c r="Z54" s="774" t="n"/>
      <c r="AA54" s="749">
        <f>IFERROR($Q$19+$S$19*cur_9,0)</f>
        <v/>
      </c>
      <c r="AB54" s="774" t="n"/>
      <c r="AC54" s="749">
        <f>IFERROR($Q$19+$S$19*cur_10,0)</f>
        <v/>
      </c>
      <c r="AD54" s="774" t="n"/>
      <c r="AE54" s="74" t="n"/>
      <c r="AF54" s="74" t="n"/>
    </row>
    <row r="55" ht="14.45" customHeight="1" s="321">
      <c r="B55" s="589" t="inlineStr">
        <is>
          <t>C. Nakit İhtiyacı (C1+C2+C3)</t>
        </is>
      </c>
      <c r="C55" s="773" t="n"/>
      <c r="D55" s="773" t="n"/>
      <c r="E55" s="773" t="n"/>
      <c r="F55" s="773" t="n"/>
      <c r="G55" s="773" t="n"/>
      <c r="H55" s="774" t="n"/>
      <c r="I55" s="585">
        <f>VeriGiris!W333</f>
        <v/>
      </c>
      <c r="J55" s="774" t="n"/>
      <c r="K55" s="585">
        <f>SUM(K56:L58)</f>
        <v/>
      </c>
      <c r="L55" s="774" t="n"/>
      <c r="M55" s="585">
        <f>SUM(M56:N58)</f>
        <v/>
      </c>
      <c r="N55" s="774" t="n"/>
      <c r="O55" s="585">
        <f>SUM(O56:P58)</f>
        <v/>
      </c>
      <c r="P55" s="774" t="n"/>
      <c r="Q55" s="585">
        <f>SUM(Q56:R58)</f>
        <v/>
      </c>
      <c r="R55" s="774" t="n"/>
      <c r="S55" s="585">
        <f>SUM(S56:T58)</f>
        <v/>
      </c>
      <c r="T55" s="774" t="n"/>
      <c r="U55" s="585">
        <f>SUM(U56:V58)</f>
        <v/>
      </c>
      <c r="V55" s="774" t="n"/>
      <c r="W55" s="585">
        <f>SUM(W56:X58)</f>
        <v/>
      </c>
      <c r="X55" s="774" t="n"/>
      <c r="Y55" s="585">
        <f>SUM(Y56:Z58)</f>
        <v/>
      </c>
      <c r="Z55" s="774" t="n"/>
      <c r="AA55" s="585">
        <f>SUM(AA56:AB58)</f>
        <v/>
      </c>
      <c r="AB55" s="774" t="n"/>
      <c r="AC55" s="585">
        <f>SUM(AC56:AD58)</f>
        <v/>
      </c>
      <c r="AD55" s="774" t="n"/>
      <c r="AE55" s="74" t="n"/>
      <c r="AF55" s="74" t="n"/>
    </row>
    <row r="56" ht="14.45" customHeight="1" s="321">
      <c r="B56" s="900">
        <f>B21</f>
        <v/>
      </c>
      <c r="C56" s="773" t="n"/>
      <c r="D56" s="773" t="n"/>
      <c r="E56" s="773" t="n"/>
      <c r="F56" s="773" t="n"/>
      <c r="G56" s="773" t="n"/>
      <c r="H56" s="774" t="n"/>
      <c r="I56" s="749">
        <f>VeriGiris!W334</f>
        <v/>
      </c>
      <c r="J56" s="774" t="n"/>
      <c r="K56" s="749">
        <f>IFERROR($Q$21+$S$21*cur_1,0)</f>
        <v/>
      </c>
      <c r="L56" s="774" t="n"/>
      <c r="M56" s="749">
        <f>IFERROR($Q$21+$S$21*cur_2,0)</f>
        <v/>
      </c>
      <c r="N56" s="774" t="n"/>
      <c r="O56" s="749">
        <f>IFERROR($Q$21+$S$21*cur_3,0)</f>
        <v/>
      </c>
      <c r="P56" s="774" t="n"/>
      <c r="Q56" s="749">
        <f>IFERROR($Q$21+$S$21*cur_4,0)</f>
        <v/>
      </c>
      <c r="R56" s="774" t="n"/>
      <c r="S56" s="749">
        <f>IFERROR($Q$21+$S$21*cur_5,0)</f>
        <v/>
      </c>
      <c r="T56" s="774" t="n"/>
      <c r="U56" s="749">
        <f>IFERROR($Q$21+$S$21*cur_6,0)</f>
        <v/>
      </c>
      <c r="V56" s="774" t="n"/>
      <c r="W56" s="749">
        <f>IFERROR($Q$21+$S$21*cur_7,0)</f>
        <v/>
      </c>
      <c r="X56" s="774" t="n"/>
      <c r="Y56" s="749">
        <f>IFERROR($Q$21+$S$21*cur_8,0)</f>
        <v/>
      </c>
      <c r="Z56" s="774" t="n"/>
      <c r="AA56" s="749">
        <f>IFERROR($Q$21+$S$21*cur_9,0)</f>
        <v/>
      </c>
      <c r="AB56" s="774" t="n"/>
      <c r="AC56" s="749">
        <f>IFERROR($Q$21+$S$21*cur_10,0)</f>
        <v/>
      </c>
      <c r="AD56" s="774" t="n"/>
      <c r="AE56" s="74" t="n"/>
      <c r="AF56" s="74" t="n"/>
    </row>
    <row r="57" ht="14.45" customHeight="1" s="321">
      <c r="B57" s="900">
        <f>B22</f>
        <v/>
      </c>
      <c r="C57" s="773" t="n"/>
      <c r="D57" s="773" t="n"/>
      <c r="E57" s="773" t="n"/>
      <c r="F57" s="773" t="n"/>
      <c r="G57" s="773" t="n"/>
      <c r="H57" s="774" t="n"/>
      <c r="I57" s="749">
        <f>VeriGiris!W335</f>
        <v/>
      </c>
      <c r="J57" s="774" t="n"/>
      <c r="K57" s="749">
        <f>IFERROR($Q$22+$S$22*cur_1,0)</f>
        <v/>
      </c>
      <c r="L57" s="774" t="n"/>
      <c r="M57" s="749">
        <f>IFERROR($Q$22+$S$22*cur_2,0)</f>
        <v/>
      </c>
      <c r="N57" s="774" t="n"/>
      <c r="O57" s="749">
        <f>IFERROR($Q$22+$S$22*cur_3,0)</f>
        <v/>
      </c>
      <c r="P57" s="774" t="n"/>
      <c r="Q57" s="749">
        <f>IFERROR($Q$22+$S$22*cur_4,0)</f>
        <v/>
      </c>
      <c r="R57" s="774" t="n"/>
      <c r="S57" s="749">
        <f>IFERROR($Q$22+$S$22*cur_5,0)</f>
        <v/>
      </c>
      <c r="T57" s="774" t="n"/>
      <c r="U57" s="749">
        <f>IFERROR($Q$22+$S$22*cur_6,0)</f>
        <v/>
      </c>
      <c r="V57" s="774" t="n"/>
      <c r="W57" s="749">
        <f>IFERROR($Q$22+$S$22*cur_7,0)</f>
        <v/>
      </c>
      <c r="X57" s="774" t="n"/>
      <c r="Y57" s="749">
        <f>IFERROR($Q$22+$S$22*cur_8,0)</f>
        <v/>
      </c>
      <c r="Z57" s="774" t="n"/>
      <c r="AA57" s="749">
        <f>IFERROR($Q$22+$S$22*cur_9,0)</f>
        <v/>
      </c>
      <c r="AB57" s="774" t="n"/>
      <c r="AC57" s="749">
        <f>IFERROR($Q$22+$S$22*cur_10,0)</f>
        <v/>
      </c>
      <c r="AD57" s="774" t="n"/>
      <c r="AE57" s="74" t="n"/>
      <c r="AF57" s="74" t="n"/>
    </row>
    <row r="58" ht="14.45" customHeight="1" s="321">
      <c r="B58" s="900">
        <f>B23</f>
        <v/>
      </c>
      <c r="C58" s="773" t="n"/>
      <c r="D58" s="773" t="n"/>
      <c r="E58" s="773" t="n"/>
      <c r="F58" s="773" t="n"/>
      <c r="G58" s="773" t="n"/>
      <c r="H58" s="774" t="n"/>
      <c r="I58" s="749">
        <f>VeriGiris!W336</f>
        <v/>
      </c>
      <c r="J58" s="774" t="n"/>
      <c r="K58" s="749">
        <f>IFERROR($Q$23+$S$23*cur_1,0)</f>
        <v/>
      </c>
      <c r="L58" s="774" t="n"/>
      <c r="M58" s="749">
        <f>IFERROR($Q$23+$S$23*cur_2,0)</f>
        <v/>
      </c>
      <c r="N58" s="774" t="n"/>
      <c r="O58" s="749">
        <f>IFERROR($Q$23+$S$23*cur_3,0)</f>
        <v/>
      </c>
      <c r="P58" s="774" t="n"/>
      <c r="Q58" s="749">
        <f>IFERROR($Q$23+$S$23*cur_4,0)</f>
        <v/>
      </c>
      <c r="R58" s="774" t="n"/>
      <c r="S58" s="749">
        <f>IFERROR($Q$23+$S$23*cur_5,0)</f>
        <v/>
      </c>
      <c r="T58" s="774" t="n"/>
      <c r="U58" s="749">
        <f>IFERROR($Q$23+$S$23*cur_6,0)</f>
        <v/>
      </c>
      <c r="V58" s="774" t="n"/>
      <c r="W58" s="749">
        <f>IFERROR($Q$23+$S$23*cur_7,0)</f>
        <v/>
      </c>
      <c r="X58" s="774" t="n"/>
      <c r="Y58" s="749">
        <f>IFERROR($Q$23+$S$23*cur_8,0)</f>
        <v/>
      </c>
      <c r="Z58" s="774" t="n"/>
      <c r="AA58" s="749">
        <f>IFERROR($Q$23+$S$23*cur_9,0)</f>
        <v/>
      </c>
      <c r="AB58" s="774" t="n"/>
      <c r="AC58" s="749">
        <f>IFERROR($Q$23+$S$23*cur_10,0)</f>
        <v/>
      </c>
      <c r="AD58" s="774" t="n"/>
      <c r="AE58" s="74" t="n"/>
      <c r="AF58" s="74" t="n"/>
    </row>
    <row r="59" ht="14.45" customHeight="1" s="321">
      <c r="B59" s="589" t="inlineStr">
        <is>
          <t>D. Vadeli Satışlar</t>
        </is>
      </c>
      <c r="C59" s="773" t="n"/>
      <c r="D59" s="773" t="n"/>
      <c r="E59" s="773" t="n"/>
      <c r="F59" s="773" t="n"/>
      <c r="G59" s="773" t="n"/>
      <c r="H59" s="774" t="n"/>
      <c r="I59" s="585">
        <f>VeriGiris!W337</f>
        <v/>
      </c>
      <c r="J59" s="774" t="n"/>
      <c r="K59" s="585">
        <f>IFERROR($Q$24+$S$24*cur_1,0)</f>
        <v/>
      </c>
      <c r="L59" s="774" t="n"/>
      <c r="M59" s="585">
        <f>IFERROR($Q$24+$S$24*cur_2,0)</f>
        <v/>
      </c>
      <c r="N59" s="774" t="n"/>
      <c r="O59" s="585">
        <f>IFERROR($Q$24+$S$24*cur_3,0)</f>
        <v/>
      </c>
      <c r="P59" s="774" t="n"/>
      <c r="Q59" s="585">
        <f>IFERROR($Q$24+$S$24*cur_4,0)</f>
        <v/>
      </c>
      <c r="R59" s="774" t="n"/>
      <c r="S59" s="585">
        <f>IFERROR($Q$24+$S$24*cur_5,0)</f>
        <v/>
      </c>
      <c r="T59" s="774" t="n"/>
      <c r="U59" s="585">
        <f>IFERROR($Q$24+$S$24*cur_6,0)</f>
        <v/>
      </c>
      <c r="V59" s="774" t="n"/>
      <c r="W59" s="585">
        <f>IFERROR($Q$24+$S$24*cur_7,0)</f>
        <v/>
      </c>
      <c r="X59" s="774" t="n"/>
      <c r="Y59" s="585">
        <f>IFERROR($Q$24+$S$24*cur_8,0)</f>
        <v/>
      </c>
      <c r="Z59" s="774" t="n"/>
      <c r="AA59" s="585">
        <f>IFERROR($Q$24+$S$24*cur_9,0)</f>
        <v/>
      </c>
      <c r="AB59" s="774" t="n"/>
      <c r="AC59" s="585">
        <f>IFERROR($Q$24+$S$24*cur_10,0)</f>
        <v/>
      </c>
      <c r="AD59" s="774" t="n"/>
      <c r="AE59" s="74" t="n"/>
      <c r="AF59" s="74" t="n"/>
    </row>
    <row r="60" ht="14.45" customHeight="1" s="321">
      <c r="B60" s="589" t="inlineStr">
        <is>
          <t>E. Vadeli Alışlar (E1+E2+…)</t>
        </is>
      </c>
      <c r="C60" s="773" t="n"/>
      <c r="D60" s="773" t="n"/>
      <c r="E60" s="773" t="n"/>
      <c r="F60" s="773" t="n"/>
      <c r="G60" s="773" t="n"/>
      <c r="H60" s="774" t="n"/>
      <c r="I60" s="585">
        <f>VeriGiris!W338</f>
        <v/>
      </c>
      <c r="J60" s="774" t="n"/>
      <c r="K60" s="585">
        <f>SUM(K61:L70)</f>
        <v/>
      </c>
      <c r="L60" s="774" t="n"/>
      <c r="M60" s="585">
        <f>SUM(M61:N70)</f>
        <v/>
      </c>
      <c r="N60" s="774" t="n"/>
      <c r="O60" s="585">
        <f>SUM(O61:P70)</f>
        <v/>
      </c>
      <c r="P60" s="774" t="n"/>
      <c r="Q60" s="585">
        <f>SUM(Q61:R70)</f>
        <v/>
      </c>
      <c r="R60" s="774" t="n"/>
      <c r="S60" s="585">
        <f>SUM(S61:T70)</f>
        <v/>
      </c>
      <c r="T60" s="774" t="n"/>
      <c r="U60" s="585">
        <f>SUM(U61:V70)</f>
        <v/>
      </c>
      <c r="V60" s="774" t="n"/>
      <c r="W60" s="585">
        <f>SUM(W61:X70)</f>
        <v/>
      </c>
      <c r="X60" s="774" t="n"/>
      <c r="Y60" s="585">
        <f>SUM(Y61:Z70)</f>
        <v/>
      </c>
      <c r="Z60" s="774" t="n"/>
      <c r="AA60" s="585">
        <f>SUM(AA61:AB70)</f>
        <v/>
      </c>
      <c r="AB60" s="774" t="n"/>
      <c r="AC60" s="585">
        <f>SUM(AC61:AD70)</f>
        <v/>
      </c>
      <c r="AD60" s="774" t="n"/>
      <c r="AE60" s="74" t="n"/>
      <c r="AF60" s="74" t="n"/>
    </row>
    <row r="61" ht="14.45" customFormat="1" customHeight="1" s="32">
      <c r="A61" s="2" t="n"/>
      <c r="B61" s="900">
        <f>B26</f>
        <v/>
      </c>
      <c r="C61" s="773" t="n"/>
      <c r="D61" s="773" t="n"/>
      <c r="E61" s="773" t="n"/>
      <c r="F61" s="773" t="n"/>
      <c r="G61" s="773" t="n"/>
      <c r="H61" s="774" t="n"/>
      <c r="I61" s="749">
        <f>VeriGiris!W339</f>
        <v/>
      </c>
      <c r="J61" s="774" t="n"/>
      <c r="K61" s="749">
        <f>IFERROR($Q$26+$S$26*cur_1,0)</f>
        <v/>
      </c>
      <c r="L61" s="774" t="n"/>
      <c r="M61" s="749">
        <f>IFERROR($Q$26+$S$26*cur_2,0)</f>
        <v/>
      </c>
      <c r="N61" s="774" t="n"/>
      <c r="O61" s="749">
        <f>IFERROR($Q$26+$S$26*cur_3,0)</f>
        <v/>
      </c>
      <c r="P61" s="774" t="n"/>
      <c r="Q61" s="749">
        <f>IFERROR($Q$26+$S$26*cur_4,0)</f>
        <v/>
      </c>
      <c r="R61" s="774" t="n"/>
      <c r="S61" s="749">
        <f>IFERROR($Q$26+$S$26*cur_5,0)</f>
        <v/>
      </c>
      <c r="T61" s="774" t="n"/>
      <c r="U61" s="749">
        <f>IFERROR($Q$26+$S$26*cur_6,0)</f>
        <v/>
      </c>
      <c r="V61" s="774" t="n"/>
      <c r="W61" s="749">
        <f>IFERROR($Q$26+$S$26*cur_7,0)</f>
        <v/>
      </c>
      <c r="X61" s="774" t="n"/>
      <c r="Y61" s="749">
        <f>IFERROR($Q$26+$S$26*cur_8,0)</f>
        <v/>
      </c>
      <c r="Z61" s="774" t="n"/>
      <c r="AA61" s="749">
        <f>IFERROR($Q$26+$S$26*cur_9,0)</f>
        <v/>
      </c>
      <c r="AB61" s="774" t="n"/>
      <c r="AC61" s="749">
        <f>IFERROR($Q$26+$S$26*cur_10,0)</f>
        <v/>
      </c>
      <c r="AD61" s="774" t="n"/>
      <c r="AE61" s="74" t="n"/>
      <c r="AF61" s="74" t="n"/>
      <c r="AG61" s="36">
        <f>IF(OR(B61="",B61=0),"",1)</f>
        <v/>
      </c>
    </row>
    <row r="62" hidden="1" ht="15" customFormat="1" customHeight="1" s="32">
      <c r="A62" s="2" t="n"/>
      <c r="B62" s="900">
        <f>B27</f>
        <v/>
      </c>
      <c r="C62" s="773" t="n"/>
      <c r="D62" s="773" t="n"/>
      <c r="E62" s="773" t="n"/>
      <c r="F62" s="773" t="n"/>
      <c r="G62" s="773" t="n"/>
      <c r="H62" s="774" t="n"/>
      <c r="I62" s="749">
        <f>VeriGiris!W340</f>
        <v/>
      </c>
      <c r="J62" s="774" t="n"/>
      <c r="K62" s="749">
        <f>IFERROR($Q$27+$S$27*cur_1,0)</f>
        <v/>
      </c>
      <c r="L62" s="774" t="n"/>
      <c r="M62" s="749">
        <f>IFERROR($Q$27+$S$27*cur_2,0)</f>
        <v/>
      </c>
      <c r="N62" s="774" t="n"/>
      <c r="O62" s="749">
        <f>IFERROR($Q$27+$S$27*cur_3,0)</f>
        <v/>
      </c>
      <c r="P62" s="774" t="n"/>
      <c r="Q62" s="749">
        <f>IFERROR($Q$27+$S$27*cur_4,0)</f>
        <v/>
      </c>
      <c r="R62" s="774" t="n"/>
      <c r="S62" s="749">
        <f>IFERROR($Q$27+$S$27*cur_5,0)</f>
        <v/>
      </c>
      <c r="T62" s="774" t="n"/>
      <c r="U62" s="749">
        <f>IFERROR($Q$27+$S$27*cur_6,0)</f>
        <v/>
      </c>
      <c r="V62" s="774" t="n"/>
      <c r="W62" s="749">
        <f>IFERROR($Q$27+$S$27*cur_7,0)</f>
        <v/>
      </c>
      <c r="X62" s="774" t="n"/>
      <c r="Y62" s="749">
        <f>IFERROR($Q$27+$S$27*cur_8,0)</f>
        <v/>
      </c>
      <c r="Z62" s="774" t="n"/>
      <c r="AA62" s="749">
        <f>IFERROR($Q$27+$S$27*cur_9,0)</f>
        <v/>
      </c>
      <c r="AB62" s="774" t="n"/>
      <c r="AC62" s="749">
        <f>IFERROR($Q$27+$S$27*cur_10,0)</f>
        <v/>
      </c>
      <c r="AD62" s="774" t="n"/>
      <c r="AE62" s="74" t="n"/>
      <c r="AF62" s="74" t="n"/>
      <c r="AG62" s="36">
        <f>IF(OR(B62="",B62=0),"",1)</f>
        <v/>
      </c>
    </row>
    <row r="63" hidden="1" ht="15" customFormat="1" customHeight="1" s="32">
      <c r="A63" s="2" t="n"/>
      <c r="B63" s="900">
        <f>B28</f>
        <v/>
      </c>
      <c r="C63" s="773" t="n"/>
      <c r="D63" s="773" t="n"/>
      <c r="E63" s="773" t="n"/>
      <c r="F63" s="773" t="n"/>
      <c r="G63" s="773" t="n"/>
      <c r="H63" s="774" t="n"/>
      <c r="I63" s="749">
        <f>VeriGiris!W341</f>
        <v/>
      </c>
      <c r="J63" s="774" t="n"/>
      <c r="K63" s="749">
        <f>IFERROR($Q$28+$S$28*cur_1,0)</f>
        <v/>
      </c>
      <c r="L63" s="774" t="n"/>
      <c r="M63" s="749">
        <f>IFERROR($Q$28+$S$28*cur_2,0)</f>
        <v/>
      </c>
      <c r="N63" s="774" t="n"/>
      <c r="O63" s="749">
        <f>IFERROR($Q$28+$S$28*Kapasite!O112,0)</f>
        <v/>
      </c>
      <c r="P63" s="774" t="n"/>
      <c r="Q63" s="749">
        <f>IFERROR($Q$28+$S$28*cur_4,0)</f>
        <v/>
      </c>
      <c r="R63" s="774" t="n"/>
      <c r="S63" s="749">
        <f>IFERROR($Q$28+$S$28*cur_5,0)</f>
        <v/>
      </c>
      <c r="T63" s="774" t="n"/>
      <c r="U63" s="749">
        <f>IFERROR($Q$28+$S$28*cur_6,0)</f>
        <v/>
      </c>
      <c r="V63" s="774" t="n"/>
      <c r="W63" s="749">
        <f>IFERROR($Q$28+$S$28*cur_7,0)</f>
        <v/>
      </c>
      <c r="X63" s="774" t="n"/>
      <c r="Y63" s="749">
        <f>IFERROR($Q$28+$S$28*cur_8,0)</f>
        <v/>
      </c>
      <c r="Z63" s="774" t="n"/>
      <c r="AA63" s="749">
        <f>IFERROR($Q$28+$S$28*cur_9,0)</f>
        <v/>
      </c>
      <c r="AB63" s="774" t="n"/>
      <c r="AC63" s="749">
        <f>IFERROR($Q$28+$S$28*cur_10,0)</f>
        <v/>
      </c>
      <c r="AD63" s="774" t="n"/>
      <c r="AE63" s="74" t="n"/>
      <c r="AF63" s="74" t="n"/>
      <c r="AG63" s="36">
        <f>IF(OR(B63="",B63=0),"",1)</f>
        <v/>
      </c>
    </row>
    <row r="64" hidden="1" ht="15" customFormat="1" customHeight="1" s="32">
      <c r="A64" s="2" t="n"/>
      <c r="B64" s="900">
        <f>B29</f>
        <v/>
      </c>
      <c r="C64" s="773" t="n"/>
      <c r="D64" s="773" t="n"/>
      <c r="E64" s="773" t="n"/>
      <c r="F64" s="773" t="n"/>
      <c r="G64" s="773" t="n"/>
      <c r="H64" s="774" t="n"/>
      <c r="I64" s="749">
        <f>VeriGiris!W342</f>
        <v/>
      </c>
      <c r="J64" s="774" t="n"/>
      <c r="K64" s="749">
        <f>IFERROR($Q$29+$S$29*cur_1,0)</f>
        <v/>
      </c>
      <c r="L64" s="774" t="n"/>
      <c r="M64" s="749">
        <f>IFERROR($Q$29+$S$29*cur_2,0)</f>
        <v/>
      </c>
      <c r="N64" s="774" t="n"/>
      <c r="O64" s="749">
        <f>IFERROR($Q$29+$S$29*cur_3,0)</f>
        <v/>
      </c>
      <c r="P64" s="774" t="n"/>
      <c r="Q64" s="749">
        <f>IFERROR($Q$29+$S$29*cur_4,0)</f>
        <v/>
      </c>
      <c r="R64" s="774" t="n"/>
      <c r="S64" s="749">
        <f>IFERROR($Q$29+$S$29*cur_5,0)</f>
        <v/>
      </c>
      <c r="T64" s="774" t="n"/>
      <c r="U64" s="749">
        <f>IFERROR($Q$29+$S$29*cur_6,0)</f>
        <v/>
      </c>
      <c r="V64" s="774" t="n"/>
      <c r="W64" s="749">
        <f>IFERROR($Q$29+$S$29*cur_7,0)</f>
        <v/>
      </c>
      <c r="X64" s="774" t="n"/>
      <c r="Y64" s="749">
        <f>IFERROR($Q$29+$S$29*cur_8,0)</f>
        <v/>
      </c>
      <c r="Z64" s="774" t="n"/>
      <c r="AA64" s="749">
        <f>IFERROR($Q$29+$S$29*cur_9,0)</f>
        <v/>
      </c>
      <c r="AB64" s="774" t="n"/>
      <c r="AC64" s="749">
        <f>IFERROR($Q$29+$S$29*cur_10,0)</f>
        <v/>
      </c>
      <c r="AD64" s="774" t="n"/>
      <c r="AE64" s="74" t="n"/>
      <c r="AF64" s="74" t="n"/>
      <c r="AG64" s="36">
        <f>IF(OR(B64="",B64=0),"",1)</f>
        <v/>
      </c>
    </row>
    <row r="65" hidden="1" ht="15" customFormat="1" customHeight="1" s="32">
      <c r="A65" s="2" t="n"/>
      <c r="B65" s="900">
        <f>B30</f>
        <v/>
      </c>
      <c r="C65" s="773" t="n"/>
      <c r="D65" s="773" t="n"/>
      <c r="E65" s="773" t="n"/>
      <c r="F65" s="773" t="n"/>
      <c r="G65" s="773" t="n"/>
      <c r="H65" s="774" t="n"/>
      <c r="I65" s="749">
        <f>VeriGiris!W343</f>
        <v/>
      </c>
      <c r="J65" s="774" t="n"/>
      <c r="K65" s="749">
        <f>IFERROR($Q$30+$S$30*cur_1,0)</f>
        <v/>
      </c>
      <c r="L65" s="774" t="n"/>
      <c r="M65" s="749">
        <f>IFERROR($Q$30+$S$30*cur_2,0)</f>
        <v/>
      </c>
      <c r="N65" s="774" t="n"/>
      <c r="O65" s="749">
        <f>IFERROR($Q$30+$S$30*cur_3,0)</f>
        <v/>
      </c>
      <c r="P65" s="774" t="n"/>
      <c r="Q65" s="749">
        <f>IFERROR($Q$30+$S$30*cur_4,0)</f>
        <v/>
      </c>
      <c r="R65" s="774" t="n"/>
      <c r="S65" s="749">
        <f>IFERROR($Q$30+$S$30*cur_5,0)</f>
        <v/>
      </c>
      <c r="T65" s="774" t="n"/>
      <c r="U65" s="749">
        <f>IFERROR($Q$30+$S$30*cur_6,0)</f>
        <v/>
      </c>
      <c r="V65" s="774" t="n"/>
      <c r="W65" s="749">
        <f>IFERROR($Q$30+$S$30*cur_7,0)</f>
        <v/>
      </c>
      <c r="X65" s="774" t="n"/>
      <c r="Y65" s="749">
        <f>IFERROR($Q$30+$S$30*cur_8,0)</f>
        <v/>
      </c>
      <c r="Z65" s="774" t="n"/>
      <c r="AA65" s="749">
        <f>IFERROR($Q$30+$S$30*cur_9,0)</f>
        <v/>
      </c>
      <c r="AB65" s="774" t="n"/>
      <c r="AC65" s="749">
        <f>IFERROR($Q$30+$S$30*cur_10,0)</f>
        <v/>
      </c>
      <c r="AD65" s="774" t="n"/>
      <c r="AE65" s="74" t="n"/>
      <c r="AF65" s="74" t="n"/>
      <c r="AG65" s="36">
        <f>IF(OR(B65="",B65=0),"",1)</f>
        <v/>
      </c>
    </row>
    <row r="66" hidden="1" ht="15" customFormat="1" customHeight="1" s="32">
      <c r="A66" s="2" t="n"/>
      <c r="B66" s="900">
        <f>B31</f>
        <v/>
      </c>
      <c r="C66" s="773" t="n"/>
      <c r="D66" s="773" t="n"/>
      <c r="E66" s="773" t="n"/>
      <c r="F66" s="773" t="n"/>
      <c r="G66" s="773" t="n"/>
      <c r="H66" s="774" t="n"/>
      <c r="I66" s="749">
        <f>VeriGiris!W344</f>
        <v/>
      </c>
      <c r="J66" s="774" t="n"/>
      <c r="K66" s="749">
        <f>IFERROR($Q$31+$S$31*cur_1,0)</f>
        <v/>
      </c>
      <c r="L66" s="774" t="n"/>
      <c r="M66" s="749">
        <f>IFERROR($Q$31+$S$31*cur_2,0)</f>
        <v/>
      </c>
      <c r="N66" s="774" t="n"/>
      <c r="O66" s="749">
        <f>IFERROR($Q$31+$S$31*cur_3,0)</f>
        <v/>
      </c>
      <c r="P66" s="774" t="n"/>
      <c r="Q66" s="749">
        <f>IFERROR($Q$31+$S$31*cur_4,0)</f>
        <v/>
      </c>
      <c r="R66" s="774" t="n"/>
      <c r="S66" s="749">
        <f>IFERROR($Q$31+$S$31*cur_5,0)</f>
        <v/>
      </c>
      <c r="T66" s="774" t="n"/>
      <c r="U66" s="749">
        <f>IFERROR($Q$31+$S$31*cur_6,0)</f>
        <v/>
      </c>
      <c r="V66" s="774" t="n"/>
      <c r="W66" s="749">
        <f>IFERROR($Q$31+$S$31*cur_7,0)</f>
        <v/>
      </c>
      <c r="X66" s="774" t="n"/>
      <c r="Y66" s="749">
        <f>IFERROR($Q$31+$S$31*cur_8,0)</f>
        <v/>
      </c>
      <c r="Z66" s="774" t="n"/>
      <c r="AA66" s="749">
        <f>IFERROR($Q$31+$S$31*cur_9,0)</f>
        <v/>
      </c>
      <c r="AB66" s="774" t="n"/>
      <c r="AC66" s="749">
        <f>IFERROR($Q$31+$S$31*cur_10,0)</f>
        <v/>
      </c>
      <c r="AD66" s="774" t="n"/>
      <c r="AE66" s="74" t="n"/>
      <c r="AF66" s="74" t="n"/>
      <c r="AG66" s="36">
        <f>IF(OR(B66="",B66=0),"",1)</f>
        <v/>
      </c>
    </row>
    <row r="67" hidden="1" ht="15" customFormat="1" customHeight="1" s="32">
      <c r="A67" s="2" t="n"/>
      <c r="B67" s="900">
        <f>B32</f>
        <v/>
      </c>
      <c r="C67" s="773" t="n"/>
      <c r="D67" s="773" t="n"/>
      <c r="E67" s="773" t="n"/>
      <c r="F67" s="773" t="n"/>
      <c r="G67" s="773" t="n"/>
      <c r="H67" s="774" t="n"/>
      <c r="I67" s="749">
        <f>VeriGiris!W345</f>
        <v/>
      </c>
      <c r="J67" s="774" t="n"/>
      <c r="K67" s="749">
        <f>IFERROR($Q$32+$S$32*cur_1,0)</f>
        <v/>
      </c>
      <c r="L67" s="774" t="n"/>
      <c r="M67" s="749">
        <f>IFERROR($Q$32+$S$32*cur_2,0)</f>
        <v/>
      </c>
      <c r="N67" s="774" t="n"/>
      <c r="O67" s="749">
        <f>IFERROR($Q$32+$S$32*cur_3,0)</f>
        <v/>
      </c>
      <c r="P67" s="774" t="n"/>
      <c r="Q67" s="749">
        <f>IFERROR($Q$32+$S$32*cur_4,0)</f>
        <v/>
      </c>
      <c r="R67" s="774" t="n"/>
      <c r="S67" s="749">
        <f>IFERROR($Q$32+$S$32*cur_5,0)</f>
        <v/>
      </c>
      <c r="T67" s="774" t="n"/>
      <c r="U67" s="749">
        <f>IFERROR($Q$32+$S$32*cur_6,0)</f>
        <v/>
      </c>
      <c r="V67" s="774" t="n"/>
      <c r="W67" s="749">
        <f>IFERROR($Q$32+$S$32*cur_7,0)</f>
        <v/>
      </c>
      <c r="X67" s="774" t="n"/>
      <c r="Y67" s="749">
        <f>IFERROR($Q$32+$S$32*cur_8,0)</f>
        <v/>
      </c>
      <c r="Z67" s="774" t="n"/>
      <c r="AA67" s="749">
        <f>IFERROR($Q$32+$S$32*cur_9,0)</f>
        <v/>
      </c>
      <c r="AB67" s="774" t="n"/>
      <c r="AC67" s="749">
        <f>IFERROR($Q$32+$S$32*cur_10,0)</f>
        <v/>
      </c>
      <c r="AD67" s="774" t="n"/>
      <c r="AE67" s="74" t="n"/>
      <c r="AF67" s="74" t="n"/>
      <c r="AG67" s="36">
        <f>IF(OR(B67="",B67=0),"",1)</f>
        <v/>
      </c>
    </row>
    <row r="68" hidden="1" ht="15" customFormat="1" customHeight="1" s="32">
      <c r="A68" s="2" t="n"/>
      <c r="B68" s="900">
        <f>B33</f>
        <v/>
      </c>
      <c r="C68" s="773" t="n"/>
      <c r="D68" s="773" t="n"/>
      <c r="E68" s="773" t="n"/>
      <c r="F68" s="773" t="n"/>
      <c r="G68" s="773" t="n"/>
      <c r="H68" s="774" t="n"/>
      <c r="I68" s="749">
        <f>VeriGiris!W346</f>
        <v/>
      </c>
      <c r="J68" s="774" t="n"/>
      <c r="K68" s="749">
        <f>IFERROR($Q$33+$S$33*cur_1,0)</f>
        <v/>
      </c>
      <c r="L68" s="774" t="n"/>
      <c r="M68" s="749">
        <f>IFERROR($Q$33+$S$33*cur_2,0)</f>
        <v/>
      </c>
      <c r="N68" s="774" t="n"/>
      <c r="O68" s="749">
        <f>IFERROR($Q$33+$S$33*cur_3,0)</f>
        <v/>
      </c>
      <c r="P68" s="774" t="n"/>
      <c r="Q68" s="749">
        <f>IFERROR($Q$33+$S$33*cur_4,0)</f>
        <v/>
      </c>
      <c r="R68" s="774" t="n"/>
      <c r="S68" s="749">
        <f>IFERROR($Q$33+$S$33*cur_5,0)</f>
        <v/>
      </c>
      <c r="T68" s="774" t="n"/>
      <c r="U68" s="749">
        <f>IFERROR($Q$33+$S$33*cur_6,0)</f>
        <v/>
      </c>
      <c r="V68" s="774" t="n"/>
      <c r="W68" s="749">
        <f>IFERROR($Q$33+$S$33*cur_7,0)</f>
        <v/>
      </c>
      <c r="X68" s="774" t="n"/>
      <c r="Y68" s="749">
        <f>IFERROR($Q$33+$S$33*cur_8,0)</f>
        <v/>
      </c>
      <c r="Z68" s="774" t="n"/>
      <c r="AA68" s="749">
        <f>IFERROR($Q$33+$S$33*cur_9,0)</f>
        <v/>
      </c>
      <c r="AB68" s="774" t="n"/>
      <c r="AC68" s="749">
        <f>IFERROR($Q$33+$S$33*cur_10,0)</f>
        <v/>
      </c>
      <c r="AD68" s="774" t="n"/>
      <c r="AE68" s="74" t="n"/>
      <c r="AF68" s="74" t="n"/>
      <c r="AG68" s="36">
        <f>IF(OR(B68="",B68=0),"",1)</f>
        <v/>
      </c>
    </row>
    <row r="69" hidden="1" ht="15" customFormat="1" customHeight="1" s="32">
      <c r="A69" s="2" t="n"/>
      <c r="B69" s="900">
        <f>B34</f>
        <v/>
      </c>
      <c r="C69" s="773" t="n"/>
      <c r="D69" s="773" t="n"/>
      <c r="E69" s="773" t="n"/>
      <c r="F69" s="773" t="n"/>
      <c r="G69" s="773" t="n"/>
      <c r="H69" s="774" t="n"/>
      <c r="I69" s="749">
        <f>VeriGiris!W347</f>
        <v/>
      </c>
      <c r="J69" s="774" t="n"/>
      <c r="K69" s="749">
        <f>IFERROR($Q$34+$S$34*cur_1,0)</f>
        <v/>
      </c>
      <c r="L69" s="774" t="n"/>
      <c r="M69" s="749">
        <f>IFERROR($Q$34+$S$34*cur_2,0)</f>
        <v/>
      </c>
      <c r="N69" s="774" t="n"/>
      <c r="O69" s="749">
        <f>IFERROR($Q$34+$S$34*cur_3,0)</f>
        <v/>
      </c>
      <c r="P69" s="774" t="n"/>
      <c r="Q69" s="749">
        <f>IFERROR($Q$34+$S$34*cur_4,0)</f>
        <v/>
      </c>
      <c r="R69" s="774" t="n"/>
      <c r="S69" s="749">
        <f>IFERROR($Q$34+$S$34*cur_5,0)</f>
        <v/>
      </c>
      <c r="T69" s="774" t="n"/>
      <c r="U69" s="749">
        <f>IFERROR($Q$34+$S$34*cur_6,0)</f>
        <v/>
      </c>
      <c r="V69" s="774" t="n"/>
      <c r="W69" s="749">
        <f>IFERROR($Q$34+$S$34*cur_7,0)</f>
        <v/>
      </c>
      <c r="X69" s="774" t="n"/>
      <c r="Y69" s="749">
        <f>IFERROR($Q$34+$S$34*cur_8,0)</f>
        <v/>
      </c>
      <c r="Z69" s="774" t="n"/>
      <c r="AA69" s="749">
        <f>IFERROR($Q$34+$S$34*cur_9,0)</f>
        <v/>
      </c>
      <c r="AB69" s="774" t="n"/>
      <c r="AC69" s="749">
        <f>IFERROR($Q$34+$S$34*cur_10,0)</f>
        <v/>
      </c>
      <c r="AD69" s="774" t="n"/>
      <c r="AE69" s="74" t="n"/>
      <c r="AF69" s="74" t="n"/>
      <c r="AG69" s="36">
        <f>IF(OR(B69="",B69=0),"",1)</f>
        <v/>
      </c>
    </row>
    <row r="70" hidden="1" ht="15" customFormat="1" customHeight="1" s="32">
      <c r="A70" s="2" t="n"/>
      <c r="B70" s="900">
        <f>B35</f>
        <v/>
      </c>
      <c r="C70" s="773" t="n"/>
      <c r="D70" s="773" t="n"/>
      <c r="E70" s="773" t="n"/>
      <c r="F70" s="773" t="n"/>
      <c r="G70" s="773" t="n"/>
      <c r="H70" s="774" t="n"/>
      <c r="I70" s="749">
        <f>VeriGiris!W348</f>
        <v/>
      </c>
      <c r="J70" s="774" t="n"/>
      <c r="K70" s="749">
        <f>IFERROR($Q$35+$S$35*cur_1,0)</f>
        <v/>
      </c>
      <c r="L70" s="774" t="n"/>
      <c r="M70" s="749">
        <f>IFERROR($Q$35+$S$35*cur_2,0)</f>
        <v/>
      </c>
      <c r="N70" s="774" t="n"/>
      <c r="O70" s="749">
        <f>IFERROR($Q$35+$S$35*cur_3,0)</f>
        <v/>
      </c>
      <c r="P70" s="774" t="n"/>
      <c r="Q70" s="749">
        <f>IFERROR($Q$35+$S$35*cur_4,0)</f>
        <v/>
      </c>
      <c r="R70" s="774" t="n"/>
      <c r="S70" s="749">
        <f>IFERROR($Q$35+$S$35*cur_5,0)</f>
        <v/>
      </c>
      <c r="T70" s="774" t="n"/>
      <c r="U70" s="749">
        <f>IFERROR($Q$35+$S$35*cur_6,0)</f>
        <v/>
      </c>
      <c r="V70" s="774" t="n"/>
      <c r="W70" s="749">
        <f>IFERROR($Q$35+$S$35*cur_7,0)</f>
        <v/>
      </c>
      <c r="X70" s="774" t="n"/>
      <c r="Y70" s="749">
        <f>IFERROR($Q$35+$S$35*cur_8,0)</f>
        <v/>
      </c>
      <c r="Z70" s="774" t="n"/>
      <c r="AA70" s="749">
        <f>IFERROR($Q$35+$S$35*cur_9,0)</f>
        <v/>
      </c>
      <c r="AB70" s="774" t="n"/>
      <c r="AC70" s="749">
        <f>IFERROR($Q$35+$S$35*cur_10,0)</f>
        <v/>
      </c>
      <c r="AD70" s="774" t="n"/>
      <c r="AE70" s="74" t="n"/>
      <c r="AF70" s="74" t="n"/>
      <c r="AG70" s="36">
        <f>IF(OR(B70="",B70=0),"",1)</f>
        <v/>
      </c>
    </row>
    <row r="71" ht="33.75" customFormat="1" customHeight="1" s="32">
      <c r="A71" s="2" t="n"/>
      <c r="B71" s="899" t="inlineStr">
        <is>
          <t>Toplam  İşletme Sermayesi  İhtiyacı (A+B+C+D-E)</t>
        </is>
      </c>
      <c r="C71" s="773" t="n"/>
      <c r="D71" s="773" t="n"/>
      <c r="E71" s="773" t="n"/>
      <c r="F71" s="773" t="n"/>
      <c r="G71" s="773" t="n"/>
      <c r="H71" s="774" t="n"/>
      <c r="I71" s="583">
        <f>I47+I52+I55+I59-I60</f>
        <v/>
      </c>
      <c r="J71" s="774" t="n"/>
      <c r="K71" s="583">
        <f>K47+K52+K55+K59-K60</f>
        <v/>
      </c>
      <c r="L71" s="774" t="n"/>
      <c r="M71" s="583">
        <f>M47+M52+M55+M59-M60</f>
        <v/>
      </c>
      <c r="N71" s="774" t="n"/>
      <c r="O71" s="583">
        <f>O47+O52+O55+O59-O60</f>
        <v/>
      </c>
      <c r="P71" s="774" t="n"/>
      <c r="Q71" s="583">
        <f>Q47+Q52+Q55+Q59-Q60</f>
        <v/>
      </c>
      <c r="R71" s="774" t="n"/>
      <c r="S71" s="583">
        <f>S47+S52+S55+S59-S60</f>
        <v/>
      </c>
      <c r="T71" s="774" t="n"/>
      <c r="U71" s="583">
        <f>U47+U52+U55+U59-U60</f>
        <v/>
      </c>
      <c r="V71" s="774" t="n"/>
      <c r="W71" s="583">
        <f>W47+W52+W55+W59-W60</f>
        <v/>
      </c>
      <c r="X71" s="774" t="n"/>
      <c r="Y71" s="583">
        <f>Y47+Y52+Y55+Y59-Y60</f>
        <v/>
      </c>
      <c r="Z71" s="774" t="n"/>
      <c r="AA71" s="583">
        <f>AA47+AA52+AA55+AA59-AA60</f>
        <v/>
      </c>
      <c r="AB71" s="774" t="n"/>
      <c r="AC71" s="583">
        <f>AC47+AC52+AC55+AC59-AC60</f>
        <v/>
      </c>
      <c r="AD71" s="774" t="n"/>
      <c r="AE71" s="74" t="n"/>
      <c r="AF71" s="74" t="n"/>
    </row>
    <row r="72" ht="21" customFormat="1" customHeight="1" s="32">
      <c r="A72" s="2" t="n"/>
      <c r="B72" s="599" t="inlineStr">
        <is>
          <t xml:space="preserve"> İşletme Sermayesindeki Değişim</t>
        </is>
      </c>
      <c r="C72" s="773" t="n"/>
      <c r="D72" s="773" t="n"/>
      <c r="E72" s="773" t="n"/>
      <c r="F72" s="773" t="n"/>
      <c r="G72" s="773" t="n"/>
      <c r="H72" s="774" t="n"/>
      <c r="I72" s="582" t="n"/>
      <c r="J72" s="774" t="n"/>
      <c r="K72" s="582">
        <f>K71-I71</f>
        <v/>
      </c>
      <c r="L72" s="774" t="n"/>
      <c r="M72" s="582">
        <f>M71-K71</f>
        <v/>
      </c>
      <c r="N72" s="774" t="n"/>
      <c r="O72" s="582">
        <f>O71-M71</f>
        <v/>
      </c>
      <c r="P72" s="774" t="n"/>
      <c r="Q72" s="582">
        <f>Q71-O71</f>
        <v/>
      </c>
      <c r="R72" s="774" t="n"/>
      <c r="S72" s="582">
        <f>S71-Q71</f>
        <v/>
      </c>
      <c r="T72" s="774" t="n"/>
      <c r="U72" s="582">
        <f>U71-S71</f>
        <v/>
      </c>
      <c r="V72" s="774" t="n"/>
      <c r="W72" s="582">
        <f>W71-U71</f>
        <v/>
      </c>
      <c r="X72" s="774" t="n"/>
      <c r="Y72" s="582">
        <f>Y71-W71</f>
        <v/>
      </c>
      <c r="Z72" s="774" t="n"/>
      <c r="AA72" s="582">
        <f>AA71-Y71</f>
        <v/>
      </c>
      <c r="AB72" s="774" t="n"/>
      <c r="AC72" s="582">
        <f>AC71-AA71</f>
        <v/>
      </c>
      <c r="AD72" s="774" t="n"/>
      <c r="AE72" s="74" t="n"/>
      <c r="AF72" s="74" t="n"/>
    </row>
    <row r="73" ht="11.25" customHeight="1" s="321"/>
    <row r="74" ht="11.25" customHeight="1" s="321"/>
    <row r="75" ht="11.25" customFormat="1" customHeight="1" s="8">
      <c r="A75" s="7" t="n"/>
    </row>
    <row r="76" ht="11.25" customFormat="1" customHeight="1" s="8">
      <c r="A76" s="7" t="n"/>
      <c r="B76" s="75" t="n"/>
      <c r="C76" s="75" t="n"/>
      <c r="D76" s="75" t="n"/>
      <c r="E76" s="75" t="n"/>
      <c r="F76" s="75" t="n"/>
      <c r="G76" s="75" t="n"/>
      <c r="H76" s="76" t="n"/>
      <c r="I76" s="76" t="n"/>
      <c r="J76" s="76" t="n"/>
      <c r="K76" s="76" t="n"/>
      <c r="L76" s="76" t="n"/>
      <c r="M76" s="76" t="n"/>
      <c r="N76" s="76" t="n"/>
      <c r="O76" s="76" t="n"/>
      <c r="P76" s="76" t="n"/>
      <c r="Q76" s="76" t="n"/>
      <c r="R76" s="76" t="n"/>
      <c r="S76" s="76" t="n"/>
      <c r="T76" s="76" t="n"/>
      <c r="U76" s="76" t="n"/>
      <c r="V76" s="76" t="n"/>
      <c r="W76" s="76" t="n"/>
      <c r="X76" s="76" t="n"/>
      <c r="Y76" s="76" t="n"/>
      <c r="Z76" s="76" t="n"/>
      <c r="AA76" s="76" t="n"/>
    </row>
    <row r="77" ht="11.25" customFormat="1" customHeight="1" s="8">
      <c r="A77" s="7" t="n"/>
      <c r="B77" s="77" t="n"/>
      <c r="C77" s="77" t="n"/>
      <c r="D77" s="77" t="n"/>
      <c r="E77" s="77" t="n"/>
      <c r="F77" s="77" t="n"/>
      <c r="G77" s="77" t="n"/>
      <c r="H77" s="77" t="n"/>
      <c r="I77" s="77" t="n"/>
      <c r="J77" s="77" t="n"/>
      <c r="K77" s="77" t="n"/>
      <c r="L77" s="77" t="n"/>
      <c r="M77" s="77" t="n"/>
      <c r="N77" s="77" t="n"/>
      <c r="O77" s="77" t="n"/>
      <c r="P77" s="77" t="n"/>
      <c r="Q77" s="77" t="n"/>
      <c r="R77" s="77" t="n"/>
      <c r="S77" s="77" t="n"/>
      <c r="T77" s="77" t="n"/>
      <c r="U77" s="77" t="n"/>
      <c r="V77" s="77" t="n"/>
      <c r="W77" s="77" t="n"/>
      <c r="X77" s="77" t="n"/>
      <c r="Y77" s="77" t="n"/>
      <c r="Z77" s="77" t="n"/>
      <c r="AA77" s="77" t="n"/>
    </row>
    <row r="78" ht="11.25" customFormat="1" customHeight="1" s="8">
      <c r="A78" s="7" t="n"/>
      <c r="B78" s="77" t="n"/>
      <c r="C78" s="77" t="n"/>
      <c r="D78" s="77" t="n"/>
      <c r="E78" s="77" t="n"/>
      <c r="F78" s="77" t="n"/>
      <c r="G78" s="77" t="n"/>
      <c r="H78" s="77" t="n"/>
      <c r="I78" s="77" t="n"/>
      <c r="J78" s="77" t="n"/>
      <c r="K78" s="77" t="n"/>
      <c r="L78" s="77" t="n"/>
      <c r="M78" s="77" t="n"/>
      <c r="N78" s="77" t="n"/>
      <c r="O78" s="77" t="n"/>
      <c r="P78" s="77" t="n"/>
      <c r="Q78" s="77" t="n"/>
      <c r="R78" s="77" t="n"/>
      <c r="S78" s="77" t="n"/>
      <c r="T78" s="77" t="n"/>
      <c r="U78" s="77" t="n"/>
      <c r="V78" s="77" t="n"/>
      <c r="W78" s="77" t="n"/>
      <c r="X78" s="48" t="n"/>
      <c r="Y78" s="48" t="n"/>
      <c r="Z78" s="48" t="n"/>
      <c r="AA78" s="48" t="n"/>
    </row>
    <row r="79" ht="11.25" customFormat="1" customHeight="1" s="8">
      <c r="A79" s="7" t="n"/>
      <c r="B79" s="77" t="n"/>
      <c r="C79" s="77" t="n"/>
      <c r="D79" s="77" t="n"/>
      <c r="E79" s="77" t="n"/>
      <c r="F79" s="77" t="n"/>
      <c r="G79" s="77" t="n"/>
      <c r="H79" s="77" t="n"/>
      <c r="I79" s="77" t="n"/>
      <c r="J79" s="77" t="n"/>
      <c r="K79" s="77" t="n"/>
      <c r="L79" s="77" t="n"/>
      <c r="M79" s="77" t="n"/>
      <c r="N79" s="77" t="n"/>
      <c r="O79" s="77" t="n"/>
      <c r="P79" s="77" t="n"/>
      <c r="Q79" s="77" t="n"/>
      <c r="R79" s="77" t="n"/>
      <c r="S79" s="77" t="n"/>
      <c r="T79" s="77" t="n"/>
      <c r="U79" s="77" t="n"/>
      <c r="V79" s="77" t="n"/>
      <c r="W79" s="77" t="n"/>
      <c r="X79" s="48" t="n"/>
      <c r="Y79" s="48" t="n"/>
      <c r="Z79" s="48" t="n"/>
      <c r="AA79" s="48" t="n"/>
    </row>
    <row r="80" ht="11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/+z2eJehYd1CqglfJjzkhA==" formatRows="0" sort="1" spinCount="100000" hashValue="D5H5yn0uxlV27UbG0Lh9XsbrPMmt5EGVEWkbd76gDOELJGvgOAIdRXFZ1+yu4Lm196EHQ8WnMf7gbgkz21zOxw=="/>
  <mergeCells count="505">
    <mergeCell ref="AC48:AD48"/>
    <mergeCell ref="Y47:Z47"/>
    <mergeCell ref="S72:T72"/>
    <mergeCell ref="K33:L33"/>
    <mergeCell ref="B55:H55"/>
    <mergeCell ref="B23:J23"/>
    <mergeCell ref="U65:V65"/>
    <mergeCell ref="AC62:AD62"/>
    <mergeCell ref="W65:X65"/>
    <mergeCell ref="M70:N70"/>
    <mergeCell ref="K35:L35"/>
    <mergeCell ref="M60:N60"/>
    <mergeCell ref="M35:N35"/>
    <mergeCell ref="W63:X63"/>
    <mergeCell ref="O32:P32"/>
    <mergeCell ref="O63:P63"/>
    <mergeCell ref="O26:P26"/>
    <mergeCell ref="Q63:R63"/>
    <mergeCell ref="Q26:R26"/>
    <mergeCell ref="I66:J66"/>
    <mergeCell ref="W50:X50"/>
    <mergeCell ref="Y50:Z50"/>
    <mergeCell ref="B58:H58"/>
    <mergeCell ref="B52:H52"/>
    <mergeCell ref="S19:T19"/>
    <mergeCell ref="O55:P55"/>
    <mergeCell ref="Y52:Z52"/>
    <mergeCell ref="O27:P27"/>
    <mergeCell ref="Q27:R27"/>
    <mergeCell ref="B60:H60"/>
    <mergeCell ref="B16:J16"/>
    <mergeCell ref="B53:H53"/>
    <mergeCell ref="S20:T20"/>
    <mergeCell ref="U20:V20"/>
    <mergeCell ref="K28:L28"/>
    <mergeCell ref="U14:V14"/>
    <mergeCell ref="B18:J18"/>
    <mergeCell ref="M50:N50"/>
    <mergeCell ref="AA47:AB47"/>
    <mergeCell ref="S60:T60"/>
    <mergeCell ref="U60:V60"/>
    <mergeCell ref="S22:T22"/>
    <mergeCell ref="B11:J11"/>
    <mergeCell ref="U22:V22"/>
    <mergeCell ref="K30:L30"/>
    <mergeCell ref="I46:J46"/>
    <mergeCell ref="I61:J61"/>
    <mergeCell ref="B29:J29"/>
    <mergeCell ref="W55:X55"/>
    <mergeCell ref="I54:J54"/>
    <mergeCell ref="S13:T13"/>
    <mergeCell ref="U13:V13"/>
    <mergeCell ref="I56:J56"/>
    <mergeCell ref="M13:N13"/>
    <mergeCell ref="K56:L56"/>
    <mergeCell ref="AC64:AD64"/>
    <mergeCell ref="Q15:R15"/>
    <mergeCell ref="S15:T15"/>
    <mergeCell ref="O51:P51"/>
    <mergeCell ref="U71:V71"/>
    <mergeCell ref="W71:X71"/>
    <mergeCell ref="S33:T33"/>
    <mergeCell ref="U58:V58"/>
    <mergeCell ref="O71:P71"/>
    <mergeCell ref="W58:X58"/>
    <mergeCell ref="O58:P58"/>
    <mergeCell ref="AC65:AD65"/>
    <mergeCell ref="W60:X60"/>
    <mergeCell ref="I59:J59"/>
    <mergeCell ref="Y66:Z66"/>
    <mergeCell ref="W53:X53"/>
    <mergeCell ref="Y53:Z53"/>
    <mergeCell ref="K25:L25"/>
    <mergeCell ref="B68:H68"/>
    <mergeCell ref="W68:X68"/>
    <mergeCell ref="Y68:Z68"/>
    <mergeCell ref="B17:J17"/>
    <mergeCell ref="Y55:Z55"/>
    <mergeCell ref="K54:L54"/>
    <mergeCell ref="K29:L29"/>
    <mergeCell ref="B19:J19"/>
    <mergeCell ref="AA48:AB48"/>
    <mergeCell ref="AC58:AD58"/>
    <mergeCell ref="Q72:R72"/>
    <mergeCell ref="S28:T28"/>
    <mergeCell ref="K31:L31"/>
    <mergeCell ref="M31:N31"/>
    <mergeCell ref="B20:J20"/>
    <mergeCell ref="O59:P59"/>
    <mergeCell ref="U21:V21"/>
    <mergeCell ref="Q59:R59"/>
    <mergeCell ref="I62:J62"/>
    <mergeCell ref="O46:P46"/>
    <mergeCell ref="Q46:R46"/>
    <mergeCell ref="O61:P61"/>
    <mergeCell ref="M26:N26"/>
    <mergeCell ref="Q61:R61"/>
    <mergeCell ref="I64:J64"/>
    <mergeCell ref="O48:P48"/>
    <mergeCell ref="I51:J51"/>
    <mergeCell ref="Q48:R48"/>
    <mergeCell ref="S54:T54"/>
    <mergeCell ref="K57:L57"/>
    <mergeCell ref="U35:V35"/>
    <mergeCell ref="I65:J65"/>
    <mergeCell ref="Q56:R56"/>
    <mergeCell ref="S56:T56"/>
    <mergeCell ref="Y63:Z63"/>
    <mergeCell ref="AC71:AD71"/>
    <mergeCell ref="Y67:Z67"/>
    <mergeCell ref="Q34:R34"/>
    <mergeCell ref="Y69:Z69"/>
    <mergeCell ref="S34:T34"/>
    <mergeCell ref="K12:L12"/>
    <mergeCell ref="AA69:AB69"/>
    <mergeCell ref="M28:N28"/>
    <mergeCell ref="Q36:R36"/>
    <mergeCell ref="S36:T36"/>
    <mergeCell ref="K14:L14"/>
    <mergeCell ref="K70:L70"/>
    <mergeCell ref="M57:N57"/>
    <mergeCell ref="U54:V54"/>
    <mergeCell ref="S29:T29"/>
    <mergeCell ref="AA64:AB64"/>
    <mergeCell ref="O67:P67"/>
    <mergeCell ref="U29:V29"/>
    <mergeCell ref="M32:N32"/>
    <mergeCell ref="B22:J22"/>
    <mergeCell ref="U23:V23"/>
    <mergeCell ref="S31:T31"/>
    <mergeCell ref="U31:V31"/>
    <mergeCell ref="B49:H49"/>
    <mergeCell ref="Q62:R62"/>
    <mergeCell ref="S62:T62"/>
    <mergeCell ref="Q64:R64"/>
    <mergeCell ref="Q51:R51"/>
    <mergeCell ref="K50:L50"/>
    <mergeCell ref="AA57:AB57"/>
    <mergeCell ref="I71:J71"/>
    <mergeCell ref="S57:T57"/>
    <mergeCell ref="I58:J58"/>
    <mergeCell ref="U57:V57"/>
    <mergeCell ref="M16:N16"/>
    <mergeCell ref="K58:L58"/>
    <mergeCell ref="B33:J33"/>
    <mergeCell ref="O16:P16"/>
    <mergeCell ref="S49:T49"/>
    <mergeCell ref="K52:L52"/>
    <mergeCell ref="B36:P36"/>
    <mergeCell ref="M18:N18"/>
    <mergeCell ref="B35:J35"/>
    <mergeCell ref="M17:N17"/>
    <mergeCell ref="O17:P17"/>
    <mergeCell ref="K53:L53"/>
    <mergeCell ref="O11:P11"/>
    <mergeCell ref="Q17:R17"/>
    <mergeCell ref="Q11:R11"/>
    <mergeCell ref="M47:N47"/>
    <mergeCell ref="M19:N19"/>
    <mergeCell ref="K13:L13"/>
    <mergeCell ref="Y72:Z72"/>
    <mergeCell ref="Q12:R12"/>
    <mergeCell ref="AA72:AB72"/>
    <mergeCell ref="S12:T12"/>
    <mergeCell ref="K15:L15"/>
    <mergeCell ref="Q52:R52"/>
    <mergeCell ref="S52:T52"/>
    <mergeCell ref="K55:L55"/>
    <mergeCell ref="S70:T70"/>
    <mergeCell ref="U70:V70"/>
    <mergeCell ref="U32:V32"/>
    <mergeCell ref="U47:V47"/>
    <mergeCell ref="B71:H71"/>
    <mergeCell ref="AA54:AB54"/>
    <mergeCell ref="AC54:AD54"/>
    <mergeCell ref="Q65:R65"/>
    <mergeCell ref="S65:T65"/>
    <mergeCell ref="AA56:AB56"/>
    <mergeCell ref="M24:N24"/>
    <mergeCell ref="AC56:AD56"/>
    <mergeCell ref="K66:L66"/>
    <mergeCell ref="S63:T63"/>
    <mergeCell ref="M66:N66"/>
    <mergeCell ref="AC49:AD49"/>
    <mergeCell ref="U63:V63"/>
    <mergeCell ref="S50:T50"/>
    <mergeCell ref="M63:N63"/>
    <mergeCell ref="M53:N53"/>
    <mergeCell ref="U50:V50"/>
    <mergeCell ref="K68:L68"/>
    <mergeCell ref="M68:N68"/>
    <mergeCell ref="O19:P19"/>
    <mergeCell ref="M55:N55"/>
    <mergeCell ref="M67:N67"/>
    <mergeCell ref="M48:N48"/>
    <mergeCell ref="M69:N69"/>
    <mergeCell ref="O20:P20"/>
    <mergeCell ref="Q20:R20"/>
    <mergeCell ref="Q14:R14"/>
    <mergeCell ref="B10:V10"/>
    <mergeCell ref="B47:H47"/>
    <mergeCell ref="S14:T14"/>
    <mergeCell ref="W47:X47"/>
    <mergeCell ref="B59:H59"/>
    <mergeCell ref="O22:P22"/>
    <mergeCell ref="B46:H46"/>
    <mergeCell ref="AA65:AB65"/>
    <mergeCell ref="S53:T53"/>
    <mergeCell ref="B48:H48"/>
    <mergeCell ref="K23:L23"/>
    <mergeCell ref="O47:P47"/>
    <mergeCell ref="S55:T55"/>
    <mergeCell ref="U55:V55"/>
    <mergeCell ref="AA62:AB62"/>
    <mergeCell ref="K18:L18"/>
    <mergeCell ref="Q25:R25"/>
    <mergeCell ref="K34:L34"/>
    <mergeCell ref="S25:T25"/>
    <mergeCell ref="I49:J49"/>
    <mergeCell ref="O33:P33"/>
    <mergeCell ref="AC57:AD57"/>
    <mergeCell ref="Q33:R33"/>
    <mergeCell ref="S58:T58"/>
    <mergeCell ref="S66:T66"/>
    <mergeCell ref="U66:V66"/>
    <mergeCell ref="O69:P69"/>
    <mergeCell ref="W66:X66"/>
    <mergeCell ref="U53:V53"/>
    <mergeCell ref="S68:T68"/>
    <mergeCell ref="W59:X59"/>
    <mergeCell ref="U68:V68"/>
    <mergeCell ref="W46:X46"/>
    <mergeCell ref="Q22:R22"/>
    <mergeCell ref="Y46:Z46"/>
    <mergeCell ref="B67:H67"/>
    <mergeCell ref="B61:H61"/>
    <mergeCell ref="O64:P64"/>
    <mergeCell ref="W61:X61"/>
    <mergeCell ref="Y61:Z61"/>
    <mergeCell ref="W48:X48"/>
    <mergeCell ref="Y48:Z48"/>
    <mergeCell ref="M72:N72"/>
    <mergeCell ref="B69:H69"/>
    <mergeCell ref="O72:P72"/>
    <mergeCell ref="AC52:AD52"/>
    <mergeCell ref="B12:J12"/>
    <mergeCell ref="AC70:AD70"/>
    <mergeCell ref="K49:L49"/>
    <mergeCell ref="Q21:R21"/>
    <mergeCell ref="Y56:Z56"/>
    <mergeCell ref="M59:N59"/>
    <mergeCell ref="S21:T21"/>
    <mergeCell ref="K24:L24"/>
    <mergeCell ref="B14:J14"/>
    <mergeCell ref="B64:H64"/>
    <mergeCell ref="B51:H51"/>
    <mergeCell ref="AC47:AD47"/>
    <mergeCell ref="B13:J13"/>
    <mergeCell ref="K26:L26"/>
    <mergeCell ref="M54:N54"/>
    <mergeCell ref="O54:P54"/>
    <mergeCell ref="U16:V16"/>
    <mergeCell ref="O35:P35"/>
    <mergeCell ref="Q35:R35"/>
    <mergeCell ref="Y59:Z59"/>
    <mergeCell ref="AA63:AB63"/>
    <mergeCell ref="AC63:AD63"/>
    <mergeCell ref="AC50:AD50"/>
    <mergeCell ref="U28:V28"/>
    <mergeCell ref="Y49:Z49"/>
    <mergeCell ref="Q49:R49"/>
    <mergeCell ref="I52:J52"/>
    <mergeCell ref="AC60:AD60"/>
    <mergeCell ref="Q30:R30"/>
    <mergeCell ref="O60:P60"/>
    <mergeCell ref="S30:T30"/>
    <mergeCell ref="B25:J25"/>
    <mergeCell ref="U67:V67"/>
    <mergeCell ref="W67:X67"/>
    <mergeCell ref="U69:V69"/>
    <mergeCell ref="W69:X69"/>
    <mergeCell ref="Y62:Z62"/>
    <mergeCell ref="I70:J70"/>
    <mergeCell ref="K21:L21"/>
    <mergeCell ref="Y54:Z54"/>
    <mergeCell ref="Q54:R54"/>
    <mergeCell ref="I57:J57"/>
    <mergeCell ref="O29:P29"/>
    <mergeCell ref="W64:X64"/>
    <mergeCell ref="AC53:AD53"/>
    <mergeCell ref="Q29:R29"/>
    <mergeCell ref="Y64:Z64"/>
    <mergeCell ref="Q23:R23"/>
    <mergeCell ref="K32:L32"/>
    <mergeCell ref="K63:L63"/>
    <mergeCell ref="S23:T23"/>
    <mergeCell ref="O65:P65"/>
    <mergeCell ref="W51:X51"/>
    <mergeCell ref="Y51:Z51"/>
    <mergeCell ref="B72:H72"/>
    <mergeCell ref="O31:P31"/>
    <mergeCell ref="AC55:AD55"/>
    <mergeCell ref="Q31:R31"/>
    <mergeCell ref="B15:J15"/>
    <mergeCell ref="S24:T24"/>
    <mergeCell ref="K27:L27"/>
    <mergeCell ref="O62:P62"/>
    <mergeCell ref="U24:V24"/>
    <mergeCell ref="M27:N27"/>
    <mergeCell ref="O56:P56"/>
    <mergeCell ref="U18:V18"/>
    <mergeCell ref="O57:P57"/>
    <mergeCell ref="U19:V19"/>
    <mergeCell ref="Q57:R57"/>
    <mergeCell ref="I60:J60"/>
    <mergeCell ref="K16:L16"/>
    <mergeCell ref="AC66:AD66"/>
    <mergeCell ref="K11:L11"/>
    <mergeCell ref="B34:J34"/>
    <mergeCell ref="M11:N11"/>
    <mergeCell ref="I47:J47"/>
    <mergeCell ref="AC68:AD68"/>
    <mergeCell ref="K47:L47"/>
    <mergeCell ref="B28:J28"/>
    <mergeCell ref="AC67:AD67"/>
    <mergeCell ref="K46:L46"/>
    <mergeCell ref="B30:J30"/>
    <mergeCell ref="U12:V12"/>
    <mergeCell ref="M15:N15"/>
    <mergeCell ref="AC69:AD69"/>
    <mergeCell ref="M12:N12"/>
    <mergeCell ref="U72:V72"/>
    <mergeCell ref="W72:X72"/>
    <mergeCell ref="K71:L71"/>
    <mergeCell ref="Y65:Z65"/>
    <mergeCell ref="W70:X70"/>
    <mergeCell ref="O70:P70"/>
    <mergeCell ref="Y70:Z70"/>
    <mergeCell ref="Q70:R70"/>
    <mergeCell ref="Y57:Z57"/>
    <mergeCell ref="Q32:R32"/>
    <mergeCell ref="S32:T32"/>
    <mergeCell ref="S26:T26"/>
    <mergeCell ref="U26:V26"/>
    <mergeCell ref="Q47:R47"/>
    <mergeCell ref="AA52:AB52"/>
    <mergeCell ref="S27:T27"/>
    <mergeCell ref="U27:V27"/>
    <mergeCell ref="Q58:R58"/>
    <mergeCell ref="U25:V25"/>
    <mergeCell ref="AA49:AB49"/>
    <mergeCell ref="Q50:R50"/>
    <mergeCell ref="I53:J53"/>
    <mergeCell ref="Y60:Z60"/>
    <mergeCell ref="Q60:R60"/>
    <mergeCell ref="M30:N30"/>
    <mergeCell ref="K59:L59"/>
    <mergeCell ref="I68:J68"/>
    <mergeCell ref="I55:J55"/>
    <mergeCell ref="M46:N46"/>
    <mergeCell ref="I67:J67"/>
    <mergeCell ref="K61:L61"/>
    <mergeCell ref="M61:N61"/>
    <mergeCell ref="I48:J48"/>
    <mergeCell ref="O12:P12"/>
    <mergeCell ref="K48:L48"/>
    <mergeCell ref="AA55:AB55"/>
    <mergeCell ref="M14:N14"/>
    <mergeCell ref="B31:J31"/>
    <mergeCell ref="O14:P14"/>
    <mergeCell ref="K62:L62"/>
    <mergeCell ref="O13:P13"/>
    <mergeCell ref="M56:N56"/>
    <mergeCell ref="Q13:R13"/>
    <mergeCell ref="B45:AD45"/>
    <mergeCell ref="O53:P53"/>
    <mergeCell ref="U15:V15"/>
    <mergeCell ref="O15:P15"/>
    <mergeCell ref="Y71:Z71"/>
    <mergeCell ref="Q71:R71"/>
    <mergeCell ref="Y58:Z58"/>
    <mergeCell ref="S71:T71"/>
    <mergeCell ref="AA58:AB58"/>
    <mergeCell ref="Q55:R55"/>
    <mergeCell ref="AA60:AB60"/>
    <mergeCell ref="B24:J24"/>
    <mergeCell ref="AA53:AB53"/>
    <mergeCell ref="B66:H66"/>
    <mergeCell ref="M25:N25"/>
    <mergeCell ref="K67:L67"/>
    <mergeCell ref="O25:P25"/>
    <mergeCell ref="AA68:AB68"/>
    <mergeCell ref="B32:J32"/>
    <mergeCell ref="U33:V33"/>
    <mergeCell ref="B26:J26"/>
    <mergeCell ref="M33:N33"/>
    <mergeCell ref="S35:T35"/>
    <mergeCell ref="AA50:AB50"/>
    <mergeCell ref="M62:N62"/>
    <mergeCell ref="B27:J27"/>
    <mergeCell ref="O66:P66"/>
    <mergeCell ref="Q66:R66"/>
    <mergeCell ref="I69:J69"/>
    <mergeCell ref="K69:L69"/>
    <mergeCell ref="Q53:R53"/>
    <mergeCell ref="S47:T47"/>
    <mergeCell ref="O68:P68"/>
    <mergeCell ref="S59:T59"/>
    <mergeCell ref="Q68:R68"/>
    <mergeCell ref="U59:V59"/>
    <mergeCell ref="S46:T46"/>
    <mergeCell ref="U46:V46"/>
    <mergeCell ref="S61:T61"/>
    <mergeCell ref="K64:L64"/>
    <mergeCell ref="M64:N64"/>
    <mergeCell ref="U61:V61"/>
    <mergeCell ref="K51:L51"/>
    <mergeCell ref="S48:T48"/>
    <mergeCell ref="M51:N51"/>
    <mergeCell ref="U48:V48"/>
    <mergeCell ref="I72:J72"/>
    <mergeCell ref="K72:L72"/>
    <mergeCell ref="B54:H54"/>
    <mergeCell ref="W54:X54"/>
    <mergeCell ref="AA70:AB70"/>
    <mergeCell ref="M65:N65"/>
    <mergeCell ref="M21:N21"/>
    <mergeCell ref="U56:V56"/>
    <mergeCell ref="B56:H56"/>
    <mergeCell ref="O21:P21"/>
    <mergeCell ref="W56:X56"/>
    <mergeCell ref="K17:L17"/>
    <mergeCell ref="B57:H57"/>
    <mergeCell ref="K19:L19"/>
    <mergeCell ref="S51:T51"/>
    <mergeCell ref="U34:V34"/>
    <mergeCell ref="M34:N34"/>
    <mergeCell ref="O34:P34"/>
    <mergeCell ref="O28:P28"/>
    <mergeCell ref="Q28:R28"/>
    <mergeCell ref="M52:N52"/>
    <mergeCell ref="U49:V49"/>
    <mergeCell ref="M49:N49"/>
    <mergeCell ref="U36:V36"/>
    <mergeCell ref="U30:V30"/>
    <mergeCell ref="K60:L60"/>
    <mergeCell ref="O30:P30"/>
    <mergeCell ref="Q67:R67"/>
    <mergeCell ref="S67:T67"/>
    <mergeCell ref="B62:H62"/>
    <mergeCell ref="Q69:R69"/>
    <mergeCell ref="S69:T69"/>
    <mergeCell ref="B70:H70"/>
    <mergeCell ref="AA59:AB59"/>
    <mergeCell ref="U62:V62"/>
    <mergeCell ref="AA46:AB46"/>
    <mergeCell ref="AC46:AD46"/>
    <mergeCell ref="S64:T64"/>
    <mergeCell ref="M29:N29"/>
    <mergeCell ref="AA51:AB51"/>
    <mergeCell ref="U64:V64"/>
    <mergeCell ref="M23:N23"/>
    <mergeCell ref="K65:L65"/>
    <mergeCell ref="AC51:AD51"/>
    <mergeCell ref="O23:P23"/>
    <mergeCell ref="U51:V51"/>
    <mergeCell ref="I63:J63"/>
    <mergeCell ref="AA71:AB71"/>
    <mergeCell ref="I50:J50"/>
    <mergeCell ref="M71:N71"/>
    <mergeCell ref="W57:X57"/>
    <mergeCell ref="M58:N58"/>
    <mergeCell ref="Q16:R16"/>
    <mergeCell ref="S16:T16"/>
    <mergeCell ref="W49:X49"/>
    <mergeCell ref="B65:H65"/>
    <mergeCell ref="O24:P24"/>
    <mergeCell ref="O18:P18"/>
    <mergeCell ref="Q24:R24"/>
    <mergeCell ref="Q18:R18"/>
    <mergeCell ref="S18:T18"/>
    <mergeCell ref="B63:H63"/>
    <mergeCell ref="B50:H50"/>
    <mergeCell ref="S17:T17"/>
    <mergeCell ref="K20:L20"/>
    <mergeCell ref="S11:T11"/>
    <mergeCell ref="U17:V17"/>
    <mergeCell ref="M20:N20"/>
    <mergeCell ref="U11:V11"/>
    <mergeCell ref="O49:P49"/>
    <mergeCell ref="Q19:R19"/>
    <mergeCell ref="K22:L22"/>
    <mergeCell ref="M22:N22"/>
    <mergeCell ref="W62:X62"/>
    <mergeCell ref="O50:P50"/>
    <mergeCell ref="AC72:AD72"/>
    <mergeCell ref="AA66:AB66"/>
    <mergeCell ref="U52:V52"/>
    <mergeCell ref="W52:X52"/>
    <mergeCell ref="O52:P52"/>
    <mergeCell ref="AC59:AD59"/>
    <mergeCell ref="AA67:AB67"/>
    <mergeCell ref="AA61:AB61"/>
    <mergeCell ref="AC61:AD61"/>
    <mergeCell ref="B21:J21"/>
  </mergeCells>
  <pageMargins left="0.7086614173228347" right="0.7086614173228347" top="0.7480314960629921" bottom="0.7480314960629921" header="0.3149606299212598" footer="0.3149606299212598"/>
  <pageSetup orientation="landscape" paperSize="9" scale="55"/>
  <headerFooter>
    <oddHeader/>
    <oddFooter>&amp;R&amp;A - &amp;P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ayfa6">
    <tabColor theme="0"/>
    <outlinePr summaryBelow="1" summaryRight="1"/>
    <pageSetUpPr/>
  </sheetPr>
  <dimension ref="A1:AL131"/>
  <sheetViews>
    <sheetView showGridLines="0" showRowColHeaders="0" showZeros="0" zoomScale="80" zoomScaleNormal="80" zoomScaleSheetLayoutView="70" zoomScalePageLayoutView="70" workbookViewId="0">
      <selection activeCell="B11" sqref="B11:AD11"/>
    </sheetView>
  </sheetViews>
  <sheetFormatPr baseColWidth="8" defaultColWidth="0" defaultRowHeight="15" zeroHeight="1"/>
  <cols>
    <col width="11.42578125" customWidth="1" style="13" min="1" max="1"/>
    <col width="5.7109375" customWidth="1" style="17" min="2" max="32"/>
    <col width="1.28515625" customWidth="1" style="37" min="33" max="33"/>
    <col hidden="1" width="5.7109375" customWidth="1" style="17" min="34" max="37"/>
    <col hidden="1" width="10.85546875" customWidth="1" style="17" min="38" max="38"/>
    <col hidden="1" width="5.7109375" customWidth="1" style="17" min="39" max="78"/>
    <col hidden="1" width="8.85546875" customWidth="1" style="17" min="79" max="16384"/>
  </cols>
  <sheetData>
    <row r="1" ht="4.5" customFormat="1" customHeight="1" s="52">
      <c r="A1" s="12" t="n"/>
      <c r="AG1" s="33" t="n"/>
    </row>
    <row r="2" ht="4.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4.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4.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4.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4.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4.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4.5" customFormat="1" customHeight="1" s="52">
      <c r="A8" s="12" t="n"/>
      <c r="AG8" s="33" t="n"/>
    </row>
    <row r="9" ht="4.5" customHeight="1" s="321"/>
    <row r="11">
      <c r="B11" s="621" t="inlineStr">
        <is>
          <t>Tablo 6- Satış Gelirleri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3" t="n"/>
      <c r="M11" s="773" t="n"/>
      <c r="N11" s="773" t="n"/>
      <c r="O11" s="773" t="n"/>
      <c r="P11" s="773" t="n"/>
      <c r="Q11" s="773" t="n"/>
      <c r="R11" s="773" t="n"/>
      <c r="S11" s="773" t="n"/>
      <c r="T11" s="773" t="n"/>
      <c r="U11" s="773" t="n"/>
      <c r="V11" s="773" t="n"/>
      <c r="W11" s="773" t="n"/>
      <c r="X11" s="773" t="n"/>
      <c r="Y11" s="773" t="n"/>
      <c r="Z11" s="773" t="n"/>
      <c r="AA11" s="773" t="n"/>
      <c r="AB11" s="773" t="n"/>
      <c r="AC11" s="773" t="n"/>
      <c r="AD11" s="774" t="n"/>
      <c r="AE11" s="78" t="n"/>
      <c r="AF11" s="78" t="n"/>
    </row>
    <row r="12" ht="28.15" customHeight="1" s="321">
      <c r="B12" s="620" t="n"/>
      <c r="C12" s="773" t="n"/>
      <c r="D12" s="773" t="n"/>
      <c r="E12" s="773" t="n"/>
      <c r="F12" s="774" t="n"/>
      <c r="G12" s="607" t="inlineStr">
        <is>
          <t>Birim</t>
        </is>
      </c>
      <c r="H12" s="774" t="n"/>
      <c r="I12" s="607">
        <f>VeriGiris!I35</f>
        <v/>
      </c>
      <c r="J12" s="774" t="n"/>
      <c r="K12" s="607">
        <f>VeriGiris!K35</f>
        <v/>
      </c>
      <c r="L12" s="774" t="n"/>
      <c r="M12" s="607">
        <f>VeriGiris!M35</f>
        <v/>
      </c>
      <c r="N12" s="774" t="n"/>
      <c r="O12" s="607">
        <f>VeriGiris!O35</f>
        <v/>
      </c>
      <c r="P12" s="774" t="n"/>
      <c r="Q12" s="607">
        <f>VeriGiris!Q35</f>
        <v/>
      </c>
      <c r="R12" s="774" t="n"/>
      <c r="S12" s="607">
        <f>VeriGiris!S35</f>
        <v/>
      </c>
      <c r="T12" s="774" t="n"/>
      <c r="U12" s="607">
        <f>VeriGiris!U35</f>
        <v/>
      </c>
      <c r="V12" s="774" t="n"/>
      <c r="W12" s="607">
        <f>VeriGiris!W35</f>
        <v/>
      </c>
      <c r="X12" s="774" t="n"/>
      <c r="Y12" s="607">
        <f>VeriGiris!Y35</f>
        <v/>
      </c>
      <c r="Z12" s="774" t="n"/>
      <c r="AA12" s="607">
        <f>VeriGiris!AA35</f>
        <v/>
      </c>
      <c r="AB12" s="774" t="n"/>
      <c r="AC12" s="607">
        <f>VeriGiris!AC35</f>
        <v/>
      </c>
      <c r="AD12" s="774" t="n"/>
      <c r="AE12" s="70" t="n"/>
      <c r="AF12" s="70" t="n"/>
    </row>
    <row r="13" ht="15" customHeight="1" s="321">
      <c r="A13" s="13" t="n">
        <v>1</v>
      </c>
      <c r="B13" s="659">
        <f>VeriGiris!B36</f>
        <v/>
      </c>
      <c r="C13" s="773" t="n"/>
      <c r="D13" s="773" t="n"/>
      <c r="E13" s="773" t="n"/>
      <c r="F13" s="774" t="n"/>
      <c r="G13" s="618" t="n"/>
      <c r="H13" s="774" t="n"/>
      <c r="I13" s="616" t="n"/>
      <c r="J13" s="774" t="n"/>
      <c r="K13" s="616" t="n"/>
      <c r="L13" s="774" t="n"/>
      <c r="M13" s="616" t="n"/>
      <c r="N13" s="774" t="n"/>
      <c r="O13" s="616" t="n"/>
      <c r="P13" s="774" t="n"/>
      <c r="Q13" s="616" t="n"/>
      <c r="R13" s="774" t="n"/>
      <c r="S13" s="616" t="n"/>
      <c r="T13" s="774" t="n"/>
      <c r="U13" s="616" t="n"/>
      <c r="V13" s="774" t="n"/>
      <c r="W13" s="616" t="n"/>
      <c r="X13" s="774" t="n"/>
      <c r="Y13" s="616" t="n"/>
      <c r="Z13" s="774" t="n"/>
      <c r="AA13" s="616" t="n"/>
      <c r="AB13" s="774" t="n"/>
      <c r="AC13" s="616" t="n"/>
      <c r="AD13" s="774" t="n"/>
      <c r="AE13" s="79" t="n"/>
      <c r="AF13" s="79" t="n"/>
    </row>
    <row r="14" ht="15" customHeight="1" s="321">
      <c r="B14" s="619" t="inlineStr">
        <is>
          <t>Satış Miktarı</t>
        </is>
      </c>
      <c r="C14" s="773" t="n"/>
      <c r="D14" s="773" t="n"/>
      <c r="E14" s="773" t="n"/>
      <c r="F14" s="774" t="n"/>
      <c r="G14" s="569">
        <f>VeriGiris!G39</f>
        <v/>
      </c>
      <c r="H14" s="774" t="n"/>
      <c r="I14" s="749">
        <f>VeriGiris!I39</f>
        <v/>
      </c>
      <c r="J14" s="774" t="n"/>
      <c r="K14" s="749">
        <f>VeriGiris!K39</f>
        <v/>
      </c>
      <c r="L14" s="774" t="n"/>
      <c r="M14" s="749">
        <f>VeriGiris!M39</f>
        <v/>
      </c>
      <c r="N14" s="774" t="n"/>
      <c r="O14" s="749">
        <f>VeriGiris!O39</f>
        <v/>
      </c>
      <c r="P14" s="774" t="n"/>
      <c r="Q14" s="749">
        <f>VeriGiris!Q39</f>
        <v/>
      </c>
      <c r="R14" s="774" t="n"/>
      <c r="S14" s="749">
        <f>VeriGiris!S39</f>
        <v/>
      </c>
      <c r="T14" s="774" t="n"/>
      <c r="U14" s="749">
        <f>VeriGiris!U39</f>
        <v/>
      </c>
      <c r="V14" s="774" t="n"/>
      <c r="W14" s="749">
        <f>VeriGiris!W39</f>
        <v/>
      </c>
      <c r="X14" s="774" t="n"/>
      <c r="Y14" s="749">
        <f>VeriGiris!Y39</f>
        <v/>
      </c>
      <c r="Z14" s="774" t="n"/>
      <c r="AA14" s="749">
        <f>VeriGiris!AA39</f>
        <v/>
      </c>
      <c r="AB14" s="774" t="n"/>
      <c r="AC14" s="749">
        <f>VeriGiris!AC39</f>
        <v/>
      </c>
      <c r="AD14" s="774" t="n"/>
      <c r="AE14" s="79" t="n"/>
      <c r="AF14" s="79" t="n"/>
    </row>
    <row r="15" ht="15" customHeight="1" s="321">
      <c r="B15" s="619" t="inlineStr">
        <is>
          <t>Birim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79" t="n"/>
      <c r="AF15" s="79" t="n"/>
    </row>
    <row r="16" ht="15" customHeight="1" s="321">
      <c r="B16" s="619" t="inlineStr">
        <is>
          <t xml:space="preserve">Satış Geliri  </t>
        </is>
      </c>
      <c r="C16" s="773" t="n"/>
      <c r="D16" s="773" t="n"/>
      <c r="E16" s="773" t="n"/>
      <c r="F16" s="774" t="n"/>
      <c r="G16" s="569">
        <f>G15</f>
        <v/>
      </c>
      <c r="H16" s="774" t="n"/>
      <c r="I16" s="608">
        <f>I14*I15</f>
        <v/>
      </c>
      <c r="J16" s="774" t="n"/>
      <c r="K16" s="608">
        <f>K14*K15</f>
        <v/>
      </c>
      <c r="L16" s="774" t="n"/>
      <c r="M16" s="608">
        <f>M14*M15</f>
        <v/>
      </c>
      <c r="N16" s="774" t="n"/>
      <c r="O16" s="608">
        <f>O14*O15</f>
        <v/>
      </c>
      <c r="P16" s="774" t="n"/>
      <c r="Q16" s="608">
        <f>Q14*Q15</f>
        <v/>
      </c>
      <c r="R16" s="774" t="n"/>
      <c r="S16" s="608">
        <f>S14*S15</f>
        <v/>
      </c>
      <c r="T16" s="774" t="n"/>
      <c r="U16" s="608">
        <f>U14*U15</f>
        <v/>
      </c>
      <c r="V16" s="774" t="n"/>
      <c r="W16" s="608">
        <f>W14*W15</f>
        <v/>
      </c>
      <c r="X16" s="774" t="n"/>
      <c r="Y16" s="608">
        <f>Y14*Y15</f>
        <v/>
      </c>
      <c r="Z16" s="774" t="n"/>
      <c r="AA16" s="608">
        <f>AA14*AA15</f>
        <v/>
      </c>
      <c r="AB16" s="774" t="n"/>
      <c r="AC16" s="608">
        <f>AC14*AC15</f>
        <v/>
      </c>
      <c r="AD16" s="774" t="n"/>
      <c r="AE16" s="79" t="n"/>
      <c r="AF16" s="79" t="n"/>
    </row>
    <row r="17" hidden="1" ht="14.45" customHeight="1" s="321">
      <c r="A17" s="13" t="n">
        <v>2</v>
      </c>
      <c r="B17" s="659">
        <f>VeriGiris!B42</f>
        <v/>
      </c>
      <c r="C17" s="773" t="n"/>
      <c r="D17" s="773" t="n"/>
      <c r="E17" s="773" t="n"/>
      <c r="F17" s="774" t="n"/>
      <c r="G17" s="618" t="n"/>
      <c r="H17" s="774" t="n"/>
      <c r="I17" s="616" t="n"/>
      <c r="J17" s="774" t="n"/>
      <c r="K17" s="616" t="n"/>
      <c r="L17" s="774" t="n"/>
      <c r="M17" s="616" t="n"/>
      <c r="N17" s="774" t="n"/>
      <c r="O17" s="616" t="n"/>
      <c r="P17" s="774" t="n"/>
      <c r="Q17" s="616" t="n"/>
      <c r="R17" s="774" t="n"/>
      <c r="S17" s="616" t="n"/>
      <c r="T17" s="774" t="n"/>
      <c r="U17" s="616" t="n"/>
      <c r="V17" s="774" t="n"/>
      <c r="W17" s="616" t="n"/>
      <c r="X17" s="774" t="n"/>
      <c r="Y17" s="616" t="n"/>
      <c r="Z17" s="774" t="n"/>
      <c r="AA17" s="616" t="n"/>
      <c r="AB17" s="774" t="n"/>
      <c r="AC17" s="616" t="n"/>
      <c r="AD17" s="774" t="n"/>
      <c r="AE17" s="79" t="n"/>
      <c r="AF17" s="79" t="n"/>
    </row>
    <row r="18" hidden="1" ht="14.45" customHeight="1" s="321">
      <c r="B18" s="619">
        <f>$B$14</f>
        <v/>
      </c>
      <c r="C18" s="773" t="n"/>
      <c r="D18" s="773" t="n"/>
      <c r="E18" s="773" t="n"/>
      <c r="F18" s="774" t="n"/>
      <c r="G18" s="569">
        <f>VeriGiris!G45</f>
        <v/>
      </c>
      <c r="H18" s="774" t="n"/>
      <c r="I18" s="749">
        <f>VeriGiris!I45</f>
        <v/>
      </c>
      <c r="J18" s="774" t="n"/>
      <c r="K18" s="749">
        <f>VeriGiris!K45</f>
        <v/>
      </c>
      <c r="L18" s="774" t="n"/>
      <c r="M18" s="749">
        <f>VeriGiris!M45</f>
        <v/>
      </c>
      <c r="N18" s="774" t="n"/>
      <c r="O18" s="749">
        <f>VeriGiris!O45</f>
        <v/>
      </c>
      <c r="P18" s="774" t="n"/>
      <c r="Q18" s="749">
        <f>VeriGiris!Q45</f>
        <v/>
      </c>
      <c r="R18" s="774" t="n"/>
      <c r="S18" s="749">
        <f>VeriGiris!S45</f>
        <v/>
      </c>
      <c r="T18" s="774" t="n"/>
      <c r="U18" s="749">
        <f>VeriGiris!U45</f>
        <v/>
      </c>
      <c r="V18" s="774" t="n"/>
      <c r="W18" s="749">
        <f>VeriGiris!W45</f>
        <v/>
      </c>
      <c r="X18" s="774" t="n"/>
      <c r="Y18" s="749">
        <f>VeriGiris!Y45</f>
        <v/>
      </c>
      <c r="Z18" s="774" t="n"/>
      <c r="AA18" s="749">
        <f>VeriGiris!AA45</f>
        <v/>
      </c>
      <c r="AB18" s="774" t="n"/>
      <c r="AC18" s="749">
        <f>VeriGiris!AC45</f>
        <v/>
      </c>
      <c r="AD18" s="774" t="n"/>
      <c r="AE18" s="79" t="n"/>
      <c r="AF18" s="79" t="n"/>
    </row>
    <row r="19" hidden="1" ht="14.45" customHeight="1" s="321">
      <c r="B19" s="619">
        <f>$B$15</f>
        <v/>
      </c>
      <c r="C19" s="773" t="n"/>
      <c r="D19" s="773" t="n"/>
      <c r="E19" s="773" t="n"/>
      <c r="F19" s="774" t="n"/>
      <c r="G19" s="569">
        <f>VeriGiris!G46</f>
        <v/>
      </c>
      <c r="H19" s="774" t="n"/>
      <c r="I19" s="749">
        <f>VeriGiris!I46</f>
        <v/>
      </c>
      <c r="J19" s="774" t="n"/>
      <c r="K19" s="749">
        <f>VeriGiris!K46</f>
        <v/>
      </c>
      <c r="L19" s="774" t="n"/>
      <c r="M19" s="749">
        <f>VeriGiris!M46</f>
        <v/>
      </c>
      <c r="N19" s="774" t="n"/>
      <c r="O19" s="749">
        <f>VeriGiris!O46</f>
        <v/>
      </c>
      <c r="P19" s="774" t="n"/>
      <c r="Q19" s="749">
        <f>VeriGiris!Q46</f>
        <v/>
      </c>
      <c r="R19" s="774" t="n"/>
      <c r="S19" s="749">
        <f>VeriGiris!S46</f>
        <v/>
      </c>
      <c r="T19" s="774" t="n"/>
      <c r="U19" s="749">
        <f>VeriGiris!U46</f>
        <v/>
      </c>
      <c r="V19" s="774" t="n"/>
      <c r="W19" s="749">
        <f>VeriGiris!W46</f>
        <v/>
      </c>
      <c r="X19" s="774" t="n"/>
      <c r="Y19" s="749">
        <f>VeriGiris!Y46</f>
        <v/>
      </c>
      <c r="Z19" s="774" t="n"/>
      <c r="AA19" s="749">
        <f>VeriGiris!AA46</f>
        <v/>
      </c>
      <c r="AB19" s="774" t="n"/>
      <c r="AC19" s="749">
        <f>VeriGiris!AC46</f>
        <v/>
      </c>
      <c r="AD19" s="774" t="n"/>
      <c r="AE19" s="79" t="n"/>
      <c r="AF19" s="79" t="n"/>
    </row>
    <row r="20" hidden="1" ht="14.45" customHeight="1" s="321">
      <c r="B20" s="619">
        <f>$B$16</f>
        <v/>
      </c>
      <c r="C20" s="773" t="n"/>
      <c r="D20" s="773" t="n"/>
      <c r="E20" s="773" t="n"/>
      <c r="F20" s="774" t="n"/>
      <c r="G20" s="569">
        <f>G19</f>
        <v/>
      </c>
      <c r="H20" s="774" t="n"/>
      <c r="I20" s="608">
        <f>I18*I19</f>
        <v/>
      </c>
      <c r="J20" s="774" t="n"/>
      <c r="K20" s="608">
        <f>K18*K19</f>
        <v/>
      </c>
      <c r="L20" s="774" t="n"/>
      <c r="M20" s="608">
        <f>M18*M19</f>
        <v/>
      </c>
      <c r="N20" s="774" t="n"/>
      <c r="O20" s="608">
        <f>O18*O19</f>
        <v/>
      </c>
      <c r="P20" s="774" t="n"/>
      <c r="Q20" s="608">
        <f>Q18*Q19</f>
        <v/>
      </c>
      <c r="R20" s="774" t="n"/>
      <c r="S20" s="608">
        <f>S18*S19</f>
        <v/>
      </c>
      <c r="T20" s="774" t="n"/>
      <c r="U20" s="608">
        <f>U18*U19</f>
        <v/>
      </c>
      <c r="V20" s="774" t="n"/>
      <c r="W20" s="608">
        <f>W18*W19</f>
        <v/>
      </c>
      <c r="X20" s="774" t="n"/>
      <c r="Y20" s="608">
        <f>Y18*Y19</f>
        <v/>
      </c>
      <c r="Z20" s="774" t="n"/>
      <c r="AA20" s="608">
        <f>AA18*AA19</f>
        <v/>
      </c>
      <c r="AB20" s="774" t="n"/>
      <c r="AC20" s="608">
        <f>AC18*AC19</f>
        <v/>
      </c>
      <c r="AD20" s="774" t="n"/>
      <c r="AE20" s="79" t="n"/>
      <c r="AF20" s="79" t="n"/>
    </row>
    <row r="21" hidden="1" ht="14.45" customHeight="1" s="321">
      <c r="A21" s="13" t="n">
        <v>3</v>
      </c>
      <c r="B21" s="659">
        <f>VeriGiris!B48</f>
        <v/>
      </c>
      <c r="C21" s="773" t="n"/>
      <c r="D21" s="773" t="n"/>
      <c r="E21" s="773" t="n"/>
      <c r="F21" s="774" t="n"/>
      <c r="G21" s="618" t="n"/>
      <c r="H21" s="774" t="n"/>
      <c r="I21" s="616" t="n"/>
      <c r="J21" s="774" t="n"/>
      <c r="K21" s="616" t="n"/>
      <c r="L21" s="774" t="n"/>
      <c r="M21" s="616" t="n"/>
      <c r="N21" s="774" t="n"/>
      <c r="O21" s="616" t="n"/>
      <c r="P21" s="774" t="n"/>
      <c r="Q21" s="616" t="n"/>
      <c r="R21" s="774" t="n"/>
      <c r="S21" s="616" t="n"/>
      <c r="T21" s="774" t="n"/>
      <c r="U21" s="616" t="n"/>
      <c r="V21" s="774" t="n"/>
      <c r="W21" s="616" t="n"/>
      <c r="X21" s="774" t="n"/>
      <c r="Y21" s="616" t="n"/>
      <c r="Z21" s="774" t="n"/>
      <c r="AA21" s="616" t="n"/>
      <c r="AB21" s="774" t="n"/>
      <c r="AC21" s="616" t="n"/>
      <c r="AD21" s="774" t="n"/>
      <c r="AE21" s="79" t="n"/>
      <c r="AF21" s="79" t="n"/>
    </row>
    <row r="22" hidden="1" ht="14.45" customHeight="1" s="321">
      <c r="B22" s="619">
        <f>$B$14</f>
        <v/>
      </c>
      <c r="C22" s="773" t="n"/>
      <c r="D22" s="773" t="n"/>
      <c r="E22" s="773" t="n"/>
      <c r="F22" s="774" t="n"/>
      <c r="G22" s="569">
        <f>VeriGiris!G51</f>
        <v/>
      </c>
      <c r="H22" s="774" t="n"/>
      <c r="I22" s="749">
        <f>VeriGiris!I51</f>
        <v/>
      </c>
      <c r="J22" s="774" t="n"/>
      <c r="K22" s="749">
        <f>VeriGiris!K51</f>
        <v/>
      </c>
      <c r="L22" s="774" t="n"/>
      <c r="M22" s="749">
        <f>VeriGiris!M51</f>
        <v/>
      </c>
      <c r="N22" s="774" t="n"/>
      <c r="O22" s="749">
        <f>VeriGiris!O51</f>
        <v/>
      </c>
      <c r="P22" s="774" t="n"/>
      <c r="Q22" s="749">
        <f>VeriGiris!Q51</f>
        <v/>
      </c>
      <c r="R22" s="774" t="n"/>
      <c r="S22" s="749">
        <f>VeriGiris!S51</f>
        <v/>
      </c>
      <c r="T22" s="774" t="n"/>
      <c r="U22" s="749">
        <f>VeriGiris!U51</f>
        <v/>
      </c>
      <c r="V22" s="774" t="n"/>
      <c r="W22" s="749">
        <f>VeriGiris!W51</f>
        <v/>
      </c>
      <c r="X22" s="774" t="n"/>
      <c r="Y22" s="749">
        <f>VeriGiris!Y51</f>
        <v/>
      </c>
      <c r="Z22" s="774" t="n"/>
      <c r="AA22" s="749">
        <f>VeriGiris!AA51</f>
        <v/>
      </c>
      <c r="AB22" s="774" t="n"/>
      <c r="AC22" s="749">
        <f>VeriGiris!AC51</f>
        <v/>
      </c>
      <c r="AD22" s="774" t="n"/>
      <c r="AE22" s="79" t="n"/>
      <c r="AF22" s="79" t="n"/>
    </row>
    <row r="23" hidden="1" ht="14.45" customHeight="1" s="321">
      <c r="B23" s="619">
        <f>$B$15</f>
        <v/>
      </c>
      <c r="C23" s="773" t="n"/>
      <c r="D23" s="773" t="n"/>
      <c r="E23" s="773" t="n"/>
      <c r="F23" s="774" t="n"/>
      <c r="G23" s="569">
        <f>VeriGiris!G52</f>
        <v/>
      </c>
      <c r="H23" s="774" t="n"/>
      <c r="I23" s="749">
        <f>VeriGiris!I52</f>
        <v/>
      </c>
      <c r="J23" s="774" t="n"/>
      <c r="K23" s="749">
        <f>VeriGiris!K52</f>
        <v/>
      </c>
      <c r="L23" s="774" t="n"/>
      <c r="M23" s="749">
        <f>VeriGiris!M52</f>
        <v/>
      </c>
      <c r="N23" s="774" t="n"/>
      <c r="O23" s="749">
        <f>VeriGiris!O52</f>
        <v/>
      </c>
      <c r="P23" s="774" t="n"/>
      <c r="Q23" s="749">
        <f>VeriGiris!Q52</f>
        <v/>
      </c>
      <c r="R23" s="774" t="n"/>
      <c r="S23" s="749">
        <f>VeriGiris!S52</f>
        <v/>
      </c>
      <c r="T23" s="774" t="n"/>
      <c r="U23" s="749">
        <f>VeriGiris!U52</f>
        <v/>
      </c>
      <c r="V23" s="774" t="n"/>
      <c r="W23" s="749">
        <f>VeriGiris!W52</f>
        <v/>
      </c>
      <c r="X23" s="774" t="n"/>
      <c r="Y23" s="749">
        <f>VeriGiris!Y52</f>
        <v/>
      </c>
      <c r="Z23" s="774" t="n"/>
      <c r="AA23" s="749">
        <f>VeriGiris!AA52</f>
        <v/>
      </c>
      <c r="AB23" s="774" t="n"/>
      <c r="AC23" s="749">
        <f>VeriGiris!AC52</f>
        <v/>
      </c>
      <c r="AD23" s="774" t="n"/>
      <c r="AE23" s="79" t="n"/>
      <c r="AF23" s="79" t="n"/>
    </row>
    <row r="24" hidden="1" ht="14.45" customHeight="1" s="321">
      <c r="B24" s="619">
        <f>$B$16</f>
        <v/>
      </c>
      <c r="C24" s="773" t="n"/>
      <c r="D24" s="773" t="n"/>
      <c r="E24" s="773" t="n"/>
      <c r="F24" s="774" t="n"/>
      <c r="G24" s="569">
        <f>G23</f>
        <v/>
      </c>
      <c r="H24" s="774" t="n"/>
      <c r="I24" s="608">
        <f>I22*I23</f>
        <v/>
      </c>
      <c r="J24" s="774" t="n"/>
      <c r="K24" s="608">
        <f>K22*K23</f>
        <v/>
      </c>
      <c r="L24" s="774" t="n"/>
      <c r="M24" s="608">
        <f>M22*M23</f>
        <v/>
      </c>
      <c r="N24" s="774" t="n"/>
      <c r="O24" s="608">
        <f>O22*O23</f>
        <v/>
      </c>
      <c r="P24" s="774" t="n"/>
      <c r="Q24" s="608">
        <f>Q22*Q23</f>
        <v/>
      </c>
      <c r="R24" s="774" t="n"/>
      <c r="S24" s="608">
        <f>S22*S23</f>
        <v/>
      </c>
      <c r="T24" s="774" t="n"/>
      <c r="U24" s="608">
        <f>U22*U23</f>
        <v/>
      </c>
      <c r="V24" s="774" t="n"/>
      <c r="W24" s="608">
        <f>W22*W23</f>
        <v/>
      </c>
      <c r="X24" s="774" t="n"/>
      <c r="Y24" s="608">
        <f>Y22*Y23</f>
        <v/>
      </c>
      <c r="Z24" s="774" t="n"/>
      <c r="AA24" s="608">
        <f>AA22*AA23</f>
        <v/>
      </c>
      <c r="AB24" s="774" t="n"/>
      <c r="AC24" s="608">
        <f>AC22*AC23</f>
        <v/>
      </c>
      <c r="AD24" s="774" t="n"/>
      <c r="AE24" s="79" t="n"/>
      <c r="AF24" s="79" t="n"/>
    </row>
    <row r="25" hidden="1" ht="15" customHeight="1" s="321">
      <c r="A25" s="13" t="n">
        <v>4</v>
      </c>
      <c r="B25" s="659">
        <f>VeriGiris!B54</f>
        <v/>
      </c>
      <c r="C25" s="773" t="n"/>
      <c r="D25" s="773" t="n"/>
      <c r="E25" s="773" t="n"/>
      <c r="F25" s="774" t="n"/>
      <c r="G25" s="618" t="n"/>
      <c r="H25" s="774" t="n"/>
      <c r="I25" s="616" t="n"/>
      <c r="J25" s="774" t="n"/>
      <c r="K25" s="616" t="n"/>
      <c r="L25" s="774" t="n"/>
      <c r="M25" s="616" t="n"/>
      <c r="N25" s="774" t="n"/>
      <c r="O25" s="616" t="n"/>
      <c r="P25" s="774" t="n"/>
      <c r="Q25" s="616" t="n"/>
      <c r="R25" s="774" t="n"/>
      <c r="S25" s="616" t="n"/>
      <c r="T25" s="774" t="n"/>
      <c r="U25" s="616" t="n"/>
      <c r="V25" s="774" t="n"/>
      <c r="W25" s="616" t="n"/>
      <c r="X25" s="774" t="n"/>
      <c r="Y25" s="616" t="n"/>
      <c r="Z25" s="774" t="n"/>
      <c r="AA25" s="616" t="n"/>
      <c r="AB25" s="774" t="n"/>
      <c r="AC25" s="616" t="n"/>
      <c r="AD25" s="774" t="n"/>
      <c r="AE25" s="79" t="n"/>
      <c r="AF25" s="79" t="n"/>
    </row>
    <row r="26" hidden="1" ht="15" customHeight="1" s="321">
      <c r="B26" s="619">
        <f>$B$14</f>
        <v/>
      </c>
      <c r="C26" s="773" t="n"/>
      <c r="D26" s="773" t="n"/>
      <c r="E26" s="773" t="n"/>
      <c r="F26" s="774" t="n"/>
      <c r="G26" s="569">
        <f>VeriGiris!G57</f>
        <v/>
      </c>
      <c r="H26" s="774" t="n"/>
      <c r="I26" s="749">
        <f>VeriGiris!I57</f>
        <v/>
      </c>
      <c r="J26" s="774" t="n"/>
      <c r="K26" s="749">
        <f>VeriGiris!K57</f>
        <v/>
      </c>
      <c r="L26" s="774" t="n"/>
      <c r="M26" s="749">
        <f>VeriGiris!M57</f>
        <v/>
      </c>
      <c r="N26" s="774" t="n"/>
      <c r="O26" s="749">
        <f>VeriGiris!O57</f>
        <v/>
      </c>
      <c r="P26" s="774" t="n"/>
      <c r="Q26" s="749">
        <f>VeriGiris!Q57</f>
        <v/>
      </c>
      <c r="R26" s="774" t="n"/>
      <c r="S26" s="749">
        <f>VeriGiris!S57</f>
        <v/>
      </c>
      <c r="T26" s="774" t="n"/>
      <c r="U26" s="749">
        <f>VeriGiris!U57</f>
        <v/>
      </c>
      <c r="V26" s="774" t="n"/>
      <c r="W26" s="749">
        <f>VeriGiris!W57</f>
        <v/>
      </c>
      <c r="X26" s="774" t="n"/>
      <c r="Y26" s="749">
        <f>VeriGiris!Y57</f>
        <v/>
      </c>
      <c r="Z26" s="774" t="n"/>
      <c r="AA26" s="749">
        <f>VeriGiris!AA57</f>
        <v/>
      </c>
      <c r="AB26" s="774" t="n"/>
      <c r="AC26" s="749">
        <f>VeriGiris!AC57</f>
        <v/>
      </c>
      <c r="AD26" s="774" t="n"/>
      <c r="AE26" s="79" t="n"/>
      <c r="AF26" s="79" t="n"/>
    </row>
    <row r="27" hidden="1" ht="15" customHeight="1" s="321">
      <c r="B27" s="619">
        <f>$B$15</f>
        <v/>
      </c>
      <c r="C27" s="773" t="n"/>
      <c r="D27" s="773" t="n"/>
      <c r="E27" s="773" t="n"/>
      <c r="F27" s="774" t="n"/>
      <c r="G27" s="569">
        <f>VeriGiris!G58</f>
        <v/>
      </c>
      <c r="H27" s="774" t="n"/>
      <c r="I27" s="749">
        <f>VeriGiris!I58</f>
        <v/>
      </c>
      <c r="J27" s="774" t="n"/>
      <c r="K27" s="749">
        <f>VeriGiris!K58</f>
        <v/>
      </c>
      <c r="L27" s="774" t="n"/>
      <c r="M27" s="749">
        <f>VeriGiris!M58</f>
        <v/>
      </c>
      <c r="N27" s="774" t="n"/>
      <c r="O27" s="749">
        <f>VeriGiris!O58</f>
        <v/>
      </c>
      <c r="P27" s="774" t="n"/>
      <c r="Q27" s="749">
        <f>VeriGiris!Q58</f>
        <v/>
      </c>
      <c r="R27" s="774" t="n"/>
      <c r="S27" s="749">
        <f>VeriGiris!S58</f>
        <v/>
      </c>
      <c r="T27" s="774" t="n"/>
      <c r="U27" s="749">
        <f>VeriGiris!U58</f>
        <v/>
      </c>
      <c r="V27" s="774" t="n"/>
      <c r="W27" s="749">
        <f>VeriGiris!W58</f>
        <v/>
      </c>
      <c r="X27" s="774" t="n"/>
      <c r="Y27" s="749">
        <f>VeriGiris!Y58</f>
        <v/>
      </c>
      <c r="Z27" s="774" t="n"/>
      <c r="AA27" s="749">
        <f>VeriGiris!AA58</f>
        <v/>
      </c>
      <c r="AB27" s="774" t="n"/>
      <c r="AC27" s="749">
        <f>VeriGiris!AC58</f>
        <v/>
      </c>
      <c r="AD27" s="774" t="n"/>
      <c r="AE27" s="79" t="n"/>
      <c r="AF27" s="79" t="n"/>
    </row>
    <row r="28" hidden="1" ht="15" customHeight="1" s="321">
      <c r="B28" s="619">
        <f>$B$16</f>
        <v/>
      </c>
      <c r="C28" s="773" t="n"/>
      <c r="D28" s="773" t="n"/>
      <c r="E28" s="773" t="n"/>
      <c r="F28" s="774" t="n"/>
      <c r="G28" s="569">
        <f>G27</f>
        <v/>
      </c>
      <c r="H28" s="774" t="n"/>
      <c r="I28" s="608">
        <f>I26*I27</f>
        <v/>
      </c>
      <c r="J28" s="774" t="n"/>
      <c r="K28" s="608">
        <f>K26*K27</f>
        <v/>
      </c>
      <c r="L28" s="774" t="n"/>
      <c r="M28" s="608">
        <f>M26*M27</f>
        <v/>
      </c>
      <c r="N28" s="774" t="n"/>
      <c r="O28" s="608">
        <f>O26*O27</f>
        <v/>
      </c>
      <c r="P28" s="774" t="n"/>
      <c r="Q28" s="608">
        <f>Q26*Q27</f>
        <v/>
      </c>
      <c r="R28" s="774" t="n"/>
      <c r="S28" s="608">
        <f>S26*S27</f>
        <v/>
      </c>
      <c r="T28" s="774" t="n"/>
      <c r="U28" s="608">
        <f>U26*U27</f>
        <v/>
      </c>
      <c r="V28" s="774" t="n"/>
      <c r="W28" s="608">
        <f>W26*W27</f>
        <v/>
      </c>
      <c r="X28" s="774" t="n"/>
      <c r="Y28" s="608">
        <f>Y26*Y27</f>
        <v/>
      </c>
      <c r="Z28" s="774" t="n"/>
      <c r="AA28" s="608">
        <f>AA26*AA27</f>
        <v/>
      </c>
      <c r="AB28" s="774" t="n"/>
      <c r="AC28" s="608">
        <f>AC26*AC27</f>
        <v/>
      </c>
      <c r="AD28" s="774" t="n"/>
      <c r="AE28" s="79" t="n"/>
      <c r="AF28" s="79" t="n"/>
    </row>
    <row r="29" hidden="1" ht="15" customHeight="1" s="321">
      <c r="A29" s="13" t="n">
        <v>5</v>
      </c>
      <c r="B29" s="659">
        <f>VeriGiris!B60</f>
        <v/>
      </c>
      <c r="C29" s="773" t="n"/>
      <c r="D29" s="773" t="n"/>
      <c r="E29" s="773" t="n"/>
      <c r="F29" s="774" t="n"/>
      <c r="G29" s="618" t="n"/>
      <c r="H29" s="774" t="n"/>
      <c r="I29" s="616" t="n"/>
      <c r="J29" s="774" t="n"/>
      <c r="K29" s="616" t="n"/>
      <c r="L29" s="774" t="n"/>
      <c r="M29" s="616" t="n"/>
      <c r="N29" s="774" t="n"/>
      <c r="O29" s="616" t="n"/>
      <c r="P29" s="774" t="n"/>
      <c r="Q29" s="616" t="n"/>
      <c r="R29" s="774" t="n"/>
      <c r="S29" s="616" t="n"/>
      <c r="T29" s="774" t="n"/>
      <c r="U29" s="616" t="n"/>
      <c r="V29" s="774" t="n"/>
      <c r="W29" s="616" t="n"/>
      <c r="X29" s="774" t="n"/>
      <c r="Y29" s="616" t="n"/>
      <c r="Z29" s="774" t="n"/>
      <c r="AA29" s="616" t="n"/>
      <c r="AB29" s="774" t="n"/>
      <c r="AC29" s="616" t="n"/>
      <c r="AD29" s="774" t="n"/>
      <c r="AE29" s="79" t="n"/>
      <c r="AF29" s="79" t="n"/>
    </row>
    <row r="30" hidden="1" ht="15" customHeight="1" s="321">
      <c r="B30" s="619">
        <f>$B$14</f>
        <v/>
      </c>
      <c r="C30" s="773" t="n"/>
      <c r="D30" s="773" t="n"/>
      <c r="E30" s="773" t="n"/>
      <c r="F30" s="774" t="n"/>
      <c r="G30" s="569">
        <f>VeriGiris!G63</f>
        <v/>
      </c>
      <c r="H30" s="774" t="n"/>
      <c r="I30" s="749">
        <f>VeriGiris!I63</f>
        <v/>
      </c>
      <c r="J30" s="774" t="n"/>
      <c r="K30" s="749">
        <f>VeriGiris!K63</f>
        <v/>
      </c>
      <c r="L30" s="774" t="n"/>
      <c r="M30" s="749">
        <f>VeriGiris!M63</f>
        <v/>
      </c>
      <c r="N30" s="774" t="n"/>
      <c r="O30" s="749">
        <f>VeriGiris!O63</f>
        <v/>
      </c>
      <c r="P30" s="774" t="n"/>
      <c r="Q30" s="749">
        <f>VeriGiris!Q63</f>
        <v/>
      </c>
      <c r="R30" s="774" t="n"/>
      <c r="S30" s="749">
        <f>VeriGiris!S63</f>
        <v/>
      </c>
      <c r="T30" s="774" t="n"/>
      <c r="U30" s="749">
        <f>VeriGiris!U63</f>
        <v/>
      </c>
      <c r="V30" s="774" t="n"/>
      <c r="W30" s="749">
        <f>VeriGiris!W63</f>
        <v/>
      </c>
      <c r="X30" s="774" t="n"/>
      <c r="Y30" s="749">
        <f>VeriGiris!Y63</f>
        <v/>
      </c>
      <c r="Z30" s="774" t="n"/>
      <c r="AA30" s="749">
        <f>VeriGiris!AA63</f>
        <v/>
      </c>
      <c r="AB30" s="774" t="n"/>
      <c r="AC30" s="749">
        <f>VeriGiris!AC63</f>
        <v/>
      </c>
      <c r="AD30" s="774" t="n"/>
      <c r="AE30" s="79" t="n"/>
      <c r="AF30" s="79" t="n"/>
    </row>
    <row r="31" hidden="1" ht="15" customHeight="1" s="321">
      <c r="B31" s="619">
        <f>$B$15</f>
        <v/>
      </c>
      <c r="C31" s="773" t="n"/>
      <c r="D31" s="773" t="n"/>
      <c r="E31" s="773" t="n"/>
      <c r="F31" s="774" t="n"/>
      <c r="G31" s="569">
        <f>VeriGiris!G64</f>
        <v/>
      </c>
      <c r="H31" s="774" t="n"/>
      <c r="I31" s="749">
        <f>VeriGiris!I64</f>
        <v/>
      </c>
      <c r="J31" s="774" t="n"/>
      <c r="K31" s="749">
        <f>VeriGiris!K64</f>
        <v/>
      </c>
      <c r="L31" s="774" t="n"/>
      <c r="M31" s="749">
        <f>VeriGiris!M64</f>
        <v/>
      </c>
      <c r="N31" s="774" t="n"/>
      <c r="O31" s="749">
        <f>VeriGiris!O64</f>
        <v/>
      </c>
      <c r="P31" s="774" t="n"/>
      <c r="Q31" s="749">
        <f>VeriGiris!Q64</f>
        <v/>
      </c>
      <c r="R31" s="774" t="n"/>
      <c r="S31" s="749">
        <f>VeriGiris!S64</f>
        <v/>
      </c>
      <c r="T31" s="774" t="n"/>
      <c r="U31" s="749">
        <f>VeriGiris!U64</f>
        <v/>
      </c>
      <c r="V31" s="774" t="n"/>
      <c r="W31" s="749">
        <f>VeriGiris!W64</f>
        <v/>
      </c>
      <c r="X31" s="774" t="n"/>
      <c r="Y31" s="749">
        <f>VeriGiris!Y64</f>
        <v/>
      </c>
      <c r="Z31" s="774" t="n"/>
      <c r="AA31" s="749">
        <f>VeriGiris!AA64</f>
        <v/>
      </c>
      <c r="AB31" s="774" t="n"/>
      <c r="AC31" s="749">
        <f>VeriGiris!AC64</f>
        <v/>
      </c>
      <c r="AD31" s="774" t="n"/>
      <c r="AE31" s="79" t="n"/>
      <c r="AF31" s="79" t="n"/>
    </row>
    <row r="32" hidden="1" ht="15" customHeight="1" s="321">
      <c r="B32" s="619">
        <f>$B$16</f>
        <v/>
      </c>
      <c r="C32" s="773" t="n"/>
      <c r="D32" s="773" t="n"/>
      <c r="E32" s="773" t="n"/>
      <c r="F32" s="774" t="n"/>
      <c r="G32" s="569">
        <f>G31</f>
        <v/>
      </c>
      <c r="H32" s="774" t="n"/>
      <c r="I32" s="608">
        <f>I30*I31</f>
        <v/>
      </c>
      <c r="J32" s="774" t="n"/>
      <c r="K32" s="608">
        <f>K30*K31</f>
        <v/>
      </c>
      <c r="L32" s="774" t="n"/>
      <c r="M32" s="608">
        <f>M30*M31</f>
        <v/>
      </c>
      <c r="N32" s="774" t="n"/>
      <c r="O32" s="608">
        <f>O30*O31</f>
        <v/>
      </c>
      <c r="P32" s="774" t="n"/>
      <c r="Q32" s="608">
        <f>Q30*Q31</f>
        <v/>
      </c>
      <c r="R32" s="774" t="n"/>
      <c r="S32" s="608">
        <f>S30*S31</f>
        <v/>
      </c>
      <c r="T32" s="774" t="n"/>
      <c r="U32" s="608">
        <f>U30*U31</f>
        <v/>
      </c>
      <c r="V32" s="774" t="n"/>
      <c r="W32" s="608">
        <f>W30*W31</f>
        <v/>
      </c>
      <c r="X32" s="774" t="n"/>
      <c r="Y32" s="608">
        <f>Y30*Y31</f>
        <v/>
      </c>
      <c r="Z32" s="774" t="n"/>
      <c r="AA32" s="608">
        <f>AA30*AA31</f>
        <v/>
      </c>
      <c r="AB32" s="774" t="n"/>
      <c r="AC32" s="608">
        <f>AC30*AC31</f>
        <v/>
      </c>
      <c r="AD32" s="774" t="n"/>
      <c r="AE32" s="79" t="n"/>
      <c r="AF32" s="79" t="n"/>
    </row>
    <row r="33" hidden="1" ht="15" customHeight="1" s="321">
      <c r="A33" s="13" t="n">
        <v>6</v>
      </c>
      <c r="B33" s="659">
        <f>VeriGiris!B66</f>
        <v/>
      </c>
      <c r="C33" s="773" t="n"/>
      <c r="D33" s="773" t="n"/>
      <c r="E33" s="773" t="n"/>
      <c r="F33" s="774" t="n"/>
      <c r="G33" s="618" t="n"/>
      <c r="H33" s="774" t="n"/>
      <c r="I33" s="616" t="n"/>
      <c r="J33" s="774" t="n"/>
      <c r="K33" s="616" t="n"/>
      <c r="L33" s="774" t="n"/>
      <c r="M33" s="616" t="n"/>
      <c r="N33" s="774" t="n"/>
      <c r="O33" s="616" t="n"/>
      <c r="P33" s="774" t="n"/>
      <c r="Q33" s="616" t="n"/>
      <c r="R33" s="774" t="n"/>
      <c r="S33" s="616" t="n"/>
      <c r="T33" s="774" t="n"/>
      <c r="U33" s="616" t="n"/>
      <c r="V33" s="774" t="n"/>
      <c r="W33" s="616" t="n"/>
      <c r="X33" s="774" t="n"/>
      <c r="Y33" s="616" t="n"/>
      <c r="Z33" s="774" t="n"/>
      <c r="AA33" s="616" t="n"/>
      <c r="AB33" s="774" t="n"/>
      <c r="AC33" s="616" t="n"/>
      <c r="AD33" s="774" t="n"/>
      <c r="AE33" s="79" t="n"/>
      <c r="AF33" s="79" t="n"/>
    </row>
    <row r="34" hidden="1" ht="15" customHeight="1" s="321">
      <c r="B34" s="619">
        <f>$B$14</f>
        <v/>
      </c>
      <c r="C34" s="773" t="n"/>
      <c r="D34" s="773" t="n"/>
      <c r="E34" s="773" t="n"/>
      <c r="F34" s="774" t="n"/>
      <c r="G34" s="569">
        <f>VeriGiris!G69</f>
        <v/>
      </c>
      <c r="H34" s="774" t="n"/>
      <c r="I34" s="749">
        <f>VeriGiris!I69</f>
        <v/>
      </c>
      <c r="J34" s="774" t="n"/>
      <c r="K34" s="749">
        <f>VeriGiris!K69</f>
        <v/>
      </c>
      <c r="L34" s="774" t="n"/>
      <c r="M34" s="749">
        <f>VeriGiris!M69</f>
        <v/>
      </c>
      <c r="N34" s="774" t="n"/>
      <c r="O34" s="749">
        <f>VeriGiris!O69</f>
        <v/>
      </c>
      <c r="P34" s="774" t="n"/>
      <c r="Q34" s="749">
        <f>VeriGiris!Q69</f>
        <v/>
      </c>
      <c r="R34" s="774" t="n"/>
      <c r="S34" s="749">
        <f>VeriGiris!S69</f>
        <v/>
      </c>
      <c r="T34" s="774" t="n"/>
      <c r="U34" s="749">
        <f>VeriGiris!U69</f>
        <v/>
      </c>
      <c r="V34" s="774" t="n"/>
      <c r="W34" s="749">
        <f>VeriGiris!W69</f>
        <v/>
      </c>
      <c r="X34" s="774" t="n"/>
      <c r="Y34" s="749">
        <f>VeriGiris!Y69</f>
        <v/>
      </c>
      <c r="Z34" s="774" t="n"/>
      <c r="AA34" s="749">
        <f>VeriGiris!AA69</f>
        <v/>
      </c>
      <c r="AB34" s="774" t="n"/>
      <c r="AC34" s="749">
        <f>VeriGiris!AC69</f>
        <v/>
      </c>
      <c r="AD34" s="774" t="n"/>
      <c r="AE34" s="79" t="n"/>
      <c r="AF34" s="79" t="n"/>
    </row>
    <row r="35" hidden="1" ht="15" customHeight="1" s="321">
      <c r="B35" s="619">
        <f>$B$15</f>
        <v/>
      </c>
      <c r="C35" s="773" t="n"/>
      <c r="D35" s="773" t="n"/>
      <c r="E35" s="773" t="n"/>
      <c r="F35" s="774" t="n"/>
      <c r="G35" s="569">
        <f>VeriGiris!G70</f>
        <v/>
      </c>
      <c r="H35" s="774" t="n"/>
      <c r="I35" s="749">
        <f>VeriGiris!I70</f>
        <v/>
      </c>
      <c r="J35" s="774" t="n"/>
      <c r="K35" s="749">
        <f>VeriGiris!K70</f>
        <v/>
      </c>
      <c r="L35" s="774" t="n"/>
      <c r="M35" s="749">
        <f>VeriGiris!M70</f>
        <v/>
      </c>
      <c r="N35" s="774" t="n"/>
      <c r="O35" s="749">
        <f>VeriGiris!O70</f>
        <v/>
      </c>
      <c r="P35" s="774" t="n"/>
      <c r="Q35" s="749">
        <f>VeriGiris!Q70</f>
        <v/>
      </c>
      <c r="R35" s="774" t="n"/>
      <c r="S35" s="749">
        <f>VeriGiris!S70</f>
        <v/>
      </c>
      <c r="T35" s="774" t="n"/>
      <c r="U35" s="749">
        <f>VeriGiris!U70</f>
        <v/>
      </c>
      <c r="V35" s="774" t="n"/>
      <c r="W35" s="749">
        <f>VeriGiris!W70</f>
        <v/>
      </c>
      <c r="X35" s="774" t="n"/>
      <c r="Y35" s="749">
        <f>VeriGiris!Y70</f>
        <v/>
      </c>
      <c r="Z35" s="774" t="n"/>
      <c r="AA35" s="749">
        <f>VeriGiris!AA70</f>
        <v/>
      </c>
      <c r="AB35" s="774" t="n"/>
      <c r="AC35" s="749">
        <f>VeriGiris!AC70</f>
        <v/>
      </c>
      <c r="AD35" s="774" t="n"/>
      <c r="AE35" s="79" t="n"/>
      <c r="AF35" s="79" t="n"/>
    </row>
    <row r="36" hidden="1" ht="15" customHeight="1" s="321">
      <c r="B36" s="619">
        <f>$B$16</f>
        <v/>
      </c>
      <c r="C36" s="773" t="n"/>
      <c r="D36" s="773" t="n"/>
      <c r="E36" s="773" t="n"/>
      <c r="F36" s="774" t="n"/>
      <c r="G36" s="569">
        <f>G35</f>
        <v/>
      </c>
      <c r="H36" s="774" t="n"/>
      <c r="I36" s="608">
        <f>I34*I35</f>
        <v/>
      </c>
      <c r="J36" s="774" t="n"/>
      <c r="K36" s="608">
        <f>K34*K35</f>
        <v/>
      </c>
      <c r="L36" s="774" t="n"/>
      <c r="M36" s="608">
        <f>M34*M35</f>
        <v/>
      </c>
      <c r="N36" s="774" t="n"/>
      <c r="O36" s="608">
        <f>O34*O35</f>
        <v/>
      </c>
      <c r="P36" s="774" t="n"/>
      <c r="Q36" s="608">
        <f>Q34*Q35</f>
        <v/>
      </c>
      <c r="R36" s="774" t="n"/>
      <c r="S36" s="608">
        <f>S34*S35</f>
        <v/>
      </c>
      <c r="T36" s="774" t="n"/>
      <c r="U36" s="608">
        <f>U34*U35</f>
        <v/>
      </c>
      <c r="V36" s="774" t="n"/>
      <c r="W36" s="608">
        <f>W34*W35</f>
        <v/>
      </c>
      <c r="X36" s="774" t="n"/>
      <c r="Y36" s="608">
        <f>Y34*Y35</f>
        <v/>
      </c>
      <c r="Z36" s="774" t="n"/>
      <c r="AA36" s="608">
        <f>AA34*AA35</f>
        <v/>
      </c>
      <c r="AB36" s="774" t="n"/>
      <c r="AC36" s="608">
        <f>AC34*AC35</f>
        <v/>
      </c>
      <c r="AD36" s="774" t="n"/>
      <c r="AE36" s="79" t="n"/>
      <c r="AF36" s="79" t="n"/>
    </row>
    <row r="37" hidden="1" ht="15" customHeight="1" s="321">
      <c r="A37" s="13" t="n">
        <v>7</v>
      </c>
      <c r="B37" s="659">
        <f>VeriGiris!B72</f>
        <v/>
      </c>
      <c r="C37" s="773" t="n"/>
      <c r="D37" s="773" t="n"/>
      <c r="E37" s="773" t="n"/>
      <c r="F37" s="774" t="n"/>
      <c r="G37" s="618" t="n"/>
      <c r="H37" s="774" t="n"/>
      <c r="I37" s="616" t="n"/>
      <c r="J37" s="774" t="n"/>
      <c r="K37" s="616" t="n"/>
      <c r="L37" s="774" t="n"/>
      <c r="M37" s="616" t="n"/>
      <c r="N37" s="774" t="n"/>
      <c r="O37" s="616" t="n"/>
      <c r="P37" s="774" t="n"/>
      <c r="Q37" s="616" t="n"/>
      <c r="R37" s="774" t="n"/>
      <c r="S37" s="616" t="n"/>
      <c r="T37" s="774" t="n"/>
      <c r="U37" s="616" t="n"/>
      <c r="V37" s="774" t="n"/>
      <c r="W37" s="616" t="n"/>
      <c r="X37" s="774" t="n"/>
      <c r="Y37" s="616" t="n"/>
      <c r="Z37" s="774" t="n"/>
      <c r="AA37" s="616" t="n"/>
      <c r="AB37" s="774" t="n"/>
      <c r="AC37" s="616" t="n"/>
      <c r="AD37" s="774" t="n"/>
      <c r="AE37" s="79" t="n"/>
      <c r="AF37" s="79" t="n"/>
    </row>
    <row r="38" hidden="1" ht="15" customHeight="1" s="321">
      <c r="B38" s="619">
        <f>$B$14</f>
        <v/>
      </c>
      <c r="C38" s="773" t="n"/>
      <c r="D38" s="773" t="n"/>
      <c r="E38" s="773" t="n"/>
      <c r="F38" s="774" t="n"/>
      <c r="G38" s="569">
        <f>VeriGiris!G75</f>
        <v/>
      </c>
      <c r="H38" s="774" t="n"/>
      <c r="I38" s="749">
        <f>VeriGiris!I75</f>
        <v/>
      </c>
      <c r="J38" s="774" t="n"/>
      <c r="K38" s="749">
        <f>VeriGiris!K75</f>
        <v/>
      </c>
      <c r="L38" s="774" t="n"/>
      <c r="M38" s="749">
        <f>VeriGiris!M75</f>
        <v/>
      </c>
      <c r="N38" s="774" t="n"/>
      <c r="O38" s="749">
        <f>VeriGiris!O75</f>
        <v/>
      </c>
      <c r="P38" s="774" t="n"/>
      <c r="Q38" s="749">
        <f>VeriGiris!Q75</f>
        <v/>
      </c>
      <c r="R38" s="774" t="n"/>
      <c r="S38" s="749">
        <f>VeriGiris!S75</f>
        <v/>
      </c>
      <c r="T38" s="774" t="n"/>
      <c r="U38" s="749">
        <f>VeriGiris!U75</f>
        <v/>
      </c>
      <c r="V38" s="774" t="n"/>
      <c r="W38" s="749">
        <f>VeriGiris!W75</f>
        <v/>
      </c>
      <c r="X38" s="774" t="n"/>
      <c r="Y38" s="749">
        <f>VeriGiris!Y75</f>
        <v/>
      </c>
      <c r="Z38" s="774" t="n"/>
      <c r="AA38" s="749">
        <f>VeriGiris!AA75</f>
        <v/>
      </c>
      <c r="AB38" s="774" t="n"/>
      <c r="AC38" s="749">
        <f>VeriGiris!AC75</f>
        <v/>
      </c>
      <c r="AD38" s="774" t="n"/>
      <c r="AE38" s="79" t="n"/>
      <c r="AF38" s="79" t="n"/>
    </row>
    <row r="39" hidden="1" ht="15" customHeight="1" s="321">
      <c r="B39" s="619">
        <f>$B$15</f>
        <v/>
      </c>
      <c r="C39" s="773" t="n"/>
      <c r="D39" s="773" t="n"/>
      <c r="E39" s="773" t="n"/>
      <c r="F39" s="774" t="n"/>
      <c r="G39" s="569">
        <f>VeriGiris!G76</f>
        <v/>
      </c>
      <c r="H39" s="774" t="n"/>
      <c r="I39" s="749">
        <f>VeriGiris!I76</f>
        <v/>
      </c>
      <c r="J39" s="774" t="n"/>
      <c r="K39" s="749">
        <f>VeriGiris!K76</f>
        <v/>
      </c>
      <c r="L39" s="774" t="n"/>
      <c r="M39" s="749">
        <f>VeriGiris!M76</f>
        <v/>
      </c>
      <c r="N39" s="774" t="n"/>
      <c r="O39" s="749">
        <f>VeriGiris!O76</f>
        <v/>
      </c>
      <c r="P39" s="774" t="n"/>
      <c r="Q39" s="749">
        <f>VeriGiris!Q76</f>
        <v/>
      </c>
      <c r="R39" s="774" t="n"/>
      <c r="S39" s="749">
        <f>VeriGiris!S76</f>
        <v/>
      </c>
      <c r="T39" s="774" t="n"/>
      <c r="U39" s="749">
        <f>VeriGiris!U76</f>
        <v/>
      </c>
      <c r="V39" s="774" t="n"/>
      <c r="W39" s="749">
        <f>VeriGiris!W76</f>
        <v/>
      </c>
      <c r="X39" s="774" t="n"/>
      <c r="Y39" s="749">
        <f>VeriGiris!Y76</f>
        <v/>
      </c>
      <c r="Z39" s="774" t="n"/>
      <c r="AA39" s="749">
        <f>VeriGiris!AA76</f>
        <v/>
      </c>
      <c r="AB39" s="774" t="n"/>
      <c r="AC39" s="749">
        <f>VeriGiris!AC76</f>
        <v/>
      </c>
      <c r="AD39" s="774" t="n"/>
      <c r="AE39" s="79" t="n"/>
      <c r="AF39" s="79" t="n"/>
    </row>
    <row r="40" hidden="1" ht="15" customHeight="1" s="321">
      <c r="B40" s="619">
        <f>$B$16</f>
        <v/>
      </c>
      <c r="C40" s="773" t="n"/>
      <c r="D40" s="773" t="n"/>
      <c r="E40" s="773" t="n"/>
      <c r="F40" s="774" t="n"/>
      <c r="G40" s="569">
        <f>G39</f>
        <v/>
      </c>
      <c r="H40" s="774" t="n"/>
      <c r="I40" s="608">
        <f>I38*I39</f>
        <v/>
      </c>
      <c r="J40" s="774" t="n"/>
      <c r="K40" s="608">
        <f>K38*K39</f>
        <v/>
      </c>
      <c r="L40" s="774" t="n"/>
      <c r="M40" s="608">
        <f>M38*M39</f>
        <v/>
      </c>
      <c r="N40" s="774" t="n"/>
      <c r="O40" s="608">
        <f>O38*O39</f>
        <v/>
      </c>
      <c r="P40" s="774" t="n"/>
      <c r="Q40" s="608">
        <f>Q38*Q39</f>
        <v/>
      </c>
      <c r="R40" s="774" t="n"/>
      <c r="S40" s="608">
        <f>S38*S39</f>
        <v/>
      </c>
      <c r="T40" s="774" t="n"/>
      <c r="U40" s="608">
        <f>U38*U39</f>
        <v/>
      </c>
      <c r="V40" s="774" t="n"/>
      <c r="W40" s="608">
        <f>W38*W39</f>
        <v/>
      </c>
      <c r="X40" s="774" t="n"/>
      <c r="Y40" s="608">
        <f>Y38*Y39</f>
        <v/>
      </c>
      <c r="Z40" s="774" t="n"/>
      <c r="AA40" s="608">
        <f>AA38*AA39</f>
        <v/>
      </c>
      <c r="AB40" s="774" t="n"/>
      <c r="AC40" s="608">
        <f>AC38*AC39</f>
        <v/>
      </c>
      <c r="AD40" s="774" t="n"/>
      <c r="AE40" s="79" t="n"/>
      <c r="AF40" s="79" t="n"/>
    </row>
    <row r="41" hidden="1" ht="15" customHeight="1" s="321">
      <c r="A41" s="13" t="n">
        <v>8</v>
      </c>
      <c r="B41" s="659">
        <f>VeriGiris!B78</f>
        <v/>
      </c>
      <c r="C41" s="773" t="n"/>
      <c r="D41" s="773" t="n"/>
      <c r="E41" s="773" t="n"/>
      <c r="F41" s="774" t="n"/>
      <c r="G41" s="618" t="n"/>
      <c r="H41" s="774" t="n"/>
      <c r="I41" s="616" t="n"/>
      <c r="J41" s="774" t="n"/>
      <c r="K41" s="616" t="n"/>
      <c r="L41" s="774" t="n"/>
      <c r="M41" s="616" t="n"/>
      <c r="N41" s="774" t="n"/>
      <c r="O41" s="616" t="n"/>
      <c r="P41" s="774" t="n"/>
      <c r="Q41" s="616" t="n"/>
      <c r="R41" s="774" t="n"/>
      <c r="S41" s="616" t="n"/>
      <c r="T41" s="774" t="n"/>
      <c r="U41" s="616" t="n"/>
      <c r="V41" s="774" t="n"/>
      <c r="W41" s="616" t="n"/>
      <c r="X41" s="774" t="n"/>
      <c r="Y41" s="616" t="n"/>
      <c r="Z41" s="774" t="n"/>
      <c r="AA41" s="616" t="n"/>
      <c r="AB41" s="774" t="n"/>
      <c r="AC41" s="616" t="n"/>
      <c r="AD41" s="774" t="n"/>
      <c r="AE41" s="79" t="n"/>
      <c r="AF41" s="79" t="n"/>
    </row>
    <row r="42" hidden="1" ht="15" customHeight="1" s="321">
      <c r="B42" s="619">
        <f>$B$14</f>
        <v/>
      </c>
      <c r="C42" s="773" t="n"/>
      <c r="D42" s="773" t="n"/>
      <c r="E42" s="773" t="n"/>
      <c r="F42" s="774" t="n"/>
      <c r="G42" s="569">
        <f>VeriGiris!G81</f>
        <v/>
      </c>
      <c r="H42" s="774" t="n"/>
      <c r="I42" s="749">
        <f>VeriGiris!I81</f>
        <v/>
      </c>
      <c r="J42" s="774" t="n"/>
      <c r="K42" s="749">
        <f>VeriGiris!K81</f>
        <v/>
      </c>
      <c r="L42" s="774" t="n"/>
      <c r="M42" s="749">
        <f>VeriGiris!M81</f>
        <v/>
      </c>
      <c r="N42" s="774" t="n"/>
      <c r="O42" s="749">
        <f>VeriGiris!O81</f>
        <v/>
      </c>
      <c r="P42" s="774" t="n"/>
      <c r="Q42" s="749">
        <f>VeriGiris!Q81</f>
        <v/>
      </c>
      <c r="R42" s="774" t="n"/>
      <c r="S42" s="749">
        <f>VeriGiris!S81</f>
        <v/>
      </c>
      <c r="T42" s="774" t="n"/>
      <c r="U42" s="749">
        <f>VeriGiris!U81</f>
        <v/>
      </c>
      <c r="V42" s="774" t="n"/>
      <c r="W42" s="749">
        <f>VeriGiris!W81</f>
        <v/>
      </c>
      <c r="X42" s="774" t="n"/>
      <c r="Y42" s="749">
        <f>VeriGiris!Y81</f>
        <v/>
      </c>
      <c r="Z42" s="774" t="n"/>
      <c r="AA42" s="749">
        <f>VeriGiris!AA81</f>
        <v/>
      </c>
      <c r="AB42" s="774" t="n"/>
      <c r="AC42" s="749">
        <f>VeriGiris!AC81</f>
        <v/>
      </c>
      <c r="AD42" s="774" t="n"/>
      <c r="AE42" s="79" t="n"/>
      <c r="AF42" s="79" t="n"/>
    </row>
    <row r="43" hidden="1" ht="15" customHeight="1" s="321">
      <c r="B43" s="619">
        <f>$B$15</f>
        <v/>
      </c>
      <c r="C43" s="773" t="n"/>
      <c r="D43" s="773" t="n"/>
      <c r="E43" s="773" t="n"/>
      <c r="F43" s="774" t="n"/>
      <c r="G43" s="569">
        <f>VeriGiris!G82</f>
        <v/>
      </c>
      <c r="H43" s="774" t="n"/>
      <c r="I43" s="749">
        <f>VeriGiris!I82</f>
        <v/>
      </c>
      <c r="J43" s="774" t="n"/>
      <c r="K43" s="749">
        <f>VeriGiris!K82</f>
        <v/>
      </c>
      <c r="L43" s="774" t="n"/>
      <c r="M43" s="749">
        <f>VeriGiris!M82</f>
        <v/>
      </c>
      <c r="N43" s="774" t="n"/>
      <c r="O43" s="749">
        <f>VeriGiris!O82</f>
        <v/>
      </c>
      <c r="P43" s="774" t="n"/>
      <c r="Q43" s="749">
        <f>VeriGiris!Q82</f>
        <v/>
      </c>
      <c r="R43" s="774" t="n"/>
      <c r="S43" s="749">
        <f>VeriGiris!S82</f>
        <v/>
      </c>
      <c r="T43" s="774" t="n"/>
      <c r="U43" s="749">
        <f>VeriGiris!U82</f>
        <v/>
      </c>
      <c r="V43" s="774" t="n"/>
      <c r="W43" s="749">
        <f>VeriGiris!W82</f>
        <v/>
      </c>
      <c r="X43" s="774" t="n"/>
      <c r="Y43" s="749">
        <f>VeriGiris!Y82</f>
        <v/>
      </c>
      <c r="Z43" s="774" t="n"/>
      <c r="AA43" s="749">
        <f>VeriGiris!AA82</f>
        <v/>
      </c>
      <c r="AB43" s="774" t="n"/>
      <c r="AC43" s="749">
        <f>VeriGiris!AC82</f>
        <v/>
      </c>
      <c r="AD43" s="774" t="n"/>
      <c r="AE43" s="79" t="n"/>
      <c r="AF43" s="79" t="n"/>
    </row>
    <row r="44" hidden="1" ht="15" customHeight="1" s="321">
      <c r="B44" s="619">
        <f>$B$16</f>
        <v/>
      </c>
      <c r="C44" s="773" t="n"/>
      <c r="D44" s="773" t="n"/>
      <c r="E44" s="773" t="n"/>
      <c r="F44" s="774" t="n"/>
      <c r="G44" s="569">
        <f>G43</f>
        <v/>
      </c>
      <c r="H44" s="774" t="n"/>
      <c r="I44" s="608">
        <f>I42*I43</f>
        <v/>
      </c>
      <c r="J44" s="774" t="n"/>
      <c r="K44" s="608">
        <f>K42*K43</f>
        <v/>
      </c>
      <c r="L44" s="774" t="n"/>
      <c r="M44" s="608">
        <f>M42*M43</f>
        <v/>
      </c>
      <c r="N44" s="774" t="n"/>
      <c r="O44" s="608">
        <f>O42*O43</f>
        <v/>
      </c>
      <c r="P44" s="774" t="n"/>
      <c r="Q44" s="608">
        <f>Q42*Q43</f>
        <v/>
      </c>
      <c r="R44" s="774" t="n"/>
      <c r="S44" s="608">
        <f>S42*S43</f>
        <v/>
      </c>
      <c r="T44" s="774" t="n"/>
      <c r="U44" s="608">
        <f>U42*U43</f>
        <v/>
      </c>
      <c r="V44" s="774" t="n"/>
      <c r="W44" s="608">
        <f>W42*W43</f>
        <v/>
      </c>
      <c r="X44" s="774" t="n"/>
      <c r="Y44" s="608">
        <f>Y42*Y43</f>
        <v/>
      </c>
      <c r="Z44" s="774" t="n"/>
      <c r="AA44" s="608">
        <f>AA42*AA43</f>
        <v/>
      </c>
      <c r="AB44" s="774" t="n"/>
      <c r="AC44" s="608">
        <f>AC42*AC43</f>
        <v/>
      </c>
      <c r="AD44" s="774" t="n"/>
      <c r="AE44" s="79" t="n"/>
      <c r="AF44" s="79" t="n"/>
    </row>
    <row r="45" hidden="1" ht="15" customHeight="1" s="321">
      <c r="A45" s="13" t="n">
        <v>9</v>
      </c>
      <c r="B45" s="659">
        <f>VeriGiris!B84</f>
        <v/>
      </c>
      <c r="C45" s="773" t="n"/>
      <c r="D45" s="773" t="n"/>
      <c r="E45" s="773" t="n"/>
      <c r="F45" s="774" t="n"/>
      <c r="G45" s="618" t="n"/>
      <c r="H45" s="774" t="n"/>
      <c r="I45" s="616" t="n"/>
      <c r="J45" s="774" t="n"/>
      <c r="K45" s="616" t="n"/>
      <c r="L45" s="774" t="n"/>
      <c r="M45" s="616" t="n"/>
      <c r="N45" s="774" t="n"/>
      <c r="O45" s="616" t="n"/>
      <c r="P45" s="774" t="n"/>
      <c r="Q45" s="616" t="n"/>
      <c r="R45" s="774" t="n"/>
      <c r="S45" s="616" t="n"/>
      <c r="T45" s="774" t="n"/>
      <c r="U45" s="616" t="n"/>
      <c r="V45" s="774" t="n"/>
      <c r="W45" s="616" t="n"/>
      <c r="X45" s="774" t="n"/>
      <c r="Y45" s="616" t="n"/>
      <c r="Z45" s="774" t="n"/>
      <c r="AA45" s="616" t="n"/>
      <c r="AB45" s="774" t="n"/>
      <c r="AC45" s="616" t="n"/>
      <c r="AD45" s="774" t="n"/>
      <c r="AE45" s="79" t="n"/>
      <c r="AF45" s="79" t="n"/>
    </row>
    <row r="46" hidden="1" ht="15" customHeight="1" s="321">
      <c r="B46" s="619">
        <f>$B$14</f>
        <v/>
      </c>
      <c r="C46" s="773" t="n"/>
      <c r="D46" s="773" t="n"/>
      <c r="E46" s="773" t="n"/>
      <c r="F46" s="774" t="n"/>
      <c r="G46" s="569">
        <f>VeriGiris!G87</f>
        <v/>
      </c>
      <c r="H46" s="774" t="n"/>
      <c r="I46" s="749">
        <f>VeriGiris!I87</f>
        <v/>
      </c>
      <c r="J46" s="774" t="n"/>
      <c r="K46" s="749">
        <f>VeriGiris!K87</f>
        <v/>
      </c>
      <c r="L46" s="774" t="n"/>
      <c r="M46" s="749">
        <f>VeriGiris!M87</f>
        <v/>
      </c>
      <c r="N46" s="774" t="n"/>
      <c r="O46" s="749">
        <f>VeriGiris!O87</f>
        <v/>
      </c>
      <c r="P46" s="774" t="n"/>
      <c r="Q46" s="749">
        <f>VeriGiris!Q87</f>
        <v/>
      </c>
      <c r="R46" s="774" t="n"/>
      <c r="S46" s="749">
        <f>VeriGiris!S87</f>
        <v/>
      </c>
      <c r="T46" s="774" t="n"/>
      <c r="U46" s="749">
        <f>VeriGiris!U87</f>
        <v/>
      </c>
      <c r="V46" s="774" t="n"/>
      <c r="W46" s="749">
        <f>VeriGiris!W87</f>
        <v/>
      </c>
      <c r="X46" s="774" t="n"/>
      <c r="Y46" s="749">
        <f>VeriGiris!Y87</f>
        <v/>
      </c>
      <c r="Z46" s="774" t="n"/>
      <c r="AA46" s="749">
        <f>VeriGiris!AA87</f>
        <v/>
      </c>
      <c r="AB46" s="774" t="n"/>
      <c r="AC46" s="749">
        <f>VeriGiris!AC87</f>
        <v/>
      </c>
      <c r="AD46" s="774" t="n"/>
      <c r="AE46" s="79" t="n"/>
      <c r="AF46" s="79" t="n"/>
    </row>
    <row r="47" hidden="1" ht="15" customHeight="1" s="321">
      <c r="B47" s="619">
        <f>$B$15</f>
        <v/>
      </c>
      <c r="C47" s="773" t="n"/>
      <c r="D47" s="773" t="n"/>
      <c r="E47" s="773" t="n"/>
      <c r="F47" s="774" t="n"/>
      <c r="G47" s="569">
        <f>VeriGiris!G88</f>
        <v/>
      </c>
      <c r="H47" s="774" t="n"/>
      <c r="I47" s="749">
        <f>VeriGiris!I88</f>
        <v/>
      </c>
      <c r="J47" s="774" t="n"/>
      <c r="K47" s="749">
        <f>VeriGiris!K88</f>
        <v/>
      </c>
      <c r="L47" s="774" t="n"/>
      <c r="M47" s="749">
        <f>VeriGiris!M88</f>
        <v/>
      </c>
      <c r="N47" s="774" t="n"/>
      <c r="O47" s="749">
        <f>VeriGiris!O88</f>
        <v/>
      </c>
      <c r="P47" s="774" t="n"/>
      <c r="Q47" s="749">
        <f>VeriGiris!Q88</f>
        <v/>
      </c>
      <c r="R47" s="774" t="n"/>
      <c r="S47" s="749">
        <f>VeriGiris!S88</f>
        <v/>
      </c>
      <c r="T47" s="774" t="n"/>
      <c r="U47" s="749">
        <f>VeriGiris!U88</f>
        <v/>
      </c>
      <c r="V47" s="774" t="n"/>
      <c r="W47" s="749">
        <f>VeriGiris!W88</f>
        <v/>
      </c>
      <c r="X47" s="774" t="n"/>
      <c r="Y47" s="749">
        <f>VeriGiris!Y88</f>
        <v/>
      </c>
      <c r="Z47" s="774" t="n"/>
      <c r="AA47" s="749">
        <f>VeriGiris!AA88</f>
        <v/>
      </c>
      <c r="AB47" s="774" t="n"/>
      <c r="AC47" s="749">
        <f>VeriGiris!AC88</f>
        <v/>
      </c>
      <c r="AD47" s="774" t="n"/>
      <c r="AE47" s="79" t="n"/>
      <c r="AF47" s="79" t="n"/>
    </row>
    <row r="48" hidden="1" ht="15" customHeight="1" s="321">
      <c r="B48" s="619">
        <f>$B$16</f>
        <v/>
      </c>
      <c r="C48" s="773" t="n"/>
      <c r="D48" s="773" t="n"/>
      <c r="E48" s="773" t="n"/>
      <c r="F48" s="774" t="n"/>
      <c r="G48" s="569">
        <f>G47</f>
        <v/>
      </c>
      <c r="H48" s="774" t="n"/>
      <c r="I48" s="608">
        <f>I46*I47</f>
        <v/>
      </c>
      <c r="J48" s="774" t="n"/>
      <c r="K48" s="608">
        <f>K46*K47</f>
        <v/>
      </c>
      <c r="L48" s="774" t="n"/>
      <c r="M48" s="608">
        <f>M46*M47</f>
        <v/>
      </c>
      <c r="N48" s="774" t="n"/>
      <c r="O48" s="608">
        <f>O46*O47</f>
        <v/>
      </c>
      <c r="P48" s="774" t="n"/>
      <c r="Q48" s="608">
        <f>Q46*Q47</f>
        <v/>
      </c>
      <c r="R48" s="774" t="n"/>
      <c r="S48" s="608">
        <f>S46*S47</f>
        <v/>
      </c>
      <c r="T48" s="774" t="n"/>
      <c r="U48" s="608">
        <f>U46*U47</f>
        <v/>
      </c>
      <c r="V48" s="774" t="n"/>
      <c r="W48" s="608">
        <f>W46*W47</f>
        <v/>
      </c>
      <c r="X48" s="774" t="n"/>
      <c r="Y48" s="608">
        <f>Y46*Y47</f>
        <v/>
      </c>
      <c r="Z48" s="774" t="n"/>
      <c r="AA48" s="608">
        <f>AA46*AA47</f>
        <v/>
      </c>
      <c r="AB48" s="774" t="n"/>
      <c r="AC48" s="608">
        <f>AC46*AC47</f>
        <v/>
      </c>
      <c r="AD48" s="774" t="n"/>
      <c r="AE48" s="79" t="n"/>
      <c r="AF48" s="79" t="n"/>
    </row>
    <row r="49" hidden="1" ht="15" customHeight="1" s="321">
      <c r="A49" s="13" t="n">
        <v>10</v>
      </c>
      <c r="B49" s="659">
        <f>VeriGiris!B90</f>
        <v/>
      </c>
      <c r="C49" s="773" t="n"/>
      <c r="D49" s="773" t="n"/>
      <c r="E49" s="773" t="n"/>
      <c r="F49" s="774" t="n"/>
      <c r="G49" s="618" t="n"/>
      <c r="H49" s="774" t="n"/>
      <c r="I49" s="616" t="n"/>
      <c r="J49" s="774" t="n"/>
      <c r="K49" s="616" t="n"/>
      <c r="L49" s="774" t="n"/>
      <c r="M49" s="616" t="n"/>
      <c r="N49" s="774" t="n"/>
      <c r="O49" s="616" t="n"/>
      <c r="P49" s="774" t="n"/>
      <c r="Q49" s="616" t="n"/>
      <c r="R49" s="774" t="n"/>
      <c r="S49" s="616" t="n"/>
      <c r="T49" s="774" t="n"/>
      <c r="U49" s="616" t="n"/>
      <c r="V49" s="774" t="n"/>
      <c r="W49" s="616" t="n"/>
      <c r="X49" s="774" t="n"/>
      <c r="Y49" s="616" t="n"/>
      <c r="Z49" s="774" t="n"/>
      <c r="AA49" s="616" t="n"/>
      <c r="AB49" s="774" t="n"/>
      <c r="AC49" s="616" t="n"/>
      <c r="AD49" s="774" t="n"/>
      <c r="AE49" s="79" t="n"/>
      <c r="AF49" s="79" t="n"/>
    </row>
    <row r="50" hidden="1" ht="15" customHeight="1" s="321">
      <c r="B50" s="619">
        <f>$B$14</f>
        <v/>
      </c>
      <c r="C50" s="773" t="n"/>
      <c r="D50" s="773" t="n"/>
      <c r="E50" s="773" t="n"/>
      <c r="F50" s="774" t="n"/>
      <c r="G50" s="569">
        <f>VeriGiris!G93</f>
        <v/>
      </c>
      <c r="H50" s="774" t="n"/>
      <c r="I50" s="749">
        <f>VeriGiris!I93</f>
        <v/>
      </c>
      <c r="J50" s="774" t="n"/>
      <c r="K50" s="749">
        <f>VeriGiris!K93</f>
        <v/>
      </c>
      <c r="L50" s="774" t="n"/>
      <c r="M50" s="749">
        <f>VeriGiris!M93</f>
        <v/>
      </c>
      <c r="N50" s="774" t="n"/>
      <c r="O50" s="749">
        <f>VeriGiris!O93</f>
        <v/>
      </c>
      <c r="P50" s="774" t="n"/>
      <c r="Q50" s="749">
        <f>VeriGiris!Q93</f>
        <v/>
      </c>
      <c r="R50" s="774" t="n"/>
      <c r="S50" s="749">
        <f>VeriGiris!S93</f>
        <v/>
      </c>
      <c r="T50" s="774" t="n"/>
      <c r="U50" s="749">
        <f>VeriGiris!U93</f>
        <v/>
      </c>
      <c r="V50" s="774" t="n"/>
      <c r="W50" s="749">
        <f>VeriGiris!W93</f>
        <v/>
      </c>
      <c r="X50" s="774" t="n"/>
      <c r="Y50" s="749">
        <f>VeriGiris!Y93</f>
        <v/>
      </c>
      <c r="Z50" s="774" t="n"/>
      <c r="AA50" s="749">
        <f>VeriGiris!AA93</f>
        <v/>
      </c>
      <c r="AB50" s="774" t="n"/>
      <c r="AC50" s="749">
        <f>VeriGiris!AC93</f>
        <v/>
      </c>
      <c r="AD50" s="774" t="n"/>
      <c r="AE50" s="79" t="n"/>
      <c r="AF50" s="79" t="n"/>
    </row>
    <row r="51" hidden="1" ht="15" customHeight="1" s="321">
      <c r="B51" s="619">
        <f>$B$15</f>
        <v/>
      </c>
      <c r="C51" s="773" t="n"/>
      <c r="D51" s="773" t="n"/>
      <c r="E51" s="773" t="n"/>
      <c r="F51" s="774" t="n"/>
      <c r="G51" s="569">
        <f>VeriGiris!G94</f>
        <v/>
      </c>
      <c r="H51" s="774" t="n"/>
      <c r="I51" s="749">
        <f>VeriGiris!I94</f>
        <v/>
      </c>
      <c r="J51" s="774" t="n"/>
      <c r="K51" s="749">
        <f>VeriGiris!K94</f>
        <v/>
      </c>
      <c r="L51" s="774" t="n"/>
      <c r="M51" s="749">
        <f>VeriGiris!M94</f>
        <v/>
      </c>
      <c r="N51" s="774" t="n"/>
      <c r="O51" s="749">
        <f>VeriGiris!O94</f>
        <v/>
      </c>
      <c r="P51" s="774" t="n"/>
      <c r="Q51" s="749">
        <f>VeriGiris!Q94</f>
        <v/>
      </c>
      <c r="R51" s="774" t="n"/>
      <c r="S51" s="749">
        <f>VeriGiris!S94</f>
        <v/>
      </c>
      <c r="T51" s="774" t="n"/>
      <c r="U51" s="749">
        <f>VeriGiris!U94</f>
        <v/>
      </c>
      <c r="V51" s="774" t="n"/>
      <c r="W51" s="749">
        <f>VeriGiris!W94</f>
        <v/>
      </c>
      <c r="X51" s="774" t="n"/>
      <c r="Y51" s="749">
        <f>VeriGiris!Y94</f>
        <v/>
      </c>
      <c r="Z51" s="774" t="n"/>
      <c r="AA51" s="749">
        <f>VeriGiris!AA94</f>
        <v/>
      </c>
      <c r="AB51" s="774" t="n"/>
      <c r="AC51" s="749">
        <f>VeriGiris!AC94</f>
        <v/>
      </c>
      <c r="AD51" s="774" t="n"/>
      <c r="AE51" s="79" t="n"/>
      <c r="AF51" s="79" t="n"/>
    </row>
    <row r="52" hidden="1" ht="15" customHeight="1" s="321">
      <c r="B52" s="619">
        <f>$B$16</f>
        <v/>
      </c>
      <c r="C52" s="773" t="n"/>
      <c r="D52" s="773" t="n"/>
      <c r="E52" s="773" t="n"/>
      <c r="F52" s="774" t="n"/>
      <c r="G52" s="569">
        <f>G51</f>
        <v/>
      </c>
      <c r="H52" s="774" t="n"/>
      <c r="I52" s="608">
        <f>I50*I51</f>
        <v/>
      </c>
      <c r="J52" s="774" t="n"/>
      <c r="K52" s="608">
        <f>K50*K51</f>
        <v/>
      </c>
      <c r="L52" s="774" t="n"/>
      <c r="M52" s="608">
        <f>M50*M51</f>
        <v/>
      </c>
      <c r="N52" s="774" t="n"/>
      <c r="O52" s="608">
        <f>O50*O51</f>
        <v/>
      </c>
      <c r="P52" s="774" t="n"/>
      <c r="Q52" s="608">
        <f>Q50*Q51</f>
        <v/>
      </c>
      <c r="R52" s="774" t="n"/>
      <c r="S52" s="608">
        <f>S50*S51</f>
        <v/>
      </c>
      <c r="T52" s="774" t="n"/>
      <c r="U52" s="608">
        <f>U50*U51</f>
        <v/>
      </c>
      <c r="V52" s="774" t="n"/>
      <c r="W52" s="608">
        <f>W50*W51</f>
        <v/>
      </c>
      <c r="X52" s="774" t="n"/>
      <c r="Y52" s="608">
        <f>Y50*Y51</f>
        <v/>
      </c>
      <c r="Z52" s="774" t="n"/>
      <c r="AA52" s="608">
        <f>AA50*AA51</f>
        <v/>
      </c>
      <c r="AB52" s="774" t="n"/>
      <c r="AC52" s="608">
        <f>AC50*AC51</f>
        <v/>
      </c>
      <c r="AD52" s="774" t="n"/>
      <c r="AE52" s="79" t="n"/>
      <c r="AF52" s="79" t="n"/>
    </row>
    <row r="53" hidden="1" ht="15" customHeight="1" s="321">
      <c r="A53" s="13" t="n">
        <v>11</v>
      </c>
      <c r="B53" s="659">
        <f>VeriGiris!B96</f>
        <v/>
      </c>
      <c r="C53" s="773" t="n"/>
      <c r="D53" s="773" t="n"/>
      <c r="E53" s="773" t="n"/>
      <c r="F53" s="774" t="n"/>
      <c r="G53" s="618" t="n"/>
      <c r="H53" s="774" t="n"/>
      <c r="I53" s="616" t="n"/>
      <c r="J53" s="774" t="n"/>
      <c r="K53" s="616" t="n"/>
      <c r="L53" s="774" t="n"/>
      <c r="M53" s="616" t="n"/>
      <c r="N53" s="774" t="n"/>
      <c r="O53" s="616" t="n"/>
      <c r="P53" s="774" t="n"/>
      <c r="Q53" s="616" t="n"/>
      <c r="R53" s="774" t="n"/>
      <c r="S53" s="616" t="n"/>
      <c r="T53" s="774" t="n"/>
      <c r="U53" s="616" t="n"/>
      <c r="V53" s="774" t="n"/>
      <c r="W53" s="616" t="n"/>
      <c r="X53" s="774" t="n"/>
      <c r="Y53" s="616" t="n"/>
      <c r="Z53" s="774" t="n"/>
      <c r="AA53" s="616" t="n"/>
      <c r="AB53" s="774" t="n"/>
      <c r="AC53" s="616" t="n"/>
      <c r="AD53" s="774" t="n"/>
      <c r="AE53" s="79" t="n"/>
      <c r="AF53" s="79" t="n"/>
    </row>
    <row r="54" hidden="1" ht="15" customHeight="1" s="321">
      <c r="B54" s="619">
        <f>$B$14</f>
        <v/>
      </c>
      <c r="C54" s="773" t="n"/>
      <c r="D54" s="773" t="n"/>
      <c r="E54" s="773" t="n"/>
      <c r="F54" s="774" t="n"/>
      <c r="G54" s="569">
        <f>VeriGiris!G99</f>
        <v/>
      </c>
      <c r="H54" s="774" t="n"/>
      <c r="I54" s="749">
        <f>VeriGiris!I99</f>
        <v/>
      </c>
      <c r="J54" s="774" t="n"/>
      <c r="K54" s="749">
        <f>VeriGiris!K99</f>
        <v/>
      </c>
      <c r="L54" s="774" t="n"/>
      <c r="M54" s="749">
        <f>VeriGiris!M99</f>
        <v/>
      </c>
      <c r="N54" s="774" t="n"/>
      <c r="O54" s="749">
        <f>VeriGiris!O99</f>
        <v/>
      </c>
      <c r="P54" s="774" t="n"/>
      <c r="Q54" s="749">
        <f>VeriGiris!Q99</f>
        <v/>
      </c>
      <c r="R54" s="774" t="n"/>
      <c r="S54" s="749">
        <f>VeriGiris!S99</f>
        <v/>
      </c>
      <c r="T54" s="774" t="n"/>
      <c r="U54" s="749">
        <f>VeriGiris!U99</f>
        <v/>
      </c>
      <c r="V54" s="774" t="n"/>
      <c r="W54" s="749">
        <f>VeriGiris!W99</f>
        <v/>
      </c>
      <c r="X54" s="774" t="n"/>
      <c r="Y54" s="749">
        <f>VeriGiris!Y99</f>
        <v/>
      </c>
      <c r="Z54" s="774" t="n"/>
      <c r="AA54" s="749">
        <f>VeriGiris!AA99</f>
        <v/>
      </c>
      <c r="AB54" s="774" t="n"/>
      <c r="AC54" s="749">
        <f>VeriGiris!AC99</f>
        <v/>
      </c>
      <c r="AD54" s="774" t="n"/>
      <c r="AE54" s="79" t="n"/>
      <c r="AF54" s="79" t="n"/>
    </row>
    <row r="55" hidden="1" ht="15" customHeight="1" s="321">
      <c r="B55" s="619">
        <f>$B$15</f>
        <v/>
      </c>
      <c r="C55" s="773" t="n"/>
      <c r="D55" s="773" t="n"/>
      <c r="E55" s="773" t="n"/>
      <c r="F55" s="774" t="n"/>
      <c r="G55" s="569">
        <f>VeriGiris!G100</f>
        <v/>
      </c>
      <c r="H55" s="774" t="n"/>
      <c r="I55" s="749">
        <f>VeriGiris!I100</f>
        <v/>
      </c>
      <c r="J55" s="774" t="n"/>
      <c r="K55" s="749">
        <f>VeriGiris!K100</f>
        <v/>
      </c>
      <c r="L55" s="774" t="n"/>
      <c r="M55" s="749">
        <f>VeriGiris!M100</f>
        <v/>
      </c>
      <c r="N55" s="774" t="n"/>
      <c r="O55" s="749">
        <f>VeriGiris!O100</f>
        <v/>
      </c>
      <c r="P55" s="774" t="n"/>
      <c r="Q55" s="749">
        <f>VeriGiris!Q100</f>
        <v/>
      </c>
      <c r="R55" s="774" t="n"/>
      <c r="S55" s="749">
        <f>VeriGiris!S100</f>
        <v/>
      </c>
      <c r="T55" s="774" t="n"/>
      <c r="U55" s="749">
        <f>VeriGiris!U100</f>
        <v/>
      </c>
      <c r="V55" s="774" t="n"/>
      <c r="W55" s="749">
        <f>VeriGiris!W100</f>
        <v/>
      </c>
      <c r="X55" s="774" t="n"/>
      <c r="Y55" s="749">
        <f>VeriGiris!Y100</f>
        <v/>
      </c>
      <c r="Z55" s="774" t="n"/>
      <c r="AA55" s="749">
        <f>VeriGiris!AA100</f>
        <v/>
      </c>
      <c r="AB55" s="774" t="n"/>
      <c r="AC55" s="749">
        <f>VeriGiris!AC100</f>
        <v/>
      </c>
      <c r="AD55" s="774" t="n"/>
      <c r="AE55" s="79" t="n"/>
      <c r="AF55" s="79" t="n"/>
    </row>
    <row r="56" hidden="1" ht="15" customHeight="1" s="321">
      <c r="B56" s="619">
        <f>$B$16</f>
        <v/>
      </c>
      <c r="C56" s="773" t="n"/>
      <c r="D56" s="773" t="n"/>
      <c r="E56" s="773" t="n"/>
      <c r="F56" s="774" t="n"/>
      <c r="G56" s="569">
        <f>G55</f>
        <v/>
      </c>
      <c r="H56" s="774" t="n"/>
      <c r="I56" s="608">
        <f>I54*I55</f>
        <v/>
      </c>
      <c r="J56" s="774" t="n"/>
      <c r="K56" s="608">
        <f>K54*K55</f>
        <v/>
      </c>
      <c r="L56" s="774" t="n"/>
      <c r="M56" s="608">
        <f>M54*M55</f>
        <v/>
      </c>
      <c r="N56" s="774" t="n"/>
      <c r="O56" s="608">
        <f>O54*O55</f>
        <v/>
      </c>
      <c r="P56" s="774" t="n"/>
      <c r="Q56" s="608">
        <f>Q54*Q55</f>
        <v/>
      </c>
      <c r="R56" s="774" t="n"/>
      <c r="S56" s="608">
        <f>S54*S55</f>
        <v/>
      </c>
      <c r="T56" s="774" t="n"/>
      <c r="U56" s="608">
        <f>U54*U55</f>
        <v/>
      </c>
      <c r="V56" s="774" t="n"/>
      <c r="W56" s="608">
        <f>W54*W55</f>
        <v/>
      </c>
      <c r="X56" s="774" t="n"/>
      <c r="Y56" s="608">
        <f>Y54*Y55</f>
        <v/>
      </c>
      <c r="Z56" s="774" t="n"/>
      <c r="AA56" s="608">
        <f>AA54*AA55</f>
        <v/>
      </c>
      <c r="AB56" s="774" t="n"/>
      <c r="AC56" s="608">
        <f>AC54*AC55</f>
        <v/>
      </c>
      <c r="AD56" s="774" t="n"/>
      <c r="AE56" s="79" t="n"/>
      <c r="AF56" s="79" t="n"/>
    </row>
    <row r="57" hidden="1" ht="15" customHeight="1" s="321">
      <c r="A57" s="13" t="n">
        <v>12</v>
      </c>
      <c r="B57" s="659">
        <f>VeriGiris!B102</f>
        <v/>
      </c>
      <c r="C57" s="773" t="n"/>
      <c r="D57" s="773" t="n"/>
      <c r="E57" s="773" t="n"/>
      <c r="F57" s="774" t="n"/>
      <c r="G57" s="618" t="n"/>
      <c r="H57" s="774" t="n"/>
      <c r="I57" s="616" t="n"/>
      <c r="J57" s="774" t="n"/>
      <c r="K57" s="616" t="n"/>
      <c r="L57" s="774" t="n"/>
      <c r="M57" s="616" t="n"/>
      <c r="N57" s="774" t="n"/>
      <c r="O57" s="616" t="n"/>
      <c r="P57" s="774" t="n"/>
      <c r="Q57" s="616" t="n"/>
      <c r="R57" s="774" t="n"/>
      <c r="S57" s="616" t="n"/>
      <c r="T57" s="774" t="n"/>
      <c r="U57" s="616" t="n"/>
      <c r="V57" s="774" t="n"/>
      <c r="W57" s="616" t="n"/>
      <c r="X57" s="774" t="n"/>
      <c r="Y57" s="616" t="n"/>
      <c r="Z57" s="774" t="n"/>
      <c r="AA57" s="616" t="n"/>
      <c r="AB57" s="774" t="n"/>
      <c r="AC57" s="616" t="n"/>
      <c r="AD57" s="774" t="n"/>
      <c r="AE57" s="79" t="n"/>
      <c r="AF57" s="79" t="n"/>
    </row>
    <row r="58" hidden="1" ht="15" customHeight="1" s="321">
      <c r="B58" s="619">
        <f>$B$14</f>
        <v/>
      </c>
      <c r="C58" s="773" t="n"/>
      <c r="D58" s="773" t="n"/>
      <c r="E58" s="773" t="n"/>
      <c r="F58" s="774" t="n"/>
      <c r="G58" s="569">
        <f>VeriGiris!G105</f>
        <v/>
      </c>
      <c r="H58" s="774" t="n"/>
      <c r="I58" s="749">
        <f>VeriGiris!I105</f>
        <v/>
      </c>
      <c r="J58" s="774" t="n"/>
      <c r="K58" s="749">
        <f>VeriGiris!K105</f>
        <v/>
      </c>
      <c r="L58" s="774" t="n"/>
      <c r="M58" s="749">
        <f>VeriGiris!M105</f>
        <v/>
      </c>
      <c r="N58" s="774" t="n"/>
      <c r="O58" s="749">
        <f>VeriGiris!O105</f>
        <v/>
      </c>
      <c r="P58" s="774" t="n"/>
      <c r="Q58" s="749">
        <f>VeriGiris!Q105</f>
        <v/>
      </c>
      <c r="R58" s="774" t="n"/>
      <c r="S58" s="749">
        <f>VeriGiris!S105</f>
        <v/>
      </c>
      <c r="T58" s="774" t="n"/>
      <c r="U58" s="749">
        <f>VeriGiris!U105</f>
        <v/>
      </c>
      <c r="V58" s="774" t="n"/>
      <c r="W58" s="749">
        <f>VeriGiris!W105</f>
        <v/>
      </c>
      <c r="X58" s="774" t="n"/>
      <c r="Y58" s="749">
        <f>VeriGiris!Y105</f>
        <v/>
      </c>
      <c r="Z58" s="774" t="n"/>
      <c r="AA58" s="749">
        <f>VeriGiris!AA105</f>
        <v/>
      </c>
      <c r="AB58" s="774" t="n"/>
      <c r="AC58" s="749">
        <f>VeriGiris!AC105</f>
        <v/>
      </c>
      <c r="AD58" s="774" t="n"/>
      <c r="AE58" s="79" t="n"/>
      <c r="AF58" s="79" t="n"/>
    </row>
    <row r="59" hidden="1" ht="15" customHeight="1" s="321">
      <c r="B59" s="619">
        <f>$B$15</f>
        <v/>
      </c>
      <c r="C59" s="773" t="n"/>
      <c r="D59" s="773" t="n"/>
      <c r="E59" s="773" t="n"/>
      <c r="F59" s="774" t="n"/>
      <c r="G59" s="569">
        <f>VeriGiris!G106</f>
        <v/>
      </c>
      <c r="H59" s="774" t="n"/>
      <c r="I59" s="749">
        <f>VeriGiris!I106</f>
        <v/>
      </c>
      <c r="J59" s="774" t="n"/>
      <c r="K59" s="749">
        <f>VeriGiris!K106</f>
        <v/>
      </c>
      <c r="L59" s="774" t="n"/>
      <c r="M59" s="749">
        <f>VeriGiris!M106</f>
        <v/>
      </c>
      <c r="N59" s="774" t="n"/>
      <c r="O59" s="749">
        <f>VeriGiris!O106</f>
        <v/>
      </c>
      <c r="P59" s="774" t="n"/>
      <c r="Q59" s="749">
        <f>VeriGiris!Q106</f>
        <v/>
      </c>
      <c r="R59" s="774" t="n"/>
      <c r="S59" s="749">
        <f>VeriGiris!S106</f>
        <v/>
      </c>
      <c r="T59" s="774" t="n"/>
      <c r="U59" s="749">
        <f>VeriGiris!U106</f>
        <v/>
      </c>
      <c r="V59" s="774" t="n"/>
      <c r="W59" s="749">
        <f>VeriGiris!W106</f>
        <v/>
      </c>
      <c r="X59" s="774" t="n"/>
      <c r="Y59" s="749">
        <f>VeriGiris!Y106</f>
        <v/>
      </c>
      <c r="Z59" s="774" t="n"/>
      <c r="AA59" s="749">
        <f>VeriGiris!AA106</f>
        <v/>
      </c>
      <c r="AB59" s="774" t="n"/>
      <c r="AC59" s="749">
        <f>VeriGiris!AC106</f>
        <v/>
      </c>
      <c r="AD59" s="774" t="n"/>
      <c r="AE59" s="79" t="n"/>
      <c r="AF59" s="79" t="n"/>
    </row>
    <row r="60" hidden="1" ht="15" customHeight="1" s="321">
      <c r="B60" s="619">
        <f>$B$16</f>
        <v/>
      </c>
      <c r="C60" s="773" t="n"/>
      <c r="D60" s="773" t="n"/>
      <c r="E60" s="773" t="n"/>
      <c r="F60" s="774" t="n"/>
      <c r="G60" s="569">
        <f>G59</f>
        <v/>
      </c>
      <c r="H60" s="774" t="n"/>
      <c r="I60" s="608">
        <f>I58*I59</f>
        <v/>
      </c>
      <c r="J60" s="774" t="n"/>
      <c r="K60" s="608">
        <f>K58*K59</f>
        <v/>
      </c>
      <c r="L60" s="774" t="n"/>
      <c r="M60" s="608">
        <f>M58*M59</f>
        <v/>
      </c>
      <c r="N60" s="774" t="n"/>
      <c r="O60" s="608">
        <f>O58*O59</f>
        <v/>
      </c>
      <c r="P60" s="774" t="n"/>
      <c r="Q60" s="608">
        <f>Q58*Q59</f>
        <v/>
      </c>
      <c r="R60" s="774" t="n"/>
      <c r="S60" s="608">
        <f>S58*S59</f>
        <v/>
      </c>
      <c r="T60" s="774" t="n"/>
      <c r="U60" s="608">
        <f>U58*U59</f>
        <v/>
      </c>
      <c r="V60" s="774" t="n"/>
      <c r="W60" s="608">
        <f>W58*W59</f>
        <v/>
      </c>
      <c r="X60" s="774" t="n"/>
      <c r="Y60" s="608">
        <f>Y58*Y59</f>
        <v/>
      </c>
      <c r="Z60" s="774" t="n"/>
      <c r="AA60" s="608">
        <f>AA58*AA59</f>
        <v/>
      </c>
      <c r="AB60" s="774" t="n"/>
      <c r="AC60" s="608">
        <f>AC58*AC59</f>
        <v/>
      </c>
      <c r="AD60" s="774" t="n"/>
      <c r="AE60" s="79" t="n"/>
      <c r="AF60" s="79" t="n"/>
    </row>
    <row r="61" hidden="1" ht="15" customHeight="1" s="321">
      <c r="A61" s="13" t="n">
        <v>13</v>
      </c>
      <c r="B61" s="659">
        <f>VeriGiris!B108</f>
        <v/>
      </c>
      <c r="C61" s="773" t="n"/>
      <c r="D61" s="773" t="n"/>
      <c r="E61" s="773" t="n"/>
      <c r="F61" s="774" t="n"/>
      <c r="G61" s="618" t="n"/>
      <c r="H61" s="774" t="n"/>
      <c r="I61" s="616" t="n"/>
      <c r="J61" s="774" t="n"/>
      <c r="K61" s="616" t="n"/>
      <c r="L61" s="774" t="n"/>
      <c r="M61" s="616" t="n"/>
      <c r="N61" s="774" t="n"/>
      <c r="O61" s="616" t="n"/>
      <c r="P61" s="774" t="n"/>
      <c r="Q61" s="616" t="n"/>
      <c r="R61" s="774" t="n"/>
      <c r="S61" s="616" t="n"/>
      <c r="T61" s="774" t="n"/>
      <c r="U61" s="616" t="n"/>
      <c r="V61" s="774" t="n"/>
      <c r="W61" s="616" t="n"/>
      <c r="X61" s="774" t="n"/>
      <c r="Y61" s="616" t="n"/>
      <c r="Z61" s="774" t="n"/>
      <c r="AA61" s="616" t="n"/>
      <c r="AB61" s="774" t="n"/>
      <c r="AC61" s="616" t="n"/>
      <c r="AD61" s="774" t="n"/>
      <c r="AE61" s="79" t="n"/>
      <c r="AF61" s="79" t="n"/>
    </row>
    <row r="62" hidden="1" ht="15" customHeight="1" s="321">
      <c r="B62" s="619">
        <f>$B$14</f>
        <v/>
      </c>
      <c r="C62" s="773" t="n"/>
      <c r="D62" s="773" t="n"/>
      <c r="E62" s="773" t="n"/>
      <c r="F62" s="774" t="n"/>
      <c r="G62" s="569">
        <f>VeriGiris!G111</f>
        <v/>
      </c>
      <c r="H62" s="774" t="n"/>
      <c r="I62" s="749">
        <f>VeriGiris!I111</f>
        <v/>
      </c>
      <c r="J62" s="774" t="n"/>
      <c r="K62" s="749">
        <f>VeriGiris!K111</f>
        <v/>
      </c>
      <c r="L62" s="774" t="n"/>
      <c r="M62" s="749">
        <f>VeriGiris!M111</f>
        <v/>
      </c>
      <c r="N62" s="774" t="n"/>
      <c r="O62" s="749">
        <f>VeriGiris!O111</f>
        <v/>
      </c>
      <c r="P62" s="774" t="n"/>
      <c r="Q62" s="749">
        <f>VeriGiris!Q111</f>
        <v/>
      </c>
      <c r="R62" s="774" t="n"/>
      <c r="S62" s="749">
        <f>VeriGiris!S111</f>
        <v/>
      </c>
      <c r="T62" s="774" t="n"/>
      <c r="U62" s="749">
        <f>VeriGiris!U111</f>
        <v/>
      </c>
      <c r="V62" s="774" t="n"/>
      <c r="W62" s="749">
        <f>VeriGiris!W111</f>
        <v/>
      </c>
      <c r="X62" s="774" t="n"/>
      <c r="Y62" s="749">
        <f>VeriGiris!Y111</f>
        <v/>
      </c>
      <c r="Z62" s="774" t="n"/>
      <c r="AA62" s="749">
        <f>VeriGiris!AA111</f>
        <v/>
      </c>
      <c r="AB62" s="774" t="n"/>
      <c r="AC62" s="749">
        <f>VeriGiris!AC111</f>
        <v/>
      </c>
      <c r="AD62" s="774" t="n"/>
      <c r="AE62" s="79" t="n"/>
      <c r="AF62" s="79" t="n"/>
    </row>
    <row r="63" hidden="1" ht="15" customHeight="1" s="321">
      <c r="B63" s="619">
        <f>$B$15</f>
        <v/>
      </c>
      <c r="C63" s="773" t="n"/>
      <c r="D63" s="773" t="n"/>
      <c r="E63" s="773" t="n"/>
      <c r="F63" s="774" t="n"/>
      <c r="G63" s="569">
        <f>VeriGiris!G112</f>
        <v/>
      </c>
      <c r="H63" s="774" t="n"/>
      <c r="I63" s="749">
        <f>VeriGiris!I112</f>
        <v/>
      </c>
      <c r="J63" s="774" t="n"/>
      <c r="K63" s="749">
        <f>VeriGiris!K112</f>
        <v/>
      </c>
      <c r="L63" s="774" t="n"/>
      <c r="M63" s="749">
        <f>VeriGiris!M112</f>
        <v/>
      </c>
      <c r="N63" s="774" t="n"/>
      <c r="O63" s="749">
        <f>VeriGiris!O112</f>
        <v/>
      </c>
      <c r="P63" s="774" t="n"/>
      <c r="Q63" s="749">
        <f>VeriGiris!Q112</f>
        <v/>
      </c>
      <c r="R63" s="774" t="n"/>
      <c r="S63" s="749">
        <f>VeriGiris!S112</f>
        <v/>
      </c>
      <c r="T63" s="774" t="n"/>
      <c r="U63" s="749">
        <f>VeriGiris!U112</f>
        <v/>
      </c>
      <c r="V63" s="774" t="n"/>
      <c r="W63" s="749">
        <f>VeriGiris!W112</f>
        <v/>
      </c>
      <c r="X63" s="774" t="n"/>
      <c r="Y63" s="749">
        <f>VeriGiris!Y112</f>
        <v/>
      </c>
      <c r="Z63" s="774" t="n"/>
      <c r="AA63" s="749">
        <f>VeriGiris!AA112</f>
        <v/>
      </c>
      <c r="AB63" s="774" t="n"/>
      <c r="AC63" s="749">
        <f>VeriGiris!AC112</f>
        <v/>
      </c>
      <c r="AD63" s="774" t="n"/>
      <c r="AE63" s="79" t="n"/>
      <c r="AF63" s="79" t="n"/>
    </row>
    <row r="64" hidden="1" ht="15" customHeight="1" s="321">
      <c r="B64" s="619">
        <f>$B$16</f>
        <v/>
      </c>
      <c r="C64" s="773" t="n"/>
      <c r="D64" s="773" t="n"/>
      <c r="E64" s="773" t="n"/>
      <c r="F64" s="774" t="n"/>
      <c r="G64" s="569">
        <f>G63</f>
        <v/>
      </c>
      <c r="H64" s="774" t="n"/>
      <c r="I64" s="608">
        <f>I62*I63</f>
        <v/>
      </c>
      <c r="J64" s="774" t="n"/>
      <c r="K64" s="608">
        <f>K62*K63</f>
        <v/>
      </c>
      <c r="L64" s="774" t="n"/>
      <c r="M64" s="608">
        <f>M62*M63</f>
        <v/>
      </c>
      <c r="N64" s="774" t="n"/>
      <c r="O64" s="608">
        <f>O62*O63</f>
        <v/>
      </c>
      <c r="P64" s="774" t="n"/>
      <c r="Q64" s="608">
        <f>Q62*Q63</f>
        <v/>
      </c>
      <c r="R64" s="774" t="n"/>
      <c r="S64" s="608">
        <f>S62*S63</f>
        <v/>
      </c>
      <c r="T64" s="774" t="n"/>
      <c r="U64" s="608">
        <f>U62*U63</f>
        <v/>
      </c>
      <c r="V64" s="774" t="n"/>
      <c r="W64" s="608">
        <f>W62*W63</f>
        <v/>
      </c>
      <c r="X64" s="774" t="n"/>
      <c r="Y64" s="608">
        <f>Y62*Y63</f>
        <v/>
      </c>
      <c r="Z64" s="774" t="n"/>
      <c r="AA64" s="608">
        <f>AA62*AA63</f>
        <v/>
      </c>
      <c r="AB64" s="774" t="n"/>
      <c r="AC64" s="608">
        <f>AC62*AC63</f>
        <v/>
      </c>
      <c r="AD64" s="774" t="n"/>
      <c r="AE64" s="79" t="n"/>
      <c r="AF64" s="79" t="n"/>
    </row>
    <row r="65" hidden="1" ht="15" customHeight="1" s="321">
      <c r="A65" s="13" t="n">
        <v>14</v>
      </c>
      <c r="B65" s="659">
        <f>VeriGiris!B114</f>
        <v/>
      </c>
      <c r="C65" s="773" t="n"/>
      <c r="D65" s="773" t="n"/>
      <c r="E65" s="773" t="n"/>
      <c r="F65" s="774" t="n"/>
      <c r="G65" s="618" t="n"/>
      <c r="H65" s="774" t="n"/>
      <c r="I65" s="616" t="n"/>
      <c r="J65" s="774" t="n"/>
      <c r="K65" s="616" t="n"/>
      <c r="L65" s="774" t="n"/>
      <c r="M65" s="616" t="n"/>
      <c r="N65" s="774" t="n"/>
      <c r="O65" s="616" t="n"/>
      <c r="P65" s="774" t="n"/>
      <c r="Q65" s="616" t="n"/>
      <c r="R65" s="774" t="n"/>
      <c r="S65" s="616" t="n"/>
      <c r="T65" s="774" t="n"/>
      <c r="U65" s="616" t="n"/>
      <c r="V65" s="774" t="n"/>
      <c r="W65" s="616" t="n"/>
      <c r="X65" s="774" t="n"/>
      <c r="Y65" s="616" t="n"/>
      <c r="Z65" s="774" t="n"/>
      <c r="AA65" s="616" t="n"/>
      <c r="AB65" s="774" t="n"/>
      <c r="AC65" s="616" t="n"/>
      <c r="AD65" s="774" t="n"/>
      <c r="AE65" s="79" t="n"/>
      <c r="AF65" s="79" t="n"/>
    </row>
    <row r="66" hidden="1" ht="15" customHeight="1" s="321">
      <c r="B66" s="619">
        <f>$B$14</f>
        <v/>
      </c>
      <c r="C66" s="773" t="n"/>
      <c r="D66" s="773" t="n"/>
      <c r="E66" s="773" t="n"/>
      <c r="F66" s="774" t="n"/>
      <c r="G66" s="569">
        <f>VeriGiris!G117</f>
        <v/>
      </c>
      <c r="H66" s="774" t="n"/>
      <c r="I66" s="749">
        <f>VeriGiris!I117</f>
        <v/>
      </c>
      <c r="J66" s="774" t="n"/>
      <c r="K66" s="749">
        <f>VeriGiris!K117</f>
        <v/>
      </c>
      <c r="L66" s="774" t="n"/>
      <c r="M66" s="749">
        <f>VeriGiris!M117</f>
        <v/>
      </c>
      <c r="N66" s="774" t="n"/>
      <c r="O66" s="749">
        <f>VeriGiris!O117</f>
        <v/>
      </c>
      <c r="P66" s="774" t="n"/>
      <c r="Q66" s="749">
        <f>VeriGiris!Q117</f>
        <v/>
      </c>
      <c r="R66" s="774" t="n"/>
      <c r="S66" s="749">
        <f>VeriGiris!S117</f>
        <v/>
      </c>
      <c r="T66" s="774" t="n"/>
      <c r="U66" s="749">
        <f>VeriGiris!U117</f>
        <v/>
      </c>
      <c r="V66" s="774" t="n"/>
      <c r="W66" s="749">
        <f>VeriGiris!W117</f>
        <v/>
      </c>
      <c r="X66" s="774" t="n"/>
      <c r="Y66" s="749">
        <f>VeriGiris!Y117</f>
        <v/>
      </c>
      <c r="Z66" s="774" t="n"/>
      <c r="AA66" s="749">
        <f>VeriGiris!AA117</f>
        <v/>
      </c>
      <c r="AB66" s="774" t="n"/>
      <c r="AC66" s="749">
        <f>VeriGiris!AC117</f>
        <v/>
      </c>
      <c r="AD66" s="774" t="n"/>
      <c r="AE66" s="79" t="n"/>
      <c r="AF66" s="79" t="n"/>
    </row>
    <row r="67" hidden="1" ht="15" customHeight="1" s="321">
      <c r="B67" s="619">
        <f>$B$15</f>
        <v/>
      </c>
      <c r="C67" s="773" t="n"/>
      <c r="D67" s="773" t="n"/>
      <c r="E67" s="773" t="n"/>
      <c r="F67" s="774" t="n"/>
      <c r="G67" s="569">
        <f>VeriGiris!G118</f>
        <v/>
      </c>
      <c r="H67" s="774" t="n"/>
      <c r="I67" s="749">
        <f>VeriGiris!I118</f>
        <v/>
      </c>
      <c r="J67" s="774" t="n"/>
      <c r="K67" s="749">
        <f>VeriGiris!K118</f>
        <v/>
      </c>
      <c r="L67" s="774" t="n"/>
      <c r="M67" s="749">
        <f>VeriGiris!M118</f>
        <v/>
      </c>
      <c r="N67" s="774" t="n"/>
      <c r="O67" s="749">
        <f>VeriGiris!O118</f>
        <v/>
      </c>
      <c r="P67" s="774" t="n"/>
      <c r="Q67" s="749">
        <f>VeriGiris!Q118</f>
        <v/>
      </c>
      <c r="R67" s="774" t="n"/>
      <c r="S67" s="749">
        <f>VeriGiris!S118</f>
        <v/>
      </c>
      <c r="T67" s="774" t="n"/>
      <c r="U67" s="749">
        <f>VeriGiris!U118</f>
        <v/>
      </c>
      <c r="V67" s="774" t="n"/>
      <c r="W67" s="749">
        <f>VeriGiris!W118</f>
        <v/>
      </c>
      <c r="X67" s="774" t="n"/>
      <c r="Y67" s="749">
        <f>VeriGiris!Y118</f>
        <v/>
      </c>
      <c r="Z67" s="774" t="n"/>
      <c r="AA67" s="749">
        <f>VeriGiris!AA118</f>
        <v/>
      </c>
      <c r="AB67" s="774" t="n"/>
      <c r="AC67" s="749">
        <f>VeriGiris!AC118</f>
        <v/>
      </c>
      <c r="AD67" s="774" t="n"/>
      <c r="AE67" s="79" t="n"/>
      <c r="AF67" s="79" t="n"/>
    </row>
    <row r="68" hidden="1" ht="15" customHeight="1" s="321">
      <c r="B68" s="619">
        <f>$B$16</f>
        <v/>
      </c>
      <c r="C68" s="773" t="n"/>
      <c r="D68" s="773" t="n"/>
      <c r="E68" s="773" t="n"/>
      <c r="F68" s="774" t="n"/>
      <c r="G68" s="569">
        <f>G67</f>
        <v/>
      </c>
      <c r="H68" s="774" t="n"/>
      <c r="I68" s="608">
        <f>I66*I67</f>
        <v/>
      </c>
      <c r="J68" s="774" t="n"/>
      <c r="K68" s="608">
        <f>K66*K67</f>
        <v/>
      </c>
      <c r="L68" s="774" t="n"/>
      <c r="M68" s="608">
        <f>M66*M67</f>
        <v/>
      </c>
      <c r="N68" s="774" t="n"/>
      <c r="O68" s="608">
        <f>O66*O67</f>
        <v/>
      </c>
      <c r="P68" s="774" t="n"/>
      <c r="Q68" s="608">
        <f>Q66*Q67</f>
        <v/>
      </c>
      <c r="R68" s="774" t="n"/>
      <c r="S68" s="608">
        <f>S66*S67</f>
        <v/>
      </c>
      <c r="T68" s="774" t="n"/>
      <c r="U68" s="608">
        <f>U66*U67</f>
        <v/>
      </c>
      <c r="V68" s="774" t="n"/>
      <c r="W68" s="608">
        <f>W66*W67</f>
        <v/>
      </c>
      <c r="X68" s="774" t="n"/>
      <c r="Y68" s="608">
        <f>Y66*Y67</f>
        <v/>
      </c>
      <c r="Z68" s="774" t="n"/>
      <c r="AA68" s="608">
        <f>AA66*AA67</f>
        <v/>
      </c>
      <c r="AB68" s="774" t="n"/>
      <c r="AC68" s="608">
        <f>AC66*AC67</f>
        <v/>
      </c>
      <c r="AD68" s="774" t="n"/>
      <c r="AE68" s="79" t="n"/>
      <c r="AF68" s="79" t="n"/>
    </row>
    <row r="69" hidden="1" ht="15" customHeight="1" s="321">
      <c r="A69" s="13" t="n">
        <v>15</v>
      </c>
      <c r="B69" s="659">
        <f>VeriGiris!B120</f>
        <v/>
      </c>
      <c r="C69" s="773" t="n"/>
      <c r="D69" s="773" t="n"/>
      <c r="E69" s="773" t="n"/>
      <c r="F69" s="774" t="n"/>
      <c r="G69" s="618" t="n"/>
      <c r="H69" s="774" t="n"/>
      <c r="I69" s="616" t="n"/>
      <c r="J69" s="774" t="n"/>
      <c r="K69" s="616" t="n"/>
      <c r="L69" s="774" t="n"/>
      <c r="M69" s="616" t="n"/>
      <c r="N69" s="774" t="n"/>
      <c r="O69" s="616" t="n"/>
      <c r="P69" s="774" t="n"/>
      <c r="Q69" s="616" t="n"/>
      <c r="R69" s="774" t="n"/>
      <c r="S69" s="616" t="n"/>
      <c r="T69" s="774" t="n"/>
      <c r="U69" s="616" t="n"/>
      <c r="V69" s="774" t="n"/>
      <c r="W69" s="616" t="n"/>
      <c r="X69" s="774" t="n"/>
      <c r="Y69" s="616" t="n"/>
      <c r="Z69" s="774" t="n"/>
      <c r="AA69" s="616" t="n"/>
      <c r="AB69" s="774" t="n"/>
      <c r="AC69" s="616" t="n"/>
      <c r="AD69" s="774" t="n"/>
      <c r="AE69" s="79" t="n"/>
      <c r="AF69" s="79" t="n"/>
    </row>
    <row r="70" hidden="1" ht="15" customHeight="1" s="321">
      <c r="B70" s="619">
        <f>$B$14</f>
        <v/>
      </c>
      <c r="C70" s="773" t="n"/>
      <c r="D70" s="773" t="n"/>
      <c r="E70" s="773" t="n"/>
      <c r="F70" s="774" t="n"/>
      <c r="G70" s="569">
        <f>VeriGiris!G123</f>
        <v/>
      </c>
      <c r="H70" s="774" t="n"/>
      <c r="I70" s="749">
        <f>VeriGiris!I123</f>
        <v/>
      </c>
      <c r="J70" s="774" t="n"/>
      <c r="K70" s="749">
        <f>VeriGiris!K123</f>
        <v/>
      </c>
      <c r="L70" s="774" t="n"/>
      <c r="M70" s="749">
        <f>VeriGiris!M123</f>
        <v/>
      </c>
      <c r="N70" s="774" t="n"/>
      <c r="O70" s="749">
        <f>VeriGiris!O123</f>
        <v/>
      </c>
      <c r="P70" s="774" t="n"/>
      <c r="Q70" s="749">
        <f>VeriGiris!Q123</f>
        <v/>
      </c>
      <c r="R70" s="774" t="n"/>
      <c r="S70" s="749">
        <f>VeriGiris!S123</f>
        <v/>
      </c>
      <c r="T70" s="774" t="n"/>
      <c r="U70" s="749">
        <f>VeriGiris!U123</f>
        <v/>
      </c>
      <c r="V70" s="774" t="n"/>
      <c r="W70" s="749">
        <f>VeriGiris!W123</f>
        <v/>
      </c>
      <c r="X70" s="774" t="n"/>
      <c r="Y70" s="749">
        <f>VeriGiris!Y123</f>
        <v/>
      </c>
      <c r="Z70" s="774" t="n"/>
      <c r="AA70" s="749">
        <f>VeriGiris!AA123</f>
        <v/>
      </c>
      <c r="AB70" s="774" t="n"/>
      <c r="AC70" s="749">
        <f>VeriGiris!AC123</f>
        <v/>
      </c>
      <c r="AD70" s="774" t="n"/>
      <c r="AE70" s="79" t="n"/>
      <c r="AF70" s="79" t="n"/>
    </row>
    <row r="71" hidden="1" ht="15" customHeight="1" s="321">
      <c r="B71" s="619">
        <f>$B$15</f>
        <v/>
      </c>
      <c r="C71" s="773" t="n"/>
      <c r="D71" s="773" t="n"/>
      <c r="E71" s="773" t="n"/>
      <c r="F71" s="774" t="n"/>
      <c r="G71" s="569">
        <f>VeriGiris!G124</f>
        <v/>
      </c>
      <c r="H71" s="774" t="n"/>
      <c r="I71" s="749">
        <f>VeriGiris!I124</f>
        <v/>
      </c>
      <c r="J71" s="774" t="n"/>
      <c r="K71" s="749">
        <f>VeriGiris!K124</f>
        <v/>
      </c>
      <c r="L71" s="774" t="n"/>
      <c r="M71" s="749">
        <f>VeriGiris!M124</f>
        <v/>
      </c>
      <c r="N71" s="774" t="n"/>
      <c r="O71" s="749">
        <f>VeriGiris!O124</f>
        <v/>
      </c>
      <c r="P71" s="774" t="n"/>
      <c r="Q71" s="749">
        <f>VeriGiris!Q124</f>
        <v/>
      </c>
      <c r="R71" s="774" t="n"/>
      <c r="S71" s="749">
        <f>VeriGiris!S124</f>
        <v/>
      </c>
      <c r="T71" s="774" t="n"/>
      <c r="U71" s="749">
        <f>VeriGiris!U124</f>
        <v/>
      </c>
      <c r="V71" s="774" t="n"/>
      <c r="W71" s="749">
        <f>VeriGiris!W124</f>
        <v/>
      </c>
      <c r="X71" s="774" t="n"/>
      <c r="Y71" s="749">
        <f>VeriGiris!Y124</f>
        <v/>
      </c>
      <c r="Z71" s="774" t="n"/>
      <c r="AA71" s="749">
        <f>VeriGiris!AA124</f>
        <v/>
      </c>
      <c r="AB71" s="774" t="n"/>
      <c r="AC71" s="749">
        <f>VeriGiris!AC124</f>
        <v/>
      </c>
      <c r="AD71" s="774" t="n"/>
      <c r="AE71" s="79" t="n"/>
      <c r="AF71" s="79" t="n"/>
    </row>
    <row r="72" hidden="1" ht="15" customHeight="1" s="321">
      <c r="B72" s="619">
        <f>$B$16</f>
        <v/>
      </c>
      <c r="C72" s="773" t="n"/>
      <c r="D72" s="773" t="n"/>
      <c r="E72" s="773" t="n"/>
      <c r="F72" s="774" t="n"/>
      <c r="G72" s="569">
        <f>G71</f>
        <v/>
      </c>
      <c r="H72" s="774" t="n"/>
      <c r="I72" s="608">
        <f>I70*I71</f>
        <v/>
      </c>
      <c r="J72" s="774" t="n"/>
      <c r="K72" s="608">
        <f>K70*K71</f>
        <v/>
      </c>
      <c r="L72" s="774" t="n"/>
      <c r="M72" s="608">
        <f>M70*M71</f>
        <v/>
      </c>
      <c r="N72" s="774" t="n"/>
      <c r="O72" s="608">
        <f>O70*O71</f>
        <v/>
      </c>
      <c r="P72" s="774" t="n"/>
      <c r="Q72" s="608">
        <f>Q70*Q71</f>
        <v/>
      </c>
      <c r="R72" s="774" t="n"/>
      <c r="S72" s="608">
        <f>S70*S71</f>
        <v/>
      </c>
      <c r="T72" s="774" t="n"/>
      <c r="U72" s="608">
        <f>U70*U71</f>
        <v/>
      </c>
      <c r="V72" s="774" t="n"/>
      <c r="W72" s="608">
        <f>W70*W71</f>
        <v/>
      </c>
      <c r="X72" s="774" t="n"/>
      <c r="Y72" s="608">
        <f>Y70*Y71</f>
        <v/>
      </c>
      <c r="Z72" s="774" t="n"/>
      <c r="AA72" s="608">
        <f>AA70*AA71</f>
        <v/>
      </c>
      <c r="AB72" s="774" t="n"/>
      <c r="AC72" s="608">
        <f>AC70*AC71</f>
        <v/>
      </c>
      <c r="AD72" s="774" t="n"/>
      <c r="AE72" s="79" t="n"/>
      <c r="AF72" s="79" t="n"/>
    </row>
    <row r="73" hidden="1" ht="15" customHeight="1" s="321">
      <c r="A73" s="13" t="n">
        <v>16</v>
      </c>
      <c r="B73" s="659">
        <f>VeriGiris!B126</f>
        <v/>
      </c>
      <c r="C73" s="773" t="n"/>
      <c r="D73" s="773" t="n"/>
      <c r="E73" s="773" t="n"/>
      <c r="F73" s="774" t="n"/>
      <c r="G73" s="618" t="n"/>
      <c r="H73" s="774" t="n"/>
      <c r="I73" s="616" t="n"/>
      <c r="J73" s="774" t="n"/>
      <c r="K73" s="616" t="n"/>
      <c r="L73" s="774" t="n"/>
      <c r="M73" s="616" t="n"/>
      <c r="N73" s="774" t="n"/>
      <c r="O73" s="616" t="n"/>
      <c r="P73" s="774" t="n"/>
      <c r="Q73" s="616" t="n"/>
      <c r="R73" s="774" t="n"/>
      <c r="S73" s="616" t="n"/>
      <c r="T73" s="774" t="n"/>
      <c r="U73" s="616" t="n"/>
      <c r="V73" s="774" t="n"/>
      <c r="W73" s="616" t="n"/>
      <c r="X73" s="774" t="n"/>
      <c r="Y73" s="616" t="n"/>
      <c r="Z73" s="774" t="n"/>
      <c r="AA73" s="616" t="n"/>
      <c r="AB73" s="774" t="n"/>
      <c r="AC73" s="616" t="n"/>
      <c r="AD73" s="774" t="n"/>
      <c r="AE73" s="79" t="n"/>
      <c r="AF73" s="79" t="n"/>
    </row>
    <row r="74" hidden="1" ht="15" customHeight="1" s="321">
      <c r="B74" s="619">
        <f>$B$14</f>
        <v/>
      </c>
      <c r="C74" s="773" t="n"/>
      <c r="D74" s="773" t="n"/>
      <c r="E74" s="773" t="n"/>
      <c r="F74" s="774" t="n"/>
      <c r="G74" s="569">
        <f>VeriGiris!G129</f>
        <v/>
      </c>
      <c r="H74" s="774" t="n"/>
      <c r="I74" s="749">
        <f>VeriGiris!I129</f>
        <v/>
      </c>
      <c r="J74" s="774" t="n"/>
      <c r="K74" s="749">
        <f>VeriGiris!K129</f>
        <v/>
      </c>
      <c r="L74" s="774" t="n"/>
      <c r="M74" s="749">
        <f>VeriGiris!M129</f>
        <v/>
      </c>
      <c r="N74" s="774" t="n"/>
      <c r="O74" s="749">
        <f>VeriGiris!O129</f>
        <v/>
      </c>
      <c r="P74" s="774" t="n"/>
      <c r="Q74" s="749">
        <f>VeriGiris!Q129</f>
        <v/>
      </c>
      <c r="R74" s="774" t="n"/>
      <c r="S74" s="749">
        <f>VeriGiris!S129</f>
        <v/>
      </c>
      <c r="T74" s="774" t="n"/>
      <c r="U74" s="749">
        <f>VeriGiris!U129</f>
        <v/>
      </c>
      <c r="V74" s="774" t="n"/>
      <c r="W74" s="749">
        <f>VeriGiris!W129</f>
        <v/>
      </c>
      <c r="X74" s="774" t="n"/>
      <c r="Y74" s="749">
        <f>VeriGiris!Y129</f>
        <v/>
      </c>
      <c r="Z74" s="774" t="n"/>
      <c r="AA74" s="749">
        <f>VeriGiris!AA129</f>
        <v/>
      </c>
      <c r="AB74" s="774" t="n"/>
      <c r="AC74" s="749">
        <f>VeriGiris!AC129</f>
        <v/>
      </c>
      <c r="AD74" s="774" t="n"/>
      <c r="AE74" s="79" t="n"/>
      <c r="AF74" s="79" t="n"/>
    </row>
    <row r="75" hidden="1" ht="15" customHeight="1" s="321">
      <c r="B75" s="619">
        <f>$B$15</f>
        <v/>
      </c>
      <c r="C75" s="773" t="n"/>
      <c r="D75" s="773" t="n"/>
      <c r="E75" s="773" t="n"/>
      <c r="F75" s="774" t="n"/>
      <c r="G75" s="569">
        <f>VeriGiris!G130</f>
        <v/>
      </c>
      <c r="H75" s="774" t="n"/>
      <c r="I75" s="749">
        <f>VeriGiris!I130</f>
        <v/>
      </c>
      <c r="J75" s="774" t="n"/>
      <c r="K75" s="749">
        <f>VeriGiris!K130</f>
        <v/>
      </c>
      <c r="L75" s="774" t="n"/>
      <c r="M75" s="749">
        <f>VeriGiris!M130</f>
        <v/>
      </c>
      <c r="N75" s="774" t="n"/>
      <c r="O75" s="749">
        <f>VeriGiris!O130</f>
        <v/>
      </c>
      <c r="P75" s="774" t="n"/>
      <c r="Q75" s="749">
        <f>VeriGiris!Q130</f>
        <v/>
      </c>
      <c r="R75" s="774" t="n"/>
      <c r="S75" s="749">
        <f>VeriGiris!S130</f>
        <v/>
      </c>
      <c r="T75" s="774" t="n"/>
      <c r="U75" s="749">
        <f>VeriGiris!U130</f>
        <v/>
      </c>
      <c r="V75" s="774" t="n"/>
      <c r="W75" s="749">
        <f>VeriGiris!W130</f>
        <v/>
      </c>
      <c r="X75" s="774" t="n"/>
      <c r="Y75" s="749">
        <f>VeriGiris!Y130</f>
        <v/>
      </c>
      <c r="Z75" s="774" t="n"/>
      <c r="AA75" s="749">
        <f>VeriGiris!AA130</f>
        <v/>
      </c>
      <c r="AB75" s="774" t="n"/>
      <c r="AC75" s="749">
        <f>VeriGiris!AC130</f>
        <v/>
      </c>
      <c r="AD75" s="774" t="n"/>
      <c r="AE75" s="79" t="n"/>
      <c r="AF75" s="79" t="n"/>
    </row>
    <row r="76" hidden="1" ht="15" customHeight="1" s="321">
      <c r="B76" s="619">
        <f>$B$16</f>
        <v/>
      </c>
      <c r="C76" s="773" t="n"/>
      <c r="D76" s="773" t="n"/>
      <c r="E76" s="773" t="n"/>
      <c r="F76" s="774" t="n"/>
      <c r="G76" s="569">
        <f>G75</f>
        <v/>
      </c>
      <c r="H76" s="774" t="n"/>
      <c r="I76" s="608">
        <f>I74*I75</f>
        <v/>
      </c>
      <c r="J76" s="774" t="n"/>
      <c r="K76" s="608">
        <f>K74*K75</f>
        <v/>
      </c>
      <c r="L76" s="774" t="n"/>
      <c r="M76" s="608">
        <f>M74*M75</f>
        <v/>
      </c>
      <c r="N76" s="774" t="n"/>
      <c r="O76" s="608">
        <f>O74*O75</f>
        <v/>
      </c>
      <c r="P76" s="774" t="n"/>
      <c r="Q76" s="608">
        <f>Q74*Q75</f>
        <v/>
      </c>
      <c r="R76" s="774" t="n"/>
      <c r="S76" s="608">
        <f>S74*S75</f>
        <v/>
      </c>
      <c r="T76" s="774" t="n"/>
      <c r="U76" s="608">
        <f>U74*U75</f>
        <v/>
      </c>
      <c r="V76" s="774" t="n"/>
      <c r="W76" s="608">
        <f>W74*W75</f>
        <v/>
      </c>
      <c r="X76" s="774" t="n"/>
      <c r="Y76" s="608">
        <f>Y74*Y75</f>
        <v/>
      </c>
      <c r="Z76" s="774" t="n"/>
      <c r="AA76" s="608">
        <f>AA74*AA75</f>
        <v/>
      </c>
      <c r="AB76" s="774" t="n"/>
      <c r="AC76" s="608">
        <f>AC74*AC75</f>
        <v/>
      </c>
      <c r="AD76" s="774" t="n"/>
      <c r="AE76" s="79" t="n"/>
      <c r="AF76" s="79" t="n"/>
    </row>
    <row r="77" hidden="1" ht="15" customHeight="1" s="321">
      <c r="A77" s="13" t="n">
        <v>17</v>
      </c>
      <c r="B77" s="659">
        <f>VeriGiris!B132</f>
        <v/>
      </c>
      <c r="C77" s="773" t="n"/>
      <c r="D77" s="773" t="n"/>
      <c r="E77" s="773" t="n"/>
      <c r="F77" s="774" t="n"/>
      <c r="G77" s="618" t="n"/>
      <c r="H77" s="774" t="n"/>
      <c r="I77" s="616" t="n"/>
      <c r="J77" s="774" t="n"/>
      <c r="K77" s="616" t="n"/>
      <c r="L77" s="774" t="n"/>
      <c r="M77" s="616" t="n"/>
      <c r="N77" s="774" t="n"/>
      <c r="O77" s="616" t="n"/>
      <c r="P77" s="774" t="n"/>
      <c r="Q77" s="616" t="n"/>
      <c r="R77" s="774" t="n"/>
      <c r="S77" s="616" t="n"/>
      <c r="T77" s="774" t="n"/>
      <c r="U77" s="616" t="n"/>
      <c r="V77" s="774" t="n"/>
      <c r="W77" s="616" t="n"/>
      <c r="X77" s="774" t="n"/>
      <c r="Y77" s="616" t="n"/>
      <c r="Z77" s="774" t="n"/>
      <c r="AA77" s="616" t="n"/>
      <c r="AB77" s="774" t="n"/>
      <c r="AC77" s="616" t="n"/>
      <c r="AD77" s="774" t="n"/>
      <c r="AE77" s="79" t="n"/>
      <c r="AF77" s="79" t="n"/>
    </row>
    <row r="78" hidden="1" ht="15" customHeight="1" s="321">
      <c r="B78" s="619">
        <f>$B$14</f>
        <v/>
      </c>
      <c r="C78" s="773" t="n"/>
      <c r="D78" s="773" t="n"/>
      <c r="E78" s="773" t="n"/>
      <c r="F78" s="774" t="n"/>
      <c r="G78" s="569">
        <f>VeriGiris!G135</f>
        <v/>
      </c>
      <c r="H78" s="774" t="n"/>
      <c r="I78" s="749">
        <f>VeriGiris!I135</f>
        <v/>
      </c>
      <c r="J78" s="774" t="n"/>
      <c r="K78" s="749">
        <f>VeriGiris!K135</f>
        <v/>
      </c>
      <c r="L78" s="774" t="n"/>
      <c r="M78" s="749">
        <f>VeriGiris!M135</f>
        <v/>
      </c>
      <c r="N78" s="774" t="n"/>
      <c r="O78" s="749">
        <f>VeriGiris!O135</f>
        <v/>
      </c>
      <c r="P78" s="774" t="n"/>
      <c r="Q78" s="749">
        <f>VeriGiris!Q135</f>
        <v/>
      </c>
      <c r="R78" s="774" t="n"/>
      <c r="S78" s="749">
        <f>VeriGiris!S135</f>
        <v/>
      </c>
      <c r="T78" s="774" t="n"/>
      <c r="U78" s="749">
        <f>VeriGiris!U135</f>
        <v/>
      </c>
      <c r="V78" s="774" t="n"/>
      <c r="W78" s="749">
        <f>VeriGiris!W135</f>
        <v/>
      </c>
      <c r="X78" s="774" t="n"/>
      <c r="Y78" s="749">
        <f>VeriGiris!Y135</f>
        <v/>
      </c>
      <c r="Z78" s="774" t="n"/>
      <c r="AA78" s="749">
        <f>VeriGiris!AA135</f>
        <v/>
      </c>
      <c r="AB78" s="774" t="n"/>
      <c r="AC78" s="749">
        <f>VeriGiris!AC135</f>
        <v/>
      </c>
      <c r="AD78" s="774" t="n"/>
      <c r="AE78" s="79" t="n"/>
      <c r="AF78" s="79" t="n"/>
    </row>
    <row r="79" hidden="1" ht="15" customHeight="1" s="321">
      <c r="B79" s="619">
        <f>$B$15</f>
        <v/>
      </c>
      <c r="C79" s="773" t="n"/>
      <c r="D79" s="773" t="n"/>
      <c r="E79" s="773" t="n"/>
      <c r="F79" s="774" t="n"/>
      <c r="G79" s="569">
        <f>VeriGiris!G136</f>
        <v/>
      </c>
      <c r="H79" s="774" t="n"/>
      <c r="I79" s="749">
        <f>VeriGiris!I136</f>
        <v/>
      </c>
      <c r="J79" s="774" t="n"/>
      <c r="K79" s="749">
        <f>VeriGiris!K136</f>
        <v/>
      </c>
      <c r="L79" s="774" t="n"/>
      <c r="M79" s="749">
        <f>VeriGiris!M136</f>
        <v/>
      </c>
      <c r="N79" s="774" t="n"/>
      <c r="O79" s="749">
        <f>VeriGiris!O136</f>
        <v/>
      </c>
      <c r="P79" s="774" t="n"/>
      <c r="Q79" s="749">
        <f>VeriGiris!Q136</f>
        <v/>
      </c>
      <c r="R79" s="774" t="n"/>
      <c r="S79" s="749">
        <f>VeriGiris!S136</f>
        <v/>
      </c>
      <c r="T79" s="774" t="n"/>
      <c r="U79" s="749">
        <f>VeriGiris!U136</f>
        <v/>
      </c>
      <c r="V79" s="774" t="n"/>
      <c r="W79" s="749">
        <f>VeriGiris!W136</f>
        <v/>
      </c>
      <c r="X79" s="774" t="n"/>
      <c r="Y79" s="749">
        <f>VeriGiris!Y136</f>
        <v/>
      </c>
      <c r="Z79" s="774" t="n"/>
      <c r="AA79" s="749">
        <f>VeriGiris!AA136</f>
        <v/>
      </c>
      <c r="AB79" s="774" t="n"/>
      <c r="AC79" s="749">
        <f>VeriGiris!AC136</f>
        <v/>
      </c>
      <c r="AD79" s="774" t="n"/>
      <c r="AE79" s="79" t="n"/>
      <c r="AF79" s="79" t="n"/>
    </row>
    <row r="80" hidden="1" ht="15" customHeight="1" s="321">
      <c r="B80" s="619">
        <f>$B$16</f>
        <v/>
      </c>
      <c r="C80" s="773" t="n"/>
      <c r="D80" s="773" t="n"/>
      <c r="E80" s="773" t="n"/>
      <c r="F80" s="774" t="n"/>
      <c r="G80" s="569">
        <f>G79</f>
        <v/>
      </c>
      <c r="H80" s="774" t="n"/>
      <c r="I80" s="608">
        <f>I78*I79</f>
        <v/>
      </c>
      <c r="J80" s="774" t="n"/>
      <c r="K80" s="608">
        <f>K78*K79</f>
        <v/>
      </c>
      <c r="L80" s="774" t="n"/>
      <c r="M80" s="608">
        <f>M78*M79</f>
        <v/>
      </c>
      <c r="N80" s="774" t="n"/>
      <c r="O80" s="608">
        <f>O78*O79</f>
        <v/>
      </c>
      <c r="P80" s="774" t="n"/>
      <c r="Q80" s="608">
        <f>Q78*Q79</f>
        <v/>
      </c>
      <c r="R80" s="774" t="n"/>
      <c r="S80" s="608">
        <f>S78*S79</f>
        <v/>
      </c>
      <c r="T80" s="774" t="n"/>
      <c r="U80" s="608">
        <f>U78*U79</f>
        <v/>
      </c>
      <c r="V80" s="774" t="n"/>
      <c r="W80" s="608">
        <f>W78*W79</f>
        <v/>
      </c>
      <c r="X80" s="774" t="n"/>
      <c r="Y80" s="608">
        <f>Y78*Y79</f>
        <v/>
      </c>
      <c r="Z80" s="774" t="n"/>
      <c r="AA80" s="608">
        <f>AA78*AA79</f>
        <v/>
      </c>
      <c r="AB80" s="774" t="n"/>
      <c r="AC80" s="608">
        <f>AC78*AC79</f>
        <v/>
      </c>
      <c r="AD80" s="774" t="n"/>
      <c r="AE80" s="79" t="n"/>
      <c r="AF80" s="79" t="n"/>
    </row>
    <row r="81" hidden="1" ht="15" customHeight="1" s="321">
      <c r="A81" s="13" t="n">
        <v>18</v>
      </c>
      <c r="B81" s="659">
        <f>VeriGiris!B138</f>
        <v/>
      </c>
      <c r="C81" s="773" t="n"/>
      <c r="D81" s="773" t="n"/>
      <c r="E81" s="773" t="n"/>
      <c r="F81" s="774" t="n"/>
      <c r="G81" s="618" t="n"/>
      <c r="H81" s="774" t="n"/>
      <c r="I81" s="616" t="n"/>
      <c r="J81" s="774" t="n"/>
      <c r="K81" s="616" t="n"/>
      <c r="L81" s="774" t="n"/>
      <c r="M81" s="616" t="n"/>
      <c r="N81" s="774" t="n"/>
      <c r="O81" s="616" t="n"/>
      <c r="P81" s="774" t="n"/>
      <c r="Q81" s="616" t="n"/>
      <c r="R81" s="774" t="n"/>
      <c r="S81" s="616" t="n"/>
      <c r="T81" s="774" t="n"/>
      <c r="U81" s="616" t="n"/>
      <c r="V81" s="774" t="n"/>
      <c r="W81" s="616" t="n"/>
      <c r="X81" s="774" t="n"/>
      <c r="Y81" s="616" t="n"/>
      <c r="Z81" s="774" t="n"/>
      <c r="AA81" s="616" t="n"/>
      <c r="AB81" s="774" t="n"/>
      <c r="AC81" s="616" t="n"/>
      <c r="AD81" s="774" t="n"/>
      <c r="AE81" s="79" t="n"/>
      <c r="AF81" s="79" t="n"/>
      <c r="AG81" s="37" t="n">
        <v>1</v>
      </c>
    </row>
    <row r="82" hidden="1" ht="15" customHeight="1" s="321">
      <c r="B82" s="619">
        <f>$B$14</f>
        <v/>
      </c>
      <c r="C82" s="773" t="n"/>
      <c r="D82" s="773" t="n"/>
      <c r="E82" s="773" t="n"/>
      <c r="F82" s="774" t="n"/>
      <c r="G82" s="569">
        <f>VeriGiris!G141</f>
        <v/>
      </c>
      <c r="H82" s="774" t="n"/>
      <c r="I82" s="749">
        <f>VeriGiris!I141</f>
        <v/>
      </c>
      <c r="J82" s="774" t="n"/>
      <c r="K82" s="749">
        <f>VeriGiris!K141</f>
        <v/>
      </c>
      <c r="L82" s="774" t="n"/>
      <c r="M82" s="749">
        <f>VeriGiris!M141</f>
        <v/>
      </c>
      <c r="N82" s="774" t="n"/>
      <c r="O82" s="749">
        <f>VeriGiris!O141</f>
        <v/>
      </c>
      <c r="P82" s="774" t="n"/>
      <c r="Q82" s="749">
        <f>VeriGiris!Q141</f>
        <v/>
      </c>
      <c r="R82" s="774" t="n"/>
      <c r="S82" s="749">
        <f>VeriGiris!S141</f>
        <v/>
      </c>
      <c r="T82" s="774" t="n"/>
      <c r="U82" s="749">
        <f>VeriGiris!U141</f>
        <v/>
      </c>
      <c r="V82" s="774" t="n"/>
      <c r="W82" s="749">
        <f>VeriGiris!W141</f>
        <v/>
      </c>
      <c r="X82" s="774" t="n"/>
      <c r="Y82" s="749">
        <f>VeriGiris!Y141</f>
        <v/>
      </c>
      <c r="Z82" s="774" t="n"/>
      <c r="AA82" s="749">
        <f>VeriGiris!AA141</f>
        <v/>
      </c>
      <c r="AB82" s="774" t="n"/>
      <c r="AC82" s="749">
        <f>VeriGiris!AC141</f>
        <v/>
      </c>
      <c r="AD82" s="774" t="n"/>
      <c r="AE82" s="79" t="n"/>
      <c r="AF82" s="79" t="n"/>
      <c r="AG82" s="37" t="n">
        <v>1</v>
      </c>
    </row>
    <row r="83" hidden="1" ht="15" customHeight="1" s="321">
      <c r="B83" s="619">
        <f>$B$15</f>
        <v/>
      </c>
      <c r="C83" s="773" t="n"/>
      <c r="D83" s="773" t="n"/>
      <c r="E83" s="773" t="n"/>
      <c r="F83" s="774" t="n"/>
      <c r="G83" s="569">
        <f>VeriGiris!G142</f>
        <v/>
      </c>
      <c r="H83" s="774" t="n"/>
      <c r="I83" s="749">
        <f>VeriGiris!I142</f>
        <v/>
      </c>
      <c r="J83" s="774" t="n"/>
      <c r="K83" s="749">
        <f>VeriGiris!K142</f>
        <v/>
      </c>
      <c r="L83" s="774" t="n"/>
      <c r="M83" s="749">
        <f>VeriGiris!M142</f>
        <v/>
      </c>
      <c r="N83" s="774" t="n"/>
      <c r="O83" s="749">
        <f>VeriGiris!O142</f>
        <v/>
      </c>
      <c r="P83" s="774" t="n"/>
      <c r="Q83" s="749">
        <f>VeriGiris!Q142</f>
        <v/>
      </c>
      <c r="R83" s="774" t="n"/>
      <c r="S83" s="749">
        <f>VeriGiris!S142</f>
        <v/>
      </c>
      <c r="T83" s="774" t="n"/>
      <c r="U83" s="749">
        <f>VeriGiris!U142</f>
        <v/>
      </c>
      <c r="V83" s="774" t="n"/>
      <c r="W83" s="749">
        <f>VeriGiris!W142</f>
        <v/>
      </c>
      <c r="X83" s="774" t="n"/>
      <c r="Y83" s="749">
        <f>VeriGiris!Y142</f>
        <v/>
      </c>
      <c r="Z83" s="774" t="n"/>
      <c r="AA83" s="749">
        <f>VeriGiris!AA142</f>
        <v/>
      </c>
      <c r="AB83" s="774" t="n"/>
      <c r="AC83" s="749">
        <f>VeriGiris!AC142</f>
        <v/>
      </c>
      <c r="AD83" s="774" t="n"/>
      <c r="AE83" s="79" t="n"/>
      <c r="AF83" s="79" t="n"/>
      <c r="AG83" s="37" t="n">
        <v>1</v>
      </c>
    </row>
    <row r="84" hidden="1" ht="15" customHeight="1" s="321">
      <c r="B84" s="619">
        <f>$B$16</f>
        <v/>
      </c>
      <c r="C84" s="773" t="n"/>
      <c r="D84" s="773" t="n"/>
      <c r="E84" s="773" t="n"/>
      <c r="F84" s="774" t="n"/>
      <c r="G84" s="569">
        <f>G83</f>
        <v/>
      </c>
      <c r="H84" s="774" t="n"/>
      <c r="I84" s="608">
        <f>I82*I83</f>
        <v/>
      </c>
      <c r="J84" s="774" t="n"/>
      <c r="K84" s="608">
        <f>K82*K83</f>
        <v/>
      </c>
      <c r="L84" s="774" t="n"/>
      <c r="M84" s="608">
        <f>M82*M83</f>
        <v/>
      </c>
      <c r="N84" s="774" t="n"/>
      <c r="O84" s="608">
        <f>O82*O83</f>
        <v/>
      </c>
      <c r="P84" s="774" t="n"/>
      <c r="Q84" s="608">
        <f>Q82*Q83</f>
        <v/>
      </c>
      <c r="R84" s="774" t="n"/>
      <c r="S84" s="608">
        <f>S82*S83</f>
        <v/>
      </c>
      <c r="T84" s="774" t="n"/>
      <c r="U84" s="608">
        <f>U82*U83</f>
        <v/>
      </c>
      <c r="V84" s="774" t="n"/>
      <c r="W84" s="608">
        <f>W82*W83</f>
        <v/>
      </c>
      <c r="X84" s="774" t="n"/>
      <c r="Y84" s="608">
        <f>Y82*Y83</f>
        <v/>
      </c>
      <c r="Z84" s="774" t="n"/>
      <c r="AA84" s="608">
        <f>AA82*AA83</f>
        <v/>
      </c>
      <c r="AB84" s="774" t="n"/>
      <c r="AC84" s="608">
        <f>AC82*AC83</f>
        <v/>
      </c>
      <c r="AD84" s="774" t="n"/>
      <c r="AE84" s="79" t="n"/>
      <c r="AF84" s="79" t="n"/>
      <c r="AG84" s="37" t="n">
        <v>1</v>
      </c>
    </row>
    <row r="85" hidden="1" ht="15" customHeight="1" s="321">
      <c r="A85" s="13" t="n">
        <v>19</v>
      </c>
      <c r="B85" s="659">
        <f>VeriGiris!B144</f>
        <v/>
      </c>
      <c r="C85" s="773" t="n"/>
      <c r="D85" s="773" t="n"/>
      <c r="E85" s="773" t="n"/>
      <c r="F85" s="774" t="n"/>
      <c r="G85" s="618" t="n"/>
      <c r="H85" s="774" t="n"/>
      <c r="I85" s="616" t="n"/>
      <c r="J85" s="774" t="n"/>
      <c r="K85" s="616" t="n"/>
      <c r="L85" s="774" t="n"/>
      <c r="M85" s="616" t="n"/>
      <c r="N85" s="774" t="n"/>
      <c r="O85" s="616" t="n"/>
      <c r="P85" s="774" t="n"/>
      <c r="Q85" s="616" t="n"/>
      <c r="R85" s="774" t="n"/>
      <c r="S85" s="616" t="n"/>
      <c r="T85" s="774" t="n"/>
      <c r="U85" s="616" t="n"/>
      <c r="V85" s="774" t="n"/>
      <c r="W85" s="616" t="n"/>
      <c r="X85" s="774" t="n"/>
      <c r="Y85" s="616" t="n"/>
      <c r="Z85" s="774" t="n"/>
      <c r="AA85" s="616" t="n"/>
      <c r="AB85" s="774" t="n"/>
      <c r="AC85" s="616" t="n"/>
      <c r="AD85" s="774" t="n"/>
      <c r="AE85" s="79" t="n"/>
      <c r="AF85" s="79" t="n"/>
    </row>
    <row r="86" hidden="1" ht="15" customHeight="1" s="321">
      <c r="B86" s="619">
        <f>$B$14</f>
        <v/>
      </c>
      <c r="C86" s="773" t="n"/>
      <c r="D86" s="773" t="n"/>
      <c r="E86" s="773" t="n"/>
      <c r="F86" s="774" t="n"/>
      <c r="G86" s="569">
        <f>VeriGiris!G147</f>
        <v/>
      </c>
      <c r="H86" s="774" t="n"/>
      <c r="I86" s="749">
        <f>VeriGiris!I147</f>
        <v/>
      </c>
      <c r="J86" s="774" t="n"/>
      <c r="K86" s="749">
        <f>VeriGiris!K147</f>
        <v/>
      </c>
      <c r="L86" s="774" t="n"/>
      <c r="M86" s="749">
        <f>VeriGiris!M147</f>
        <v/>
      </c>
      <c r="N86" s="774" t="n"/>
      <c r="O86" s="749">
        <f>VeriGiris!O147</f>
        <v/>
      </c>
      <c r="P86" s="774" t="n"/>
      <c r="Q86" s="749">
        <f>VeriGiris!Q147</f>
        <v/>
      </c>
      <c r="R86" s="774" t="n"/>
      <c r="S86" s="749">
        <f>VeriGiris!S147</f>
        <v/>
      </c>
      <c r="T86" s="774" t="n"/>
      <c r="U86" s="749">
        <f>VeriGiris!U147</f>
        <v/>
      </c>
      <c r="V86" s="774" t="n"/>
      <c r="W86" s="749">
        <f>VeriGiris!W147</f>
        <v/>
      </c>
      <c r="X86" s="774" t="n"/>
      <c r="Y86" s="749">
        <f>VeriGiris!Y147</f>
        <v/>
      </c>
      <c r="Z86" s="774" t="n"/>
      <c r="AA86" s="749">
        <f>VeriGiris!AA147</f>
        <v/>
      </c>
      <c r="AB86" s="774" t="n"/>
      <c r="AC86" s="749">
        <f>VeriGiris!AC147</f>
        <v/>
      </c>
      <c r="AD86" s="774" t="n"/>
      <c r="AE86" s="79" t="n"/>
      <c r="AF86" s="79" t="n"/>
    </row>
    <row r="87" hidden="1" ht="15" customHeight="1" s="321">
      <c r="B87" s="619">
        <f>$B$15</f>
        <v/>
      </c>
      <c r="C87" s="773" t="n"/>
      <c r="D87" s="773" t="n"/>
      <c r="E87" s="773" t="n"/>
      <c r="F87" s="774" t="n"/>
      <c r="G87" s="569">
        <f>VeriGiris!G148</f>
        <v/>
      </c>
      <c r="H87" s="774" t="n"/>
      <c r="I87" s="749">
        <f>VeriGiris!I148</f>
        <v/>
      </c>
      <c r="J87" s="774" t="n"/>
      <c r="K87" s="749">
        <f>VeriGiris!K148</f>
        <v/>
      </c>
      <c r="L87" s="774" t="n"/>
      <c r="M87" s="749">
        <f>VeriGiris!M148</f>
        <v/>
      </c>
      <c r="N87" s="774" t="n"/>
      <c r="O87" s="749">
        <f>VeriGiris!O148</f>
        <v/>
      </c>
      <c r="P87" s="774" t="n"/>
      <c r="Q87" s="749">
        <f>VeriGiris!Q148</f>
        <v/>
      </c>
      <c r="R87" s="774" t="n"/>
      <c r="S87" s="749">
        <f>VeriGiris!S148</f>
        <v/>
      </c>
      <c r="T87" s="774" t="n"/>
      <c r="U87" s="749">
        <f>VeriGiris!U148</f>
        <v/>
      </c>
      <c r="V87" s="774" t="n"/>
      <c r="W87" s="749">
        <f>VeriGiris!W148</f>
        <v/>
      </c>
      <c r="X87" s="774" t="n"/>
      <c r="Y87" s="749">
        <f>VeriGiris!Y148</f>
        <v/>
      </c>
      <c r="Z87" s="774" t="n"/>
      <c r="AA87" s="749">
        <f>VeriGiris!AA148</f>
        <v/>
      </c>
      <c r="AB87" s="774" t="n"/>
      <c r="AC87" s="749">
        <f>VeriGiris!AC148</f>
        <v/>
      </c>
      <c r="AD87" s="774" t="n"/>
      <c r="AE87" s="79" t="n"/>
      <c r="AF87" s="79" t="n"/>
    </row>
    <row r="88" hidden="1" ht="15" customHeight="1" s="321">
      <c r="B88" s="619">
        <f>$B$16</f>
        <v/>
      </c>
      <c r="C88" s="773" t="n"/>
      <c r="D88" s="773" t="n"/>
      <c r="E88" s="773" t="n"/>
      <c r="F88" s="774" t="n"/>
      <c r="G88" s="569">
        <f>G87</f>
        <v/>
      </c>
      <c r="H88" s="774" t="n"/>
      <c r="I88" s="608">
        <f>I86*I87</f>
        <v/>
      </c>
      <c r="J88" s="774" t="n"/>
      <c r="K88" s="608">
        <f>K86*K87</f>
        <v/>
      </c>
      <c r="L88" s="774" t="n"/>
      <c r="M88" s="608">
        <f>M86*M87</f>
        <v/>
      </c>
      <c r="N88" s="774" t="n"/>
      <c r="O88" s="608">
        <f>O86*O87</f>
        <v/>
      </c>
      <c r="P88" s="774" t="n"/>
      <c r="Q88" s="608">
        <f>Q86*Q87</f>
        <v/>
      </c>
      <c r="R88" s="774" t="n"/>
      <c r="S88" s="608">
        <f>S86*S87</f>
        <v/>
      </c>
      <c r="T88" s="774" t="n"/>
      <c r="U88" s="608">
        <f>U86*U87</f>
        <v/>
      </c>
      <c r="V88" s="774" t="n"/>
      <c r="W88" s="608">
        <f>W86*W87</f>
        <v/>
      </c>
      <c r="X88" s="774" t="n"/>
      <c r="Y88" s="608">
        <f>Y86*Y87</f>
        <v/>
      </c>
      <c r="Z88" s="774" t="n"/>
      <c r="AA88" s="608">
        <f>AA86*AA87</f>
        <v/>
      </c>
      <c r="AB88" s="774" t="n"/>
      <c r="AC88" s="608">
        <f>AC86*AC87</f>
        <v/>
      </c>
      <c r="AD88" s="774" t="n"/>
      <c r="AE88" s="79" t="n"/>
      <c r="AF88" s="79" t="n"/>
    </row>
    <row r="89" hidden="1" ht="15" customHeight="1" s="321">
      <c r="A89" s="13" t="n">
        <v>20</v>
      </c>
      <c r="B89" s="659">
        <f>VeriGiris!B150</f>
        <v/>
      </c>
      <c r="C89" s="773" t="n"/>
      <c r="D89" s="773" t="n"/>
      <c r="E89" s="773" t="n"/>
      <c r="F89" s="774" t="n"/>
      <c r="G89" s="618" t="n"/>
      <c r="H89" s="774" t="n"/>
      <c r="I89" s="616" t="n"/>
      <c r="J89" s="774" t="n"/>
      <c r="K89" s="616" t="n"/>
      <c r="L89" s="774" t="n"/>
      <c r="M89" s="616" t="n"/>
      <c r="N89" s="774" t="n"/>
      <c r="O89" s="616" t="n"/>
      <c r="P89" s="774" t="n"/>
      <c r="Q89" s="616" t="n"/>
      <c r="R89" s="774" t="n"/>
      <c r="S89" s="616" t="n"/>
      <c r="T89" s="774" t="n"/>
      <c r="U89" s="616" t="n"/>
      <c r="V89" s="774" t="n"/>
      <c r="W89" s="616" t="n"/>
      <c r="X89" s="774" t="n"/>
      <c r="Y89" s="616" t="n"/>
      <c r="Z89" s="774" t="n"/>
      <c r="AA89" s="616" t="n"/>
      <c r="AB89" s="774" t="n"/>
      <c r="AC89" s="616" t="n"/>
      <c r="AD89" s="774" t="n"/>
      <c r="AE89" s="79" t="n"/>
      <c r="AF89" s="79" t="n"/>
    </row>
    <row r="90" hidden="1" ht="15" customHeight="1" s="321">
      <c r="B90" s="619">
        <f>$B$14</f>
        <v/>
      </c>
      <c r="C90" s="773" t="n"/>
      <c r="D90" s="773" t="n"/>
      <c r="E90" s="773" t="n"/>
      <c r="F90" s="774" t="n"/>
      <c r="G90" s="569">
        <f>VeriGiris!G153</f>
        <v/>
      </c>
      <c r="H90" s="774" t="n"/>
      <c r="I90" s="749">
        <f>VeriGiris!I153</f>
        <v/>
      </c>
      <c r="J90" s="774" t="n"/>
      <c r="K90" s="749">
        <f>VeriGiris!K153</f>
        <v/>
      </c>
      <c r="L90" s="774" t="n"/>
      <c r="M90" s="749">
        <f>VeriGiris!M153</f>
        <v/>
      </c>
      <c r="N90" s="774" t="n"/>
      <c r="O90" s="749">
        <f>VeriGiris!O153</f>
        <v/>
      </c>
      <c r="P90" s="774" t="n"/>
      <c r="Q90" s="749">
        <f>VeriGiris!Q153</f>
        <v/>
      </c>
      <c r="R90" s="774" t="n"/>
      <c r="S90" s="749">
        <f>VeriGiris!S153</f>
        <v/>
      </c>
      <c r="T90" s="774" t="n"/>
      <c r="U90" s="749">
        <f>VeriGiris!U153</f>
        <v/>
      </c>
      <c r="V90" s="774" t="n"/>
      <c r="W90" s="749">
        <f>VeriGiris!W153</f>
        <v/>
      </c>
      <c r="X90" s="774" t="n"/>
      <c r="Y90" s="749">
        <f>VeriGiris!Y153</f>
        <v/>
      </c>
      <c r="Z90" s="774" t="n"/>
      <c r="AA90" s="749">
        <f>VeriGiris!AA153</f>
        <v/>
      </c>
      <c r="AB90" s="774" t="n"/>
      <c r="AC90" s="749">
        <f>VeriGiris!AC153</f>
        <v/>
      </c>
      <c r="AD90" s="774" t="n"/>
      <c r="AE90" s="79" t="n"/>
      <c r="AF90" s="79" t="n"/>
    </row>
    <row r="91" hidden="1" ht="15" customHeight="1" s="321">
      <c r="B91" s="619">
        <f>$B$15</f>
        <v/>
      </c>
      <c r="C91" s="773" t="n"/>
      <c r="D91" s="773" t="n"/>
      <c r="E91" s="773" t="n"/>
      <c r="F91" s="774" t="n"/>
      <c r="G91" s="569">
        <f>VeriGiris!G154</f>
        <v/>
      </c>
      <c r="H91" s="774" t="n"/>
      <c r="I91" s="749">
        <f>VeriGiris!I154</f>
        <v/>
      </c>
      <c r="J91" s="774" t="n"/>
      <c r="K91" s="749">
        <f>VeriGiris!K154</f>
        <v/>
      </c>
      <c r="L91" s="774" t="n"/>
      <c r="M91" s="749">
        <f>VeriGiris!M154</f>
        <v/>
      </c>
      <c r="N91" s="774" t="n"/>
      <c r="O91" s="749">
        <f>VeriGiris!O154</f>
        <v/>
      </c>
      <c r="P91" s="774" t="n"/>
      <c r="Q91" s="749">
        <f>VeriGiris!Q154</f>
        <v/>
      </c>
      <c r="R91" s="774" t="n"/>
      <c r="S91" s="749">
        <f>VeriGiris!S154</f>
        <v/>
      </c>
      <c r="T91" s="774" t="n"/>
      <c r="U91" s="749">
        <f>VeriGiris!U154</f>
        <v/>
      </c>
      <c r="V91" s="774" t="n"/>
      <c r="W91" s="749">
        <f>VeriGiris!W154</f>
        <v/>
      </c>
      <c r="X91" s="774" t="n"/>
      <c r="Y91" s="749">
        <f>VeriGiris!Y154</f>
        <v/>
      </c>
      <c r="Z91" s="774" t="n"/>
      <c r="AA91" s="749">
        <f>VeriGiris!AA154</f>
        <v/>
      </c>
      <c r="AB91" s="774" t="n"/>
      <c r="AC91" s="749">
        <f>VeriGiris!AC154</f>
        <v/>
      </c>
      <c r="AD91" s="774" t="n"/>
      <c r="AE91" s="79" t="n"/>
      <c r="AF91" s="79" t="n"/>
    </row>
    <row r="92" hidden="1" ht="15" customHeight="1" s="321">
      <c r="B92" s="619">
        <f>$B$16</f>
        <v/>
      </c>
      <c r="C92" s="773" t="n"/>
      <c r="D92" s="773" t="n"/>
      <c r="E92" s="773" t="n"/>
      <c r="F92" s="774" t="n"/>
      <c r="G92" s="569">
        <f>G91</f>
        <v/>
      </c>
      <c r="H92" s="774" t="n"/>
      <c r="I92" s="608">
        <f>I90*I91</f>
        <v/>
      </c>
      <c r="J92" s="774" t="n"/>
      <c r="K92" s="608">
        <f>K90*K91</f>
        <v/>
      </c>
      <c r="L92" s="774" t="n"/>
      <c r="M92" s="608">
        <f>M90*M91</f>
        <v/>
      </c>
      <c r="N92" s="774" t="n"/>
      <c r="O92" s="608">
        <f>O90*O91</f>
        <v/>
      </c>
      <c r="P92" s="774" t="n"/>
      <c r="Q92" s="608">
        <f>Q90*Q91</f>
        <v/>
      </c>
      <c r="R92" s="774" t="n"/>
      <c r="S92" s="608">
        <f>S90*S91</f>
        <v/>
      </c>
      <c r="T92" s="774" t="n"/>
      <c r="U92" s="608">
        <f>U90*U91</f>
        <v/>
      </c>
      <c r="V92" s="774" t="n"/>
      <c r="W92" s="608">
        <f>W90*W91</f>
        <v/>
      </c>
      <c r="X92" s="774" t="n"/>
      <c r="Y92" s="608">
        <f>Y90*Y91</f>
        <v/>
      </c>
      <c r="Z92" s="774" t="n"/>
      <c r="AA92" s="608">
        <f>AA90*AA91</f>
        <v/>
      </c>
      <c r="AB92" s="774" t="n"/>
      <c r="AC92" s="608">
        <f>AC90*AC91</f>
        <v/>
      </c>
      <c r="AD92" s="774" t="n"/>
      <c r="AE92" s="79" t="n"/>
      <c r="AF92" s="79" t="n"/>
    </row>
    <row r="93">
      <c r="B93" s="609" t="inlineStr">
        <is>
          <t>Toplam Satış Gelirleri</t>
        </is>
      </c>
      <c r="C93" s="773" t="n"/>
      <c r="D93" s="773" t="n"/>
      <c r="E93" s="773" t="n"/>
      <c r="F93" s="774" t="n"/>
      <c r="G93" s="610" t="inlineStr">
        <is>
          <t>TL</t>
        </is>
      </c>
      <c r="H93" s="774" t="n"/>
      <c r="I93" s="611">
        <f>I16+I20+I24+I28+I32+I36+I40+I44+I48+I52+I56+I60+I64+I68+I72+I76+I80+I84+I88+I92</f>
        <v/>
      </c>
      <c r="J93" s="774" t="n"/>
      <c r="K93" s="611">
        <f>(K16+K20+K24+K28+K32+K36+K40+K44+K48+K52+K56+K60+K64+K68+K72+K76+K80+K84+K88+K92)</f>
        <v/>
      </c>
      <c r="L93" s="774" t="n"/>
      <c r="M93" s="611">
        <f>(M16+M20+M24+M28+M32+M36+M40+M44+M48+M52+M56+M60+M64+M68+M72+M76+M80+M84+M88+M92)</f>
        <v/>
      </c>
      <c r="N93" s="774" t="n"/>
      <c r="O93" s="611">
        <f>(O16+O20+O24+O28+O32+O36+O40+O44+O48+O52+O56+O60+O64+O68+O72+O76+O80+O84+O88+O92)</f>
        <v/>
      </c>
      <c r="P93" s="774" t="n"/>
      <c r="Q93" s="611">
        <f>(Q16+Q20+Q24+Q28+Q32+Q36+Q40+Q44+Q48+Q52+Q56+Q60+Q64+Q68+Q72+Q76+Q80+Q84+Q88+Q92)</f>
        <v/>
      </c>
      <c r="R93" s="774" t="n"/>
      <c r="S93" s="611">
        <f>(S16+S20+S24+S28+S32+S36+S40+S44+S48+S52+S56+S60+S64+S68+S72+S76+S80+S84+S88+S92)</f>
        <v/>
      </c>
      <c r="T93" s="774" t="n"/>
      <c r="U93" s="611">
        <f>(U16+U20+U24+U28+U32+U36+U40+U44+U48+U52+U56+U60+U64+U68+U72+U76+U80+U84+U88+U92)</f>
        <v/>
      </c>
      <c r="V93" s="774" t="n"/>
      <c r="W93" s="611">
        <f>(W16+W20+W24+W28+W32+W36+W40+W44+W48+W52+W56+W60+W64+W68+W72+W76+W80+W84+W88+W92)</f>
        <v/>
      </c>
      <c r="X93" s="774" t="n"/>
      <c r="Y93" s="611">
        <f>(Y16+Y20+Y24+Y28+Y32+Y36+Y40+Y44+Y48+Y52+Y56+Y60+Y64+Y68+Y72+Y76+Y80+Y84+Y88+Y92)</f>
        <v/>
      </c>
      <c r="Z93" s="774" t="n"/>
      <c r="AA93" s="611">
        <f>(AA16+AA20+AA24+AA28+AA32+AA36+AA40+AA44+AA48+AA52+AA56+AA60+AA64+AA68+AA72+AA76+AA80+AA84+AA88+AA92)</f>
        <v/>
      </c>
      <c r="AB93" s="774" t="n"/>
      <c r="AC93" s="611">
        <f>(AC16+AC20+AC24+AC28+AC32+AC36+AC40+AC44+AC48+AC52+AC56+AC60+AC64+AC68+AC72+AC76+AC80+AC84+AC88+AC92)</f>
        <v/>
      </c>
      <c r="AD93" s="774" t="n"/>
      <c r="AE93" s="80" t="n"/>
      <c r="AF93" s="80" t="n"/>
      <c r="AL93" s="31" t="n"/>
    </row>
    <row r="94" ht="5.25" customHeight="1" s="321">
      <c r="B94" s="14" t="n"/>
      <c r="C94" s="14" t="n"/>
      <c r="D94" s="14" t="n"/>
      <c r="E94" s="14" t="n"/>
      <c r="F94" s="14" t="n"/>
      <c r="G94" s="14" t="n"/>
      <c r="H94" s="14" t="n"/>
      <c r="I94" s="14" t="n"/>
      <c r="J94" s="14" t="n"/>
      <c r="K94" s="15" t="n"/>
      <c r="L94" s="15" t="n"/>
      <c r="M94" s="15" t="n"/>
      <c r="N94" s="15" t="n"/>
      <c r="O94" s="15" t="n"/>
      <c r="P94" s="15" t="n"/>
      <c r="Q94" s="15" t="n"/>
      <c r="R94" s="15" t="n"/>
      <c r="S94" s="15" t="n"/>
      <c r="T94" s="15" t="n"/>
      <c r="U94" s="15" t="n"/>
      <c r="V94" s="15" t="n"/>
      <c r="W94" s="15" t="n"/>
      <c r="X94" s="15" t="n"/>
      <c r="Y94" s="15" t="n"/>
      <c r="Z94" s="15" t="n"/>
      <c r="AA94" s="15" t="n"/>
      <c r="AB94" s="15" t="n"/>
      <c r="AC94" s="15" t="n"/>
      <c r="AD94" s="15" t="n"/>
      <c r="AE94" s="79" t="n"/>
      <c r="AF94" s="79" t="n"/>
      <c r="AL94" s="31" t="n"/>
    </row>
    <row r="95" ht="5.25" customHeight="1" s="321">
      <c r="B95" s="17" t="n"/>
      <c r="C95" s="17" t="n"/>
      <c r="D95" s="17" t="n"/>
      <c r="E95" s="17" t="n"/>
      <c r="F95" s="17" t="n"/>
      <c r="G95" s="17" t="n"/>
      <c r="H95" s="17" t="n"/>
      <c r="I95" s="17" t="n"/>
      <c r="J95" s="17" t="n"/>
      <c r="K95" s="17" t="n"/>
      <c r="L95" s="17" t="n"/>
      <c r="M95" s="17" t="n"/>
      <c r="N95" s="17" t="n"/>
      <c r="O95" s="17" t="n"/>
      <c r="P95" s="17" t="n"/>
      <c r="Q95" s="17" t="n"/>
      <c r="R95" s="17" t="n"/>
      <c r="S95" s="17" t="n"/>
      <c r="T95" s="17" t="n"/>
      <c r="U95" s="17" t="n"/>
      <c r="V95" s="17" t="n"/>
      <c r="W95" s="17" t="n"/>
      <c r="X95" s="17" t="n"/>
      <c r="Y95" s="17" t="n"/>
      <c r="Z95" s="17" t="n"/>
      <c r="AA95" s="17" t="n"/>
      <c r="AB95" s="17" t="n"/>
      <c r="AC95" s="17" t="n"/>
      <c r="AD95" s="17" t="n"/>
      <c r="AE95" s="17" t="n"/>
      <c r="AF95" s="17" t="n"/>
    </row>
    <row r="96" ht="5.25" customFormat="1" customHeight="1" s="8">
      <c r="A96" s="7" t="n"/>
      <c r="AG96" s="34" t="n"/>
    </row>
    <row r="97" ht="5.25" customFormat="1" customHeight="1" s="8">
      <c r="A97" s="7" t="n"/>
      <c r="B97" s="75" t="n"/>
      <c r="C97" s="75" t="n"/>
      <c r="D97" s="75" t="n"/>
      <c r="E97" s="75" t="n"/>
      <c r="F97" s="75" t="n"/>
      <c r="G97" s="75" t="n"/>
      <c r="H97" s="76" t="n"/>
      <c r="I97" s="76" t="n"/>
      <c r="J97" s="76" t="n"/>
      <c r="K97" s="76" t="n"/>
      <c r="L97" s="76" t="n"/>
      <c r="M97" s="76" t="n"/>
      <c r="N97" s="76" t="n"/>
      <c r="O97" s="76" t="n"/>
      <c r="P97" s="76" t="n"/>
      <c r="Q97" s="76" t="n"/>
      <c r="R97" s="76" t="n"/>
      <c r="S97" s="76" t="n"/>
      <c r="T97" s="76" t="n"/>
      <c r="U97" s="76" t="n"/>
      <c r="V97" s="76" t="n"/>
      <c r="W97" s="76" t="n"/>
      <c r="X97" s="76" t="n"/>
      <c r="Y97" s="76" t="n"/>
      <c r="Z97" s="76" t="n"/>
      <c r="AA97" s="76" t="n"/>
      <c r="AG97" s="34" t="n"/>
    </row>
    <row r="98" ht="5.25" customFormat="1" customHeight="1" s="8">
      <c r="A98" s="7" t="n"/>
      <c r="B98" s="77" t="n"/>
      <c r="C98" s="77" t="n"/>
      <c r="D98" s="77" t="n"/>
      <c r="E98" s="77" t="n"/>
      <c r="F98" s="77" t="n"/>
      <c r="G98" s="77" t="n"/>
      <c r="H98" s="77" t="n"/>
      <c r="I98" s="77" t="n"/>
      <c r="J98" s="77" t="n"/>
      <c r="K98" s="77" t="n"/>
      <c r="L98" s="77" t="n"/>
      <c r="M98" s="77" t="n"/>
      <c r="N98" s="77" t="n"/>
      <c r="O98" s="77" t="n"/>
      <c r="P98" s="77" t="n"/>
      <c r="Q98" s="77" t="n"/>
      <c r="R98" s="77" t="n"/>
      <c r="S98" s="77" t="n"/>
      <c r="T98" s="77" t="n"/>
      <c r="U98" s="77" t="n"/>
      <c r="V98" s="77" t="n"/>
      <c r="W98" s="77" t="n"/>
      <c r="X98" s="77" t="n"/>
      <c r="Y98" s="77" t="n"/>
      <c r="Z98" s="77" t="n"/>
      <c r="AA98" s="77" t="n"/>
      <c r="AG98" s="34" t="n"/>
    </row>
    <row r="99" ht="5.25" customFormat="1" customHeight="1" s="8">
      <c r="A99" s="7" t="n"/>
      <c r="B99" s="77" t="n"/>
      <c r="C99" s="77" t="n"/>
      <c r="D99" s="77" t="n"/>
      <c r="E99" s="77" t="n"/>
      <c r="F99" s="77" t="n"/>
      <c r="G99" s="77" t="n"/>
      <c r="H99" s="77" t="n"/>
      <c r="I99" s="77" t="n"/>
      <c r="J99" s="77" t="n"/>
      <c r="K99" s="77" t="n"/>
      <c r="L99" s="77" t="n"/>
      <c r="M99" s="77" t="n"/>
      <c r="N99" s="77" t="n"/>
      <c r="O99" s="77" t="n"/>
      <c r="P99" s="77" t="n"/>
      <c r="Q99" s="77" t="n"/>
      <c r="R99" s="77" t="n"/>
      <c r="S99" s="77" t="n"/>
      <c r="T99" s="77" t="n"/>
      <c r="U99" s="77" t="n"/>
      <c r="V99" s="77" t="n"/>
      <c r="W99" s="77" t="n"/>
      <c r="X99" s="48" t="n"/>
      <c r="Y99" s="48" t="n"/>
      <c r="Z99" s="48" t="n"/>
      <c r="AA99" s="48" t="n"/>
      <c r="AG99" s="34" t="n"/>
    </row>
    <row r="100" ht="5.25" customFormat="1" customHeight="1" s="8">
      <c r="A100" s="7" t="n"/>
      <c r="B100" s="77" t="n"/>
      <c r="C100" s="77" t="n"/>
      <c r="D100" s="77" t="n"/>
      <c r="E100" s="77" t="n"/>
      <c r="F100" s="77" t="n"/>
      <c r="G100" s="77" t="n"/>
      <c r="H100" s="77" t="n"/>
      <c r="I100" s="77" t="n"/>
      <c r="J100" s="77" t="n"/>
      <c r="K100" s="77" t="n"/>
      <c r="L100" s="77" t="n"/>
      <c r="M100" s="77" t="n"/>
      <c r="N100" s="77" t="n"/>
      <c r="O100" s="77" t="n"/>
      <c r="P100" s="77" t="n"/>
      <c r="Q100" s="77" t="n"/>
      <c r="R100" s="77" t="n"/>
      <c r="S100" s="77" t="n"/>
      <c r="T100" s="77" t="n"/>
      <c r="U100" s="77" t="n"/>
      <c r="V100" s="77" t="n"/>
      <c r="W100" s="77" t="n"/>
      <c r="X100" s="48" t="n"/>
      <c r="Y100" s="48" t="n"/>
      <c r="Z100" s="48" t="n"/>
      <c r="AA100" s="48" t="n"/>
      <c r="AG100" s="34" t="n"/>
    </row>
    <row r="101" ht="5.25" customHeight="1" s="321"/>
    <row r="102" ht="5.25" customHeight="1" s="321"/>
    <row r="103">
      <c r="B103" s="621" t="inlineStr">
        <is>
          <t>Tablo 7-Diğer Gelirler (TL)</t>
        </is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3" t="n"/>
      <c r="L103" s="773" t="n"/>
      <c r="M103" s="773" t="n"/>
      <c r="N103" s="773" t="n"/>
      <c r="O103" s="773" t="n"/>
      <c r="P103" s="773" t="n"/>
      <c r="Q103" s="773" t="n"/>
      <c r="R103" s="773" t="n"/>
      <c r="S103" s="773" t="n"/>
      <c r="T103" s="773" t="n"/>
      <c r="U103" s="773" t="n"/>
      <c r="V103" s="773" t="n"/>
      <c r="W103" s="773" t="n"/>
      <c r="X103" s="773" t="n"/>
      <c r="Y103" s="773" t="n"/>
      <c r="Z103" s="773" t="n"/>
      <c r="AA103" s="773" t="n"/>
      <c r="AB103" s="773" t="n"/>
      <c r="AC103" s="773" t="n"/>
      <c r="AD103" s="774" t="n"/>
      <c r="AE103" s="81" t="n"/>
      <c r="AF103" s="81" t="n"/>
    </row>
    <row r="104" ht="32.45" customHeight="1" s="321">
      <c r="B104" s="607" t="inlineStr">
        <is>
          <t>Diğer Gelirler (Tür)</t>
        </is>
      </c>
      <c r="C104" s="773" t="n"/>
      <c r="D104" s="773" t="n"/>
      <c r="E104" s="773" t="n"/>
      <c r="F104" s="773" t="n"/>
      <c r="G104" s="773" t="n"/>
      <c r="H104" s="774" t="n"/>
      <c r="I104" s="607">
        <f>VeriGiris!I35</f>
        <v/>
      </c>
      <c r="J104" s="774" t="n"/>
      <c r="K104" s="607">
        <f>VeriGiris!K35</f>
        <v/>
      </c>
      <c r="L104" s="774" t="n"/>
      <c r="M104" s="607">
        <f>VeriGiris!M35</f>
        <v/>
      </c>
      <c r="N104" s="774" t="n"/>
      <c r="O104" s="607">
        <f>VeriGiris!O35</f>
        <v/>
      </c>
      <c r="P104" s="774" t="n"/>
      <c r="Q104" s="607">
        <f>VeriGiris!Q35</f>
        <v/>
      </c>
      <c r="R104" s="774" t="n"/>
      <c r="S104" s="607">
        <f>VeriGiris!S35</f>
        <v/>
      </c>
      <c r="T104" s="774" t="n"/>
      <c r="U104" s="607">
        <f>VeriGiris!U35</f>
        <v/>
      </c>
      <c r="V104" s="774" t="n"/>
      <c r="W104" s="607">
        <f>VeriGiris!W35</f>
        <v/>
      </c>
      <c r="X104" s="774" t="n"/>
      <c r="Y104" s="607">
        <f>VeriGiris!Y35</f>
        <v/>
      </c>
      <c r="Z104" s="774" t="n"/>
      <c r="AA104" s="607">
        <f>VeriGiris!AA35</f>
        <v/>
      </c>
      <c r="AB104" s="774" t="n"/>
      <c r="AC104" s="607">
        <f>VeriGiris!AC35</f>
        <v/>
      </c>
      <c r="AD104" s="774" t="n"/>
      <c r="AE104" s="82" t="n"/>
      <c r="AF104" s="82" t="n"/>
    </row>
    <row r="105">
      <c r="A105" s="13" t="n">
        <v>1</v>
      </c>
      <c r="B105" s="717">
        <f>VeriGiris!B159</f>
        <v/>
      </c>
      <c r="C105" s="773" t="n"/>
      <c r="D105" s="773" t="n"/>
      <c r="E105" s="773" t="n"/>
      <c r="F105" s="773" t="n"/>
      <c r="G105" s="773" t="n"/>
      <c r="H105" s="774" t="n"/>
      <c r="I105" s="749">
        <f>VeriGiris!K159</f>
        <v/>
      </c>
      <c r="J105" s="774" t="n"/>
      <c r="K105" s="749">
        <f>VeriGiris!M159</f>
        <v/>
      </c>
      <c r="L105" s="774" t="n"/>
      <c r="M105" s="749">
        <f>VeriGiris!O159</f>
        <v/>
      </c>
      <c r="N105" s="774" t="n"/>
      <c r="O105" s="749">
        <f>VeriGiris!Q159</f>
        <v/>
      </c>
      <c r="P105" s="774" t="n"/>
      <c r="Q105" s="749">
        <f>VeriGiris!S159</f>
        <v/>
      </c>
      <c r="R105" s="774" t="n"/>
      <c r="S105" s="749">
        <f>VeriGiris!U159</f>
        <v/>
      </c>
      <c r="T105" s="774" t="n"/>
      <c r="U105" s="749">
        <f>VeriGiris!W159</f>
        <v/>
      </c>
      <c r="V105" s="774" t="n"/>
      <c r="W105" s="749">
        <f>VeriGiris!Y159</f>
        <v/>
      </c>
      <c r="X105" s="774" t="n"/>
      <c r="Y105" s="749">
        <f>VeriGiris!AA159</f>
        <v/>
      </c>
      <c r="Z105" s="774" t="n"/>
      <c r="AA105" s="749">
        <f>VeriGiris!AC159</f>
        <v/>
      </c>
      <c r="AB105" s="774" t="n"/>
      <c r="AC105" s="749">
        <f>VeriGiris!AE159</f>
        <v/>
      </c>
      <c r="AD105" s="774" t="n"/>
      <c r="AE105" s="83" t="n"/>
      <c r="AF105" s="83" t="n"/>
      <c r="AG105" s="37">
        <f>IF(OR(B105="",B105=0),"",1)</f>
        <v/>
      </c>
    </row>
    <row r="106" hidden="1" ht="15" customHeight="1" s="321">
      <c r="A106" s="13" t="n">
        <v>2</v>
      </c>
      <c r="B106" s="717">
        <f>VeriGiris!B160</f>
        <v/>
      </c>
      <c r="C106" s="773" t="n"/>
      <c r="D106" s="773" t="n"/>
      <c r="E106" s="773" t="n"/>
      <c r="F106" s="773" t="n"/>
      <c r="G106" s="773" t="n"/>
      <c r="H106" s="774" t="n"/>
      <c r="I106" s="749">
        <f>VeriGiris!K160</f>
        <v/>
      </c>
      <c r="J106" s="774" t="n"/>
      <c r="K106" s="749">
        <f>VeriGiris!M160</f>
        <v/>
      </c>
      <c r="L106" s="774" t="n"/>
      <c r="M106" s="749">
        <f>VeriGiris!O160</f>
        <v/>
      </c>
      <c r="N106" s="774" t="n"/>
      <c r="O106" s="749">
        <f>VeriGiris!Q160</f>
        <v/>
      </c>
      <c r="P106" s="774" t="n"/>
      <c r="Q106" s="749">
        <f>VeriGiris!S160</f>
        <v/>
      </c>
      <c r="R106" s="774" t="n"/>
      <c r="S106" s="749">
        <f>VeriGiris!U160</f>
        <v/>
      </c>
      <c r="T106" s="774" t="n"/>
      <c r="U106" s="749">
        <f>VeriGiris!W160</f>
        <v/>
      </c>
      <c r="V106" s="774" t="n"/>
      <c r="W106" s="749">
        <f>VeriGiris!Y160</f>
        <v/>
      </c>
      <c r="X106" s="774" t="n"/>
      <c r="Y106" s="749">
        <f>VeriGiris!AA160</f>
        <v/>
      </c>
      <c r="Z106" s="774" t="n"/>
      <c r="AA106" s="749">
        <f>VeriGiris!AC160</f>
        <v/>
      </c>
      <c r="AB106" s="774" t="n"/>
      <c r="AC106" s="749">
        <f>VeriGiris!AE160</f>
        <v/>
      </c>
      <c r="AD106" s="774" t="n"/>
      <c r="AE106" s="83" t="n"/>
      <c r="AF106" s="83" t="n"/>
      <c r="AG106" s="37">
        <f>IF(OR(B106="",B106=0),"",1)</f>
        <v/>
      </c>
    </row>
    <row r="107" hidden="1" ht="15" customHeight="1" s="321">
      <c r="A107" s="13" t="n">
        <v>3</v>
      </c>
      <c r="B107" s="717">
        <f>VeriGiris!B161</f>
        <v/>
      </c>
      <c r="C107" s="773" t="n"/>
      <c r="D107" s="773" t="n"/>
      <c r="E107" s="773" t="n"/>
      <c r="F107" s="773" t="n"/>
      <c r="G107" s="773" t="n"/>
      <c r="H107" s="774" t="n"/>
      <c r="I107" s="749">
        <f>VeriGiris!K161</f>
        <v/>
      </c>
      <c r="J107" s="774" t="n"/>
      <c r="K107" s="749">
        <f>VeriGiris!M161</f>
        <v/>
      </c>
      <c r="L107" s="774" t="n"/>
      <c r="M107" s="749">
        <f>VeriGiris!O161</f>
        <v/>
      </c>
      <c r="N107" s="774" t="n"/>
      <c r="O107" s="749">
        <f>VeriGiris!Q161</f>
        <v/>
      </c>
      <c r="P107" s="774" t="n"/>
      <c r="Q107" s="749">
        <f>VeriGiris!S161</f>
        <v/>
      </c>
      <c r="R107" s="774" t="n"/>
      <c r="S107" s="749">
        <f>VeriGiris!U161</f>
        <v/>
      </c>
      <c r="T107" s="774" t="n"/>
      <c r="U107" s="749">
        <f>VeriGiris!W161</f>
        <v/>
      </c>
      <c r="V107" s="774" t="n"/>
      <c r="W107" s="749">
        <f>VeriGiris!Y161</f>
        <v/>
      </c>
      <c r="X107" s="774" t="n"/>
      <c r="Y107" s="749">
        <f>VeriGiris!AA161</f>
        <v/>
      </c>
      <c r="Z107" s="774" t="n"/>
      <c r="AA107" s="749">
        <f>VeriGiris!AC161</f>
        <v/>
      </c>
      <c r="AB107" s="774" t="n"/>
      <c r="AC107" s="749">
        <f>VeriGiris!AE161</f>
        <v/>
      </c>
      <c r="AD107" s="774" t="n"/>
      <c r="AE107" s="83" t="n"/>
      <c r="AF107" s="83" t="n"/>
      <c r="AG107" s="37">
        <f>IF(OR(B107="",B107=0),"",1)</f>
        <v/>
      </c>
    </row>
    <row r="108" hidden="1" ht="15" customHeight="1" s="321">
      <c r="A108" s="13" t="n">
        <v>4</v>
      </c>
      <c r="B108" s="717">
        <f>VeriGiris!B162</f>
        <v/>
      </c>
      <c r="C108" s="773" t="n"/>
      <c r="D108" s="773" t="n"/>
      <c r="E108" s="773" t="n"/>
      <c r="F108" s="773" t="n"/>
      <c r="G108" s="773" t="n"/>
      <c r="H108" s="774" t="n"/>
      <c r="I108" s="749">
        <f>VeriGiris!K162</f>
        <v/>
      </c>
      <c r="J108" s="774" t="n"/>
      <c r="K108" s="749">
        <f>VeriGiris!M162</f>
        <v/>
      </c>
      <c r="L108" s="774" t="n"/>
      <c r="M108" s="749">
        <f>VeriGiris!O162</f>
        <v/>
      </c>
      <c r="N108" s="774" t="n"/>
      <c r="O108" s="749">
        <f>VeriGiris!Q162</f>
        <v/>
      </c>
      <c r="P108" s="774" t="n"/>
      <c r="Q108" s="749">
        <f>VeriGiris!S162</f>
        <v/>
      </c>
      <c r="R108" s="774" t="n"/>
      <c r="S108" s="749">
        <f>VeriGiris!U162</f>
        <v/>
      </c>
      <c r="T108" s="774" t="n"/>
      <c r="U108" s="749">
        <f>VeriGiris!W162</f>
        <v/>
      </c>
      <c r="V108" s="774" t="n"/>
      <c r="W108" s="749">
        <f>VeriGiris!Y162</f>
        <v/>
      </c>
      <c r="X108" s="774" t="n"/>
      <c r="Y108" s="749">
        <f>VeriGiris!AA162</f>
        <v/>
      </c>
      <c r="Z108" s="774" t="n"/>
      <c r="AA108" s="749">
        <f>VeriGiris!AC162</f>
        <v/>
      </c>
      <c r="AB108" s="774" t="n"/>
      <c r="AC108" s="749">
        <f>VeriGiris!AE162</f>
        <v/>
      </c>
      <c r="AD108" s="774" t="n"/>
      <c r="AE108" s="83" t="n"/>
      <c r="AF108" s="83" t="n"/>
      <c r="AG108" s="37">
        <f>IF(OR(B108="",B108=0),"",1)</f>
        <v/>
      </c>
    </row>
    <row r="109" hidden="1" ht="15" customHeight="1" s="321">
      <c r="A109" s="13" t="n">
        <v>5</v>
      </c>
      <c r="B109" s="717">
        <f>VeriGiris!B163</f>
        <v/>
      </c>
      <c r="C109" s="773" t="n"/>
      <c r="D109" s="773" t="n"/>
      <c r="E109" s="773" t="n"/>
      <c r="F109" s="773" t="n"/>
      <c r="G109" s="773" t="n"/>
      <c r="H109" s="774" t="n"/>
      <c r="I109" s="749">
        <f>VeriGiris!K163</f>
        <v/>
      </c>
      <c r="J109" s="774" t="n"/>
      <c r="K109" s="749">
        <f>VeriGiris!M163</f>
        <v/>
      </c>
      <c r="L109" s="774" t="n"/>
      <c r="M109" s="749">
        <f>VeriGiris!O163</f>
        <v/>
      </c>
      <c r="N109" s="774" t="n"/>
      <c r="O109" s="749">
        <f>VeriGiris!Q163</f>
        <v/>
      </c>
      <c r="P109" s="774" t="n"/>
      <c r="Q109" s="749">
        <f>VeriGiris!S163</f>
        <v/>
      </c>
      <c r="R109" s="774" t="n"/>
      <c r="S109" s="749">
        <f>VeriGiris!U163</f>
        <v/>
      </c>
      <c r="T109" s="774" t="n"/>
      <c r="U109" s="749">
        <f>VeriGiris!W163</f>
        <v/>
      </c>
      <c r="V109" s="774" t="n"/>
      <c r="W109" s="749">
        <f>VeriGiris!Y163</f>
        <v/>
      </c>
      <c r="X109" s="774" t="n"/>
      <c r="Y109" s="749">
        <f>VeriGiris!AA163</f>
        <v/>
      </c>
      <c r="Z109" s="774" t="n"/>
      <c r="AA109" s="749">
        <f>VeriGiris!AC163</f>
        <v/>
      </c>
      <c r="AB109" s="774" t="n"/>
      <c r="AC109" s="749">
        <f>VeriGiris!AE163</f>
        <v/>
      </c>
      <c r="AD109" s="774" t="n"/>
      <c r="AE109" s="83" t="n"/>
      <c r="AF109" s="83" t="n"/>
      <c r="AG109" s="37">
        <f>IF(OR(B109="",B109=0),"",1)</f>
        <v/>
      </c>
    </row>
    <row r="110" hidden="1" ht="15" customHeight="1" s="321">
      <c r="A110" s="13" t="n">
        <v>6</v>
      </c>
      <c r="B110" s="717">
        <f>VeriGiris!B164</f>
        <v/>
      </c>
      <c r="C110" s="773" t="n"/>
      <c r="D110" s="773" t="n"/>
      <c r="E110" s="773" t="n"/>
      <c r="F110" s="773" t="n"/>
      <c r="G110" s="773" t="n"/>
      <c r="H110" s="774" t="n"/>
      <c r="I110" s="749">
        <f>VeriGiris!K164</f>
        <v/>
      </c>
      <c r="J110" s="774" t="n"/>
      <c r="K110" s="749">
        <f>VeriGiris!M164</f>
        <v/>
      </c>
      <c r="L110" s="774" t="n"/>
      <c r="M110" s="749">
        <f>VeriGiris!O164</f>
        <v/>
      </c>
      <c r="N110" s="774" t="n"/>
      <c r="O110" s="749">
        <f>VeriGiris!Q164</f>
        <v/>
      </c>
      <c r="P110" s="774" t="n"/>
      <c r="Q110" s="749">
        <f>VeriGiris!S164</f>
        <v/>
      </c>
      <c r="R110" s="774" t="n"/>
      <c r="S110" s="749">
        <f>VeriGiris!U164</f>
        <v/>
      </c>
      <c r="T110" s="774" t="n"/>
      <c r="U110" s="749">
        <f>VeriGiris!W164</f>
        <v/>
      </c>
      <c r="V110" s="774" t="n"/>
      <c r="W110" s="749">
        <f>VeriGiris!Y164</f>
        <v/>
      </c>
      <c r="X110" s="774" t="n"/>
      <c r="Y110" s="749">
        <f>VeriGiris!AA164</f>
        <v/>
      </c>
      <c r="Z110" s="774" t="n"/>
      <c r="AA110" s="749">
        <f>VeriGiris!AC164</f>
        <v/>
      </c>
      <c r="AB110" s="774" t="n"/>
      <c r="AC110" s="749">
        <f>VeriGiris!AE164</f>
        <v/>
      </c>
      <c r="AD110" s="774" t="n"/>
      <c r="AE110" s="83" t="n"/>
      <c r="AF110" s="83" t="n"/>
      <c r="AG110" s="37">
        <f>IF(OR(B110="",B110=0),"",1)</f>
        <v/>
      </c>
    </row>
    <row r="111" hidden="1" ht="15" customHeight="1" s="321">
      <c r="A111" s="13" t="n">
        <v>7</v>
      </c>
      <c r="B111" s="717">
        <f>VeriGiris!B165</f>
        <v/>
      </c>
      <c r="C111" s="773" t="n"/>
      <c r="D111" s="773" t="n"/>
      <c r="E111" s="773" t="n"/>
      <c r="F111" s="773" t="n"/>
      <c r="G111" s="773" t="n"/>
      <c r="H111" s="774" t="n"/>
      <c r="I111" s="749">
        <f>VeriGiris!K165</f>
        <v/>
      </c>
      <c r="J111" s="774" t="n"/>
      <c r="K111" s="749">
        <f>VeriGiris!M165</f>
        <v/>
      </c>
      <c r="L111" s="774" t="n"/>
      <c r="M111" s="749">
        <f>VeriGiris!O165</f>
        <v/>
      </c>
      <c r="N111" s="774" t="n"/>
      <c r="O111" s="749">
        <f>VeriGiris!Q165</f>
        <v/>
      </c>
      <c r="P111" s="774" t="n"/>
      <c r="Q111" s="749">
        <f>VeriGiris!S165</f>
        <v/>
      </c>
      <c r="R111" s="774" t="n"/>
      <c r="S111" s="749">
        <f>VeriGiris!U165</f>
        <v/>
      </c>
      <c r="T111" s="774" t="n"/>
      <c r="U111" s="749">
        <f>VeriGiris!W165</f>
        <v/>
      </c>
      <c r="V111" s="774" t="n"/>
      <c r="W111" s="749">
        <f>VeriGiris!Y165</f>
        <v/>
      </c>
      <c r="X111" s="774" t="n"/>
      <c r="Y111" s="749">
        <f>VeriGiris!AA165</f>
        <v/>
      </c>
      <c r="Z111" s="774" t="n"/>
      <c r="AA111" s="749">
        <f>VeriGiris!AC165</f>
        <v/>
      </c>
      <c r="AB111" s="774" t="n"/>
      <c r="AC111" s="749">
        <f>VeriGiris!AE165</f>
        <v/>
      </c>
      <c r="AD111" s="774" t="n"/>
      <c r="AE111" s="83" t="n"/>
      <c r="AF111" s="83" t="n"/>
      <c r="AG111" s="37">
        <f>IF(OR(B111="",B111=0),"",1)</f>
        <v/>
      </c>
    </row>
    <row r="112" hidden="1" ht="15" customHeight="1" s="321">
      <c r="A112" s="13" t="n">
        <v>8</v>
      </c>
      <c r="B112" s="717">
        <f>VeriGiris!B166</f>
        <v/>
      </c>
      <c r="C112" s="773" t="n"/>
      <c r="D112" s="773" t="n"/>
      <c r="E112" s="773" t="n"/>
      <c r="F112" s="773" t="n"/>
      <c r="G112" s="773" t="n"/>
      <c r="H112" s="774" t="n"/>
      <c r="I112" s="749">
        <f>VeriGiris!K166</f>
        <v/>
      </c>
      <c r="J112" s="774" t="n"/>
      <c r="K112" s="749">
        <f>VeriGiris!M166</f>
        <v/>
      </c>
      <c r="L112" s="774" t="n"/>
      <c r="M112" s="749">
        <f>VeriGiris!O166</f>
        <v/>
      </c>
      <c r="N112" s="774" t="n"/>
      <c r="O112" s="749">
        <f>VeriGiris!Q166</f>
        <v/>
      </c>
      <c r="P112" s="774" t="n"/>
      <c r="Q112" s="749">
        <f>VeriGiris!S166</f>
        <v/>
      </c>
      <c r="R112" s="774" t="n"/>
      <c r="S112" s="749">
        <f>VeriGiris!U166</f>
        <v/>
      </c>
      <c r="T112" s="774" t="n"/>
      <c r="U112" s="749">
        <f>VeriGiris!W166</f>
        <v/>
      </c>
      <c r="V112" s="774" t="n"/>
      <c r="W112" s="749">
        <f>VeriGiris!Y166</f>
        <v/>
      </c>
      <c r="X112" s="774" t="n"/>
      <c r="Y112" s="749">
        <f>VeriGiris!AA166</f>
        <v/>
      </c>
      <c r="Z112" s="774" t="n"/>
      <c r="AA112" s="749">
        <f>VeriGiris!AC166</f>
        <v/>
      </c>
      <c r="AB112" s="774" t="n"/>
      <c r="AC112" s="749">
        <f>VeriGiris!AE166</f>
        <v/>
      </c>
      <c r="AD112" s="774" t="n"/>
      <c r="AE112" s="83" t="n"/>
      <c r="AF112" s="83" t="n"/>
      <c r="AG112" s="37">
        <f>IF(OR(B112="",B112=0),"",1)</f>
        <v/>
      </c>
    </row>
    <row r="113" hidden="1" ht="15" customHeight="1" s="321">
      <c r="A113" s="13" t="n">
        <v>9</v>
      </c>
      <c r="B113" s="717">
        <f>VeriGiris!B167</f>
        <v/>
      </c>
      <c r="C113" s="773" t="n"/>
      <c r="D113" s="773" t="n"/>
      <c r="E113" s="773" t="n"/>
      <c r="F113" s="773" t="n"/>
      <c r="G113" s="773" t="n"/>
      <c r="H113" s="774" t="n"/>
      <c r="I113" s="749">
        <f>VeriGiris!K167</f>
        <v/>
      </c>
      <c r="J113" s="774" t="n"/>
      <c r="K113" s="749">
        <f>VeriGiris!M167</f>
        <v/>
      </c>
      <c r="L113" s="774" t="n"/>
      <c r="M113" s="749">
        <f>VeriGiris!O167</f>
        <v/>
      </c>
      <c r="N113" s="774" t="n"/>
      <c r="O113" s="749">
        <f>VeriGiris!Q167</f>
        <v/>
      </c>
      <c r="P113" s="774" t="n"/>
      <c r="Q113" s="749">
        <f>VeriGiris!S167</f>
        <v/>
      </c>
      <c r="R113" s="774" t="n"/>
      <c r="S113" s="749">
        <f>VeriGiris!U167</f>
        <v/>
      </c>
      <c r="T113" s="774" t="n"/>
      <c r="U113" s="749">
        <f>VeriGiris!W167</f>
        <v/>
      </c>
      <c r="V113" s="774" t="n"/>
      <c r="W113" s="749">
        <f>VeriGiris!Y167</f>
        <v/>
      </c>
      <c r="X113" s="774" t="n"/>
      <c r="Y113" s="749">
        <f>VeriGiris!AA167</f>
        <v/>
      </c>
      <c r="Z113" s="774" t="n"/>
      <c r="AA113" s="749">
        <f>VeriGiris!AC167</f>
        <v/>
      </c>
      <c r="AB113" s="774" t="n"/>
      <c r="AC113" s="749">
        <f>VeriGiris!AE167</f>
        <v/>
      </c>
      <c r="AD113" s="774" t="n"/>
      <c r="AE113" s="83" t="n"/>
      <c r="AF113" s="83" t="n"/>
      <c r="AG113" s="37">
        <f>IF(OR(B113="",B113=0),"",1)</f>
        <v/>
      </c>
    </row>
    <row r="114" hidden="1" ht="15" customHeight="1" s="321">
      <c r="A114" s="13" t="n">
        <v>10</v>
      </c>
      <c r="B114" s="717">
        <f>VeriGiris!B168</f>
        <v/>
      </c>
      <c r="C114" s="773" t="n"/>
      <c r="D114" s="773" t="n"/>
      <c r="E114" s="773" t="n"/>
      <c r="F114" s="773" t="n"/>
      <c r="G114" s="773" t="n"/>
      <c r="H114" s="774" t="n"/>
      <c r="I114" s="749">
        <f>VeriGiris!K168</f>
        <v/>
      </c>
      <c r="J114" s="774" t="n"/>
      <c r="K114" s="749">
        <f>VeriGiris!M168</f>
        <v/>
      </c>
      <c r="L114" s="774" t="n"/>
      <c r="M114" s="749">
        <f>VeriGiris!O168</f>
        <v/>
      </c>
      <c r="N114" s="774" t="n"/>
      <c r="O114" s="749">
        <f>VeriGiris!Q168</f>
        <v/>
      </c>
      <c r="P114" s="774" t="n"/>
      <c r="Q114" s="749">
        <f>VeriGiris!S168</f>
        <v/>
      </c>
      <c r="R114" s="774" t="n"/>
      <c r="S114" s="749">
        <f>VeriGiris!U168</f>
        <v/>
      </c>
      <c r="T114" s="774" t="n"/>
      <c r="U114" s="749">
        <f>VeriGiris!W168</f>
        <v/>
      </c>
      <c r="V114" s="774" t="n"/>
      <c r="W114" s="749">
        <f>VeriGiris!Y168</f>
        <v/>
      </c>
      <c r="X114" s="774" t="n"/>
      <c r="Y114" s="749">
        <f>VeriGiris!AA168</f>
        <v/>
      </c>
      <c r="Z114" s="774" t="n"/>
      <c r="AA114" s="749">
        <f>VeriGiris!AC168</f>
        <v/>
      </c>
      <c r="AB114" s="774" t="n"/>
      <c r="AC114" s="749">
        <f>VeriGiris!AE168</f>
        <v/>
      </c>
      <c r="AD114" s="774" t="n"/>
      <c r="AE114" s="83" t="n"/>
      <c r="AF114" s="83" t="n"/>
      <c r="AG114" s="37">
        <f>IF(OR(B114="",B114=0),"",1)</f>
        <v/>
      </c>
    </row>
    <row r="115" hidden="1" ht="15" customHeight="1" s="321">
      <c r="A115" s="13" t="n">
        <v>11</v>
      </c>
      <c r="B115" s="717">
        <f>VeriGiris!B169</f>
        <v/>
      </c>
      <c r="C115" s="773" t="n"/>
      <c r="D115" s="773" t="n"/>
      <c r="E115" s="773" t="n"/>
      <c r="F115" s="773" t="n"/>
      <c r="G115" s="773" t="n"/>
      <c r="H115" s="774" t="n"/>
      <c r="I115" s="749">
        <f>VeriGiris!K169</f>
        <v/>
      </c>
      <c r="J115" s="774" t="n"/>
      <c r="K115" s="749">
        <f>VeriGiris!M169</f>
        <v/>
      </c>
      <c r="L115" s="774" t="n"/>
      <c r="M115" s="749">
        <f>VeriGiris!O169</f>
        <v/>
      </c>
      <c r="N115" s="774" t="n"/>
      <c r="O115" s="749">
        <f>VeriGiris!Q169</f>
        <v/>
      </c>
      <c r="P115" s="774" t="n"/>
      <c r="Q115" s="749">
        <f>VeriGiris!S169</f>
        <v/>
      </c>
      <c r="R115" s="774" t="n"/>
      <c r="S115" s="749">
        <f>VeriGiris!U169</f>
        <v/>
      </c>
      <c r="T115" s="774" t="n"/>
      <c r="U115" s="749">
        <f>VeriGiris!W169</f>
        <v/>
      </c>
      <c r="V115" s="774" t="n"/>
      <c r="W115" s="749">
        <f>VeriGiris!Y169</f>
        <v/>
      </c>
      <c r="X115" s="774" t="n"/>
      <c r="Y115" s="749">
        <f>VeriGiris!AA169</f>
        <v/>
      </c>
      <c r="Z115" s="774" t="n"/>
      <c r="AA115" s="749">
        <f>VeriGiris!AC169</f>
        <v/>
      </c>
      <c r="AB115" s="774" t="n"/>
      <c r="AC115" s="749">
        <f>VeriGiris!AE169</f>
        <v/>
      </c>
      <c r="AD115" s="774" t="n"/>
      <c r="AE115" s="83" t="n"/>
      <c r="AF115" s="83" t="n"/>
      <c r="AG115" s="37">
        <f>IF(OR(B115="",B115=0),"",1)</f>
        <v/>
      </c>
    </row>
    <row r="116" hidden="1" ht="15" customHeight="1" s="321">
      <c r="A116" s="13" t="n">
        <v>12</v>
      </c>
      <c r="B116" s="717">
        <f>VeriGiris!B170</f>
        <v/>
      </c>
      <c r="C116" s="773" t="n"/>
      <c r="D116" s="773" t="n"/>
      <c r="E116" s="773" t="n"/>
      <c r="F116" s="773" t="n"/>
      <c r="G116" s="773" t="n"/>
      <c r="H116" s="774" t="n"/>
      <c r="I116" s="749">
        <f>VeriGiris!K170</f>
        <v/>
      </c>
      <c r="J116" s="774" t="n"/>
      <c r="K116" s="749">
        <f>VeriGiris!M170</f>
        <v/>
      </c>
      <c r="L116" s="774" t="n"/>
      <c r="M116" s="749">
        <f>VeriGiris!O170</f>
        <v/>
      </c>
      <c r="N116" s="774" t="n"/>
      <c r="O116" s="749">
        <f>VeriGiris!Q170</f>
        <v/>
      </c>
      <c r="P116" s="774" t="n"/>
      <c r="Q116" s="749">
        <f>VeriGiris!S170</f>
        <v/>
      </c>
      <c r="R116" s="774" t="n"/>
      <c r="S116" s="749">
        <f>VeriGiris!U170</f>
        <v/>
      </c>
      <c r="T116" s="774" t="n"/>
      <c r="U116" s="749">
        <f>VeriGiris!W170</f>
        <v/>
      </c>
      <c r="V116" s="774" t="n"/>
      <c r="W116" s="749">
        <f>VeriGiris!Y170</f>
        <v/>
      </c>
      <c r="X116" s="774" t="n"/>
      <c r="Y116" s="749">
        <f>VeriGiris!AA170</f>
        <v/>
      </c>
      <c r="Z116" s="774" t="n"/>
      <c r="AA116" s="749">
        <f>VeriGiris!AC170</f>
        <v/>
      </c>
      <c r="AB116" s="774" t="n"/>
      <c r="AC116" s="749">
        <f>VeriGiris!AE170</f>
        <v/>
      </c>
      <c r="AD116" s="774" t="n"/>
      <c r="AE116" s="83" t="n"/>
      <c r="AF116" s="83" t="n"/>
      <c r="AG116" s="37">
        <f>IF(OR(B116="",B116=0),"",1)</f>
        <v/>
      </c>
    </row>
    <row r="117" hidden="1" ht="15" customHeight="1" s="321">
      <c r="A117" s="13" t="n">
        <v>13</v>
      </c>
      <c r="B117" s="717">
        <f>VeriGiris!B171</f>
        <v/>
      </c>
      <c r="C117" s="773" t="n"/>
      <c r="D117" s="773" t="n"/>
      <c r="E117" s="773" t="n"/>
      <c r="F117" s="773" t="n"/>
      <c r="G117" s="773" t="n"/>
      <c r="H117" s="774" t="n"/>
      <c r="I117" s="749">
        <f>VeriGiris!K171</f>
        <v/>
      </c>
      <c r="J117" s="774" t="n"/>
      <c r="K117" s="749">
        <f>VeriGiris!M171</f>
        <v/>
      </c>
      <c r="L117" s="774" t="n"/>
      <c r="M117" s="749">
        <f>VeriGiris!O171</f>
        <v/>
      </c>
      <c r="N117" s="774" t="n"/>
      <c r="O117" s="749">
        <f>VeriGiris!Q171</f>
        <v/>
      </c>
      <c r="P117" s="774" t="n"/>
      <c r="Q117" s="749">
        <f>VeriGiris!S171</f>
        <v/>
      </c>
      <c r="R117" s="774" t="n"/>
      <c r="S117" s="749">
        <f>VeriGiris!U171</f>
        <v/>
      </c>
      <c r="T117" s="774" t="n"/>
      <c r="U117" s="749">
        <f>VeriGiris!W171</f>
        <v/>
      </c>
      <c r="V117" s="774" t="n"/>
      <c r="W117" s="749">
        <f>VeriGiris!Y171</f>
        <v/>
      </c>
      <c r="X117" s="774" t="n"/>
      <c r="Y117" s="749">
        <f>VeriGiris!AA171</f>
        <v/>
      </c>
      <c r="Z117" s="774" t="n"/>
      <c r="AA117" s="749">
        <f>VeriGiris!AC171</f>
        <v/>
      </c>
      <c r="AB117" s="774" t="n"/>
      <c r="AC117" s="749">
        <f>VeriGiris!AE171</f>
        <v/>
      </c>
      <c r="AD117" s="774" t="n"/>
      <c r="AE117" s="83" t="n"/>
      <c r="AF117" s="83" t="n"/>
      <c r="AG117" s="37">
        <f>IF(OR(B117="",B117=0),"",1)</f>
        <v/>
      </c>
    </row>
    <row r="118" hidden="1" ht="15" customHeight="1" s="321">
      <c r="A118" s="13" t="n">
        <v>14</v>
      </c>
      <c r="B118" s="717">
        <f>VeriGiris!B172</f>
        <v/>
      </c>
      <c r="C118" s="773" t="n"/>
      <c r="D118" s="773" t="n"/>
      <c r="E118" s="773" t="n"/>
      <c r="F118" s="773" t="n"/>
      <c r="G118" s="773" t="n"/>
      <c r="H118" s="774" t="n"/>
      <c r="I118" s="749">
        <f>VeriGiris!K172</f>
        <v/>
      </c>
      <c r="J118" s="774" t="n"/>
      <c r="K118" s="749">
        <f>VeriGiris!M172</f>
        <v/>
      </c>
      <c r="L118" s="774" t="n"/>
      <c r="M118" s="749">
        <f>VeriGiris!O172</f>
        <v/>
      </c>
      <c r="N118" s="774" t="n"/>
      <c r="O118" s="749">
        <f>VeriGiris!Q172</f>
        <v/>
      </c>
      <c r="P118" s="774" t="n"/>
      <c r="Q118" s="749">
        <f>VeriGiris!S172</f>
        <v/>
      </c>
      <c r="R118" s="774" t="n"/>
      <c r="S118" s="749">
        <f>VeriGiris!U172</f>
        <v/>
      </c>
      <c r="T118" s="774" t="n"/>
      <c r="U118" s="749">
        <f>VeriGiris!W172</f>
        <v/>
      </c>
      <c r="V118" s="774" t="n"/>
      <c r="W118" s="749">
        <f>VeriGiris!Y172</f>
        <v/>
      </c>
      <c r="X118" s="774" t="n"/>
      <c r="Y118" s="749">
        <f>VeriGiris!AA172</f>
        <v/>
      </c>
      <c r="Z118" s="774" t="n"/>
      <c r="AA118" s="749">
        <f>VeriGiris!AC172</f>
        <v/>
      </c>
      <c r="AB118" s="774" t="n"/>
      <c r="AC118" s="749">
        <f>VeriGiris!AE172</f>
        <v/>
      </c>
      <c r="AD118" s="774" t="n"/>
      <c r="AE118" s="83" t="n"/>
      <c r="AF118" s="83" t="n"/>
      <c r="AG118" s="37">
        <f>IF(OR(B118="",B118=0),"",1)</f>
        <v/>
      </c>
    </row>
    <row r="119" hidden="1" ht="15" customHeight="1" s="321">
      <c r="A119" s="13" t="n">
        <v>15</v>
      </c>
      <c r="B119" s="717">
        <f>VeriGiris!B173</f>
        <v/>
      </c>
      <c r="C119" s="773" t="n"/>
      <c r="D119" s="773" t="n"/>
      <c r="E119" s="773" t="n"/>
      <c r="F119" s="773" t="n"/>
      <c r="G119" s="773" t="n"/>
      <c r="H119" s="774" t="n"/>
      <c r="I119" s="749">
        <f>VeriGiris!K173</f>
        <v/>
      </c>
      <c r="J119" s="774" t="n"/>
      <c r="K119" s="749">
        <f>VeriGiris!M173</f>
        <v/>
      </c>
      <c r="L119" s="774" t="n"/>
      <c r="M119" s="749">
        <f>VeriGiris!O173</f>
        <v/>
      </c>
      <c r="N119" s="774" t="n"/>
      <c r="O119" s="749">
        <f>VeriGiris!Q173</f>
        <v/>
      </c>
      <c r="P119" s="774" t="n"/>
      <c r="Q119" s="749">
        <f>VeriGiris!S173</f>
        <v/>
      </c>
      <c r="R119" s="774" t="n"/>
      <c r="S119" s="749">
        <f>VeriGiris!U173</f>
        <v/>
      </c>
      <c r="T119" s="774" t="n"/>
      <c r="U119" s="749">
        <f>VeriGiris!W173</f>
        <v/>
      </c>
      <c r="V119" s="774" t="n"/>
      <c r="W119" s="749">
        <f>VeriGiris!Y173</f>
        <v/>
      </c>
      <c r="X119" s="774" t="n"/>
      <c r="Y119" s="749">
        <f>VeriGiris!AA173</f>
        <v/>
      </c>
      <c r="Z119" s="774" t="n"/>
      <c r="AA119" s="749">
        <f>VeriGiris!AC173</f>
        <v/>
      </c>
      <c r="AB119" s="774" t="n"/>
      <c r="AC119" s="749">
        <f>VeriGiris!AE173</f>
        <v/>
      </c>
      <c r="AD119" s="774" t="n"/>
      <c r="AE119" s="83" t="n"/>
      <c r="AF119" s="83" t="n"/>
      <c r="AG119" s="37">
        <f>IF(OR(B119="",B119=0),"",1)</f>
        <v/>
      </c>
    </row>
    <row r="120" hidden="1" ht="15" customHeight="1" s="321">
      <c r="A120" s="13" t="n">
        <v>16</v>
      </c>
      <c r="B120" s="717">
        <f>VeriGiris!B174</f>
        <v/>
      </c>
      <c r="C120" s="773" t="n"/>
      <c r="D120" s="773" t="n"/>
      <c r="E120" s="773" t="n"/>
      <c r="F120" s="773" t="n"/>
      <c r="G120" s="773" t="n"/>
      <c r="H120" s="774" t="n"/>
      <c r="I120" s="749">
        <f>VeriGiris!K174</f>
        <v/>
      </c>
      <c r="J120" s="774" t="n"/>
      <c r="K120" s="749">
        <f>VeriGiris!M174</f>
        <v/>
      </c>
      <c r="L120" s="774" t="n"/>
      <c r="M120" s="749">
        <f>VeriGiris!O174</f>
        <v/>
      </c>
      <c r="N120" s="774" t="n"/>
      <c r="O120" s="749">
        <f>VeriGiris!Q174</f>
        <v/>
      </c>
      <c r="P120" s="774" t="n"/>
      <c r="Q120" s="749">
        <f>VeriGiris!S174</f>
        <v/>
      </c>
      <c r="R120" s="774" t="n"/>
      <c r="S120" s="749">
        <f>VeriGiris!U174</f>
        <v/>
      </c>
      <c r="T120" s="774" t="n"/>
      <c r="U120" s="749">
        <f>VeriGiris!W174</f>
        <v/>
      </c>
      <c r="V120" s="774" t="n"/>
      <c r="W120" s="749">
        <f>VeriGiris!Y174</f>
        <v/>
      </c>
      <c r="X120" s="774" t="n"/>
      <c r="Y120" s="749">
        <f>VeriGiris!AA174</f>
        <v/>
      </c>
      <c r="Z120" s="774" t="n"/>
      <c r="AA120" s="749">
        <f>VeriGiris!AC174</f>
        <v/>
      </c>
      <c r="AB120" s="774" t="n"/>
      <c r="AC120" s="749">
        <f>VeriGiris!AE174</f>
        <v/>
      </c>
      <c r="AD120" s="774" t="n"/>
      <c r="AE120" s="83" t="n"/>
      <c r="AF120" s="83" t="n"/>
      <c r="AG120" s="37">
        <f>IF(OR(B120="",B120=0),"",1)</f>
        <v/>
      </c>
    </row>
    <row r="121" hidden="1" ht="15" customHeight="1" s="321">
      <c r="A121" s="13" t="n">
        <v>17</v>
      </c>
      <c r="B121" s="717">
        <f>VeriGiris!B175</f>
        <v/>
      </c>
      <c r="C121" s="773" t="n"/>
      <c r="D121" s="773" t="n"/>
      <c r="E121" s="773" t="n"/>
      <c r="F121" s="773" t="n"/>
      <c r="G121" s="773" t="n"/>
      <c r="H121" s="774" t="n"/>
      <c r="I121" s="749">
        <f>VeriGiris!K175</f>
        <v/>
      </c>
      <c r="J121" s="774" t="n"/>
      <c r="K121" s="749">
        <f>VeriGiris!M175</f>
        <v/>
      </c>
      <c r="L121" s="774" t="n"/>
      <c r="M121" s="749">
        <f>VeriGiris!O175</f>
        <v/>
      </c>
      <c r="N121" s="774" t="n"/>
      <c r="O121" s="749">
        <f>VeriGiris!Q175</f>
        <v/>
      </c>
      <c r="P121" s="774" t="n"/>
      <c r="Q121" s="749">
        <f>VeriGiris!S175</f>
        <v/>
      </c>
      <c r="R121" s="774" t="n"/>
      <c r="S121" s="749">
        <f>VeriGiris!U175</f>
        <v/>
      </c>
      <c r="T121" s="774" t="n"/>
      <c r="U121" s="749">
        <f>VeriGiris!W175</f>
        <v/>
      </c>
      <c r="V121" s="774" t="n"/>
      <c r="W121" s="749">
        <f>VeriGiris!Y175</f>
        <v/>
      </c>
      <c r="X121" s="774" t="n"/>
      <c r="Y121" s="749">
        <f>VeriGiris!AA175</f>
        <v/>
      </c>
      <c r="Z121" s="774" t="n"/>
      <c r="AA121" s="749">
        <f>VeriGiris!AC175</f>
        <v/>
      </c>
      <c r="AB121" s="774" t="n"/>
      <c r="AC121" s="749">
        <f>VeriGiris!AE175</f>
        <v/>
      </c>
      <c r="AD121" s="774" t="n"/>
      <c r="AE121" s="83" t="n"/>
      <c r="AF121" s="83" t="n"/>
      <c r="AG121" s="37">
        <f>IF(OR(B121="",B121=0),"",1)</f>
        <v/>
      </c>
    </row>
    <row r="122" hidden="1" ht="15" customHeight="1" s="321">
      <c r="A122" s="13" t="n">
        <v>18</v>
      </c>
      <c r="B122" s="717">
        <f>VeriGiris!B176</f>
        <v/>
      </c>
      <c r="C122" s="773" t="n"/>
      <c r="D122" s="773" t="n"/>
      <c r="E122" s="773" t="n"/>
      <c r="F122" s="773" t="n"/>
      <c r="G122" s="773" t="n"/>
      <c r="H122" s="774" t="n"/>
      <c r="I122" s="749">
        <f>VeriGiris!K176</f>
        <v/>
      </c>
      <c r="J122" s="774" t="n"/>
      <c r="K122" s="749">
        <f>VeriGiris!M176</f>
        <v/>
      </c>
      <c r="L122" s="774" t="n"/>
      <c r="M122" s="749">
        <f>VeriGiris!O176</f>
        <v/>
      </c>
      <c r="N122" s="774" t="n"/>
      <c r="O122" s="749">
        <f>VeriGiris!Q176</f>
        <v/>
      </c>
      <c r="P122" s="774" t="n"/>
      <c r="Q122" s="749">
        <f>VeriGiris!S176</f>
        <v/>
      </c>
      <c r="R122" s="774" t="n"/>
      <c r="S122" s="749">
        <f>VeriGiris!U176</f>
        <v/>
      </c>
      <c r="T122" s="774" t="n"/>
      <c r="U122" s="749">
        <f>VeriGiris!W176</f>
        <v/>
      </c>
      <c r="V122" s="774" t="n"/>
      <c r="W122" s="749">
        <f>VeriGiris!Y176</f>
        <v/>
      </c>
      <c r="X122" s="774" t="n"/>
      <c r="Y122" s="749">
        <f>VeriGiris!AA176</f>
        <v/>
      </c>
      <c r="Z122" s="774" t="n"/>
      <c r="AA122" s="749">
        <f>VeriGiris!AC176</f>
        <v/>
      </c>
      <c r="AB122" s="774" t="n"/>
      <c r="AC122" s="749">
        <f>VeriGiris!AE176</f>
        <v/>
      </c>
      <c r="AD122" s="774" t="n"/>
      <c r="AE122" s="83" t="n"/>
      <c r="AF122" s="83" t="n"/>
      <c r="AG122" s="37">
        <f>IF(OR(B122="",B122=0),"",1)</f>
        <v/>
      </c>
    </row>
    <row r="123" hidden="1" ht="15" customHeight="1" s="321">
      <c r="A123" s="13" t="n">
        <v>19</v>
      </c>
      <c r="B123" s="717">
        <f>VeriGiris!B177</f>
        <v/>
      </c>
      <c r="C123" s="773" t="n"/>
      <c r="D123" s="773" t="n"/>
      <c r="E123" s="773" t="n"/>
      <c r="F123" s="773" t="n"/>
      <c r="G123" s="773" t="n"/>
      <c r="H123" s="774" t="n"/>
      <c r="I123" s="749">
        <f>VeriGiris!K177</f>
        <v/>
      </c>
      <c r="J123" s="774" t="n"/>
      <c r="K123" s="749">
        <f>VeriGiris!M177</f>
        <v/>
      </c>
      <c r="L123" s="774" t="n"/>
      <c r="M123" s="749">
        <f>VeriGiris!O177</f>
        <v/>
      </c>
      <c r="N123" s="774" t="n"/>
      <c r="O123" s="749">
        <f>VeriGiris!Q177</f>
        <v/>
      </c>
      <c r="P123" s="774" t="n"/>
      <c r="Q123" s="749">
        <f>VeriGiris!S177</f>
        <v/>
      </c>
      <c r="R123" s="774" t="n"/>
      <c r="S123" s="749">
        <f>VeriGiris!U177</f>
        <v/>
      </c>
      <c r="T123" s="774" t="n"/>
      <c r="U123" s="749">
        <f>VeriGiris!W177</f>
        <v/>
      </c>
      <c r="V123" s="774" t="n"/>
      <c r="W123" s="749">
        <f>VeriGiris!Y177</f>
        <v/>
      </c>
      <c r="X123" s="774" t="n"/>
      <c r="Y123" s="749">
        <f>VeriGiris!AA177</f>
        <v/>
      </c>
      <c r="Z123" s="774" t="n"/>
      <c r="AA123" s="749">
        <f>VeriGiris!AC177</f>
        <v/>
      </c>
      <c r="AB123" s="774" t="n"/>
      <c r="AC123" s="749">
        <f>VeriGiris!AE177</f>
        <v/>
      </c>
      <c r="AD123" s="774" t="n"/>
      <c r="AE123" s="83" t="n"/>
      <c r="AF123" s="83" t="n"/>
      <c r="AG123" s="37">
        <f>IF(OR(B123="",B123=0),"",1)</f>
        <v/>
      </c>
    </row>
    <row r="124" hidden="1" ht="15" customHeight="1" s="321">
      <c r="A124" s="13" t="n">
        <v>20</v>
      </c>
      <c r="B124" s="717">
        <f>VeriGiris!B178</f>
        <v/>
      </c>
      <c r="C124" s="773" t="n"/>
      <c r="D124" s="773" t="n"/>
      <c r="E124" s="773" t="n"/>
      <c r="F124" s="773" t="n"/>
      <c r="G124" s="773" t="n"/>
      <c r="H124" s="774" t="n"/>
      <c r="I124" s="749">
        <f>VeriGiris!K178</f>
        <v/>
      </c>
      <c r="J124" s="774" t="n"/>
      <c r="K124" s="749">
        <f>VeriGiris!M178</f>
        <v/>
      </c>
      <c r="L124" s="774" t="n"/>
      <c r="M124" s="749">
        <f>VeriGiris!O178</f>
        <v/>
      </c>
      <c r="N124" s="774" t="n"/>
      <c r="O124" s="749">
        <f>VeriGiris!Q178</f>
        <v/>
      </c>
      <c r="P124" s="774" t="n"/>
      <c r="Q124" s="749">
        <f>VeriGiris!S178</f>
        <v/>
      </c>
      <c r="R124" s="774" t="n"/>
      <c r="S124" s="749">
        <f>VeriGiris!U178</f>
        <v/>
      </c>
      <c r="T124" s="774" t="n"/>
      <c r="U124" s="749">
        <f>VeriGiris!W178</f>
        <v/>
      </c>
      <c r="V124" s="774" t="n"/>
      <c r="W124" s="749">
        <f>VeriGiris!Y178</f>
        <v/>
      </c>
      <c r="X124" s="774" t="n"/>
      <c r="Y124" s="749">
        <f>VeriGiris!AA178</f>
        <v/>
      </c>
      <c r="Z124" s="774" t="n"/>
      <c r="AA124" s="749">
        <f>VeriGiris!AC178</f>
        <v/>
      </c>
      <c r="AB124" s="774" t="n"/>
      <c r="AC124" s="749">
        <f>VeriGiris!AE178</f>
        <v/>
      </c>
      <c r="AD124" s="774" t="n"/>
      <c r="AE124" s="83" t="n"/>
      <c r="AF124" s="83" t="n"/>
      <c r="AG124" s="37">
        <f>IF(OR(B124="",B124=0),"",1)</f>
        <v/>
      </c>
    </row>
    <row r="125" ht="15" customHeight="1" s="321">
      <c r="B125" s="720" t="inlineStr">
        <is>
          <t>Toplam</t>
        </is>
      </c>
      <c r="C125" s="773" t="n"/>
      <c r="D125" s="773" t="n"/>
      <c r="E125" s="773" t="n"/>
      <c r="F125" s="773" t="n"/>
      <c r="G125" s="773" t="n"/>
      <c r="H125" s="774" t="n"/>
      <c r="I125" s="739">
        <f>SUM(I105:J124)</f>
        <v/>
      </c>
      <c r="J125" s="774" t="n"/>
      <c r="K125" s="739">
        <f>SUM(K105:L124)</f>
        <v/>
      </c>
      <c r="L125" s="774" t="n"/>
      <c r="M125" s="739">
        <f>SUM(M105:N124)</f>
        <v/>
      </c>
      <c r="N125" s="774" t="n"/>
      <c r="O125" s="739">
        <f>SUM(O105:P124)</f>
        <v/>
      </c>
      <c r="P125" s="774" t="n"/>
      <c r="Q125" s="739">
        <f>SUM(Q105:R124)</f>
        <v/>
      </c>
      <c r="R125" s="774" t="n"/>
      <c r="S125" s="739">
        <f>SUM(S105:T124)</f>
        <v/>
      </c>
      <c r="T125" s="774" t="n"/>
      <c r="U125" s="739">
        <f>SUM(U105:V124)</f>
        <v/>
      </c>
      <c r="V125" s="774" t="n"/>
      <c r="W125" s="739">
        <f>SUM(W105:X124)</f>
        <v/>
      </c>
      <c r="X125" s="774" t="n"/>
      <c r="Y125" s="739">
        <f>SUM(Y105:Z124)</f>
        <v/>
      </c>
      <c r="Z125" s="774" t="n"/>
      <c r="AA125" s="739">
        <f>SUM(AA105:AB124)</f>
        <v/>
      </c>
      <c r="AB125" s="774" t="n"/>
      <c r="AC125" s="739">
        <f>SUM(AC105:AD124)</f>
        <v/>
      </c>
      <c r="AD125" s="774" t="n"/>
      <c r="AE125" s="83" t="n"/>
      <c r="AF125" s="83" t="n"/>
      <c r="AL125" s="31" t="n"/>
    </row>
    <row r="126" ht="5.25" customHeight="1" s="321">
      <c r="AL126" s="31" t="n"/>
    </row>
    <row r="127" ht="5.25" customFormat="1" customHeight="1" s="8">
      <c r="A127" s="7" t="n"/>
      <c r="AG127" s="34" t="n"/>
    </row>
    <row r="128" ht="5.25" customFormat="1" customHeight="1" s="8">
      <c r="A128" s="7" t="n"/>
      <c r="B128" s="75" t="n"/>
      <c r="C128" s="75" t="n"/>
      <c r="D128" s="75" t="n"/>
      <c r="E128" s="75" t="n"/>
      <c r="F128" s="75" t="n"/>
      <c r="G128" s="75" t="n"/>
      <c r="H128" s="76" t="n"/>
      <c r="I128" s="76" t="n"/>
      <c r="J128" s="76" t="n"/>
      <c r="K128" s="76" t="n"/>
      <c r="L128" s="76" t="n"/>
      <c r="M128" s="76" t="n"/>
      <c r="N128" s="76" t="n"/>
      <c r="O128" s="76" t="n"/>
      <c r="P128" s="76" t="n"/>
      <c r="Q128" s="76" t="n"/>
      <c r="R128" s="76" t="n"/>
      <c r="S128" s="76" t="n"/>
      <c r="T128" s="76" t="n"/>
      <c r="U128" s="76" t="n"/>
      <c r="V128" s="76" t="n"/>
      <c r="W128" s="76" t="n"/>
      <c r="X128" s="76" t="n"/>
      <c r="Y128" s="76" t="n"/>
      <c r="Z128" s="76" t="n"/>
      <c r="AA128" s="76" t="n"/>
      <c r="AG128" s="34" t="n"/>
    </row>
    <row r="129" ht="5.25" customFormat="1" customHeight="1" s="8">
      <c r="A129" s="7" t="n"/>
      <c r="B129" s="77" t="n"/>
      <c r="C129" s="77" t="n"/>
      <c r="D129" s="77" t="n"/>
      <c r="E129" s="77" t="n"/>
      <c r="F129" s="77" t="n"/>
      <c r="G129" s="77" t="n"/>
      <c r="H129" s="77" t="n"/>
      <c r="I129" s="77" t="n"/>
      <c r="J129" s="77" t="n"/>
      <c r="K129" s="77" t="n"/>
      <c r="L129" s="77" t="n"/>
      <c r="M129" s="77" t="n"/>
      <c r="N129" s="77" t="n"/>
      <c r="O129" s="77" t="n"/>
      <c r="P129" s="77" t="n"/>
      <c r="Q129" s="77" t="n"/>
      <c r="R129" s="77" t="n"/>
      <c r="S129" s="77" t="n"/>
      <c r="T129" s="77" t="n"/>
      <c r="U129" s="77" t="n"/>
      <c r="V129" s="77" t="n"/>
      <c r="W129" s="77" t="n"/>
      <c r="X129" s="77" t="n"/>
      <c r="Y129" s="77" t="n"/>
      <c r="Z129" s="77" t="n"/>
      <c r="AA129" s="77" t="n"/>
      <c r="AG129" s="34" t="n"/>
    </row>
    <row r="130" ht="5.25" customFormat="1" customHeight="1" s="8">
      <c r="A130" s="7" t="n"/>
      <c r="B130" s="77" t="n"/>
      <c r="C130" s="77" t="n"/>
      <c r="D130" s="77" t="n"/>
      <c r="E130" s="77" t="n"/>
      <c r="F130" s="77" t="n"/>
      <c r="G130" s="77" t="n"/>
      <c r="H130" s="77" t="n"/>
      <c r="I130" s="77" t="n"/>
      <c r="J130" s="77" t="n"/>
      <c r="K130" s="77" t="n"/>
      <c r="L130" s="77" t="n"/>
      <c r="M130" s="77" t="n"/>
      <c r="N130" s="77" t="n"/>
      <c r="O130" s="77" t="n"/>
      <c r="P130" s="77" t="n"/>
      <c r="Q130" s="77" t="n"/>
      <c r="R130" s="77" t="n"/>
      <c r="S130" s="77" t="n"/>
      <c r="T130" s="77" t="n"/>
      <c r="U130" s="77" t="n"/>
      <c r="V130" s="77" t="n"/>
      <c r="W130" s="77" t="n"/>
      <c r="X130" s="48" t="n"/>
      <c r="Y130" s="48" t="n"/>
      <c r="Z130" s="48" t="n"/>
      <c r="AA130" s="48" t="n"/>
      <c r="AG130" s="34" t="n"/>
    </row>
    <row r="131" ht="5.25" customFormat="1" customHeight="1" s="8">
      <c r="A131" s="7" t="n"/>
      <c r="B131" s="77" t="n"/>
      <c r="C131" s="77" t="n"/>
      <c r="D131" s="77" t="n"/>
      <c r="E131" s="77" t="n"/>
      <c r="F131" s="77" t="n"/>
      <c r="G131" s="77" t="n"/>
      <c r="H131" s="77" t="n"/>
      <c r="I131" s="77" t="n"/>
      <c r="J131" s="77" t="n"/>
      <c r="K131" s="77" t="n"/>
      <c r="L131" s="77" t="n"/>
      <c r="M131" s="77" t="n"/>
      <c r="N131" s="77" t="n"/>
      <c r="O131" s="77" t="n"/>
      <c r="P131" s="77" t="n"/>
      <c r="Q131" s="77" t="n"/>
      <c r="R131" s="77" t="n"/>
      <c r="S131" s="77" t="n"/>
      <c r="T131" s="77" t="n"/>
      <c r="U131" s="77" t="n"/>
      <c r="V131" s="77" t="n"/>
      <c r="W131" s="77" t="n"/>
      <c r="X131" s="48" t="n"/>
      <c r="Y131" s="48" t="n"/>
      <c r="Z131" s="48" t="n"/>
      <c r="AA131" s="48" t="n"/>
      <c r="AG131" s="34" t="n"/>
    </row>
    <row r="132" ht="5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0lLj8VgptaRLODefHvsocw==" formatRows="0" sort="1" spinCount="100000" hashValue="vI7Qh93tmZUfBsBCj83aq03F1W8FHMX3OF9cPT9Q1Zn9VjxSC6Fo1c8CgueGNMwa0Xi3/9iLqUF0zJnwSMSPDQ=="/>
  <mergeCells count="1332">
    <mergeCell ref="AC48:AD48"/>
    <mergeCell ref="W65:X65"/>
    <mergeCell ref="M60:N60"/>
    <mergeCell ref="M35:N35"/>
    <mergeCell ref="Y113:Z113"/>
    <mergeCell ref="O88:P88"/>
    <mergeCell ref="O63:P63"/>
    <mergeCell ref="Y123:Z123"/>
    <mergeCell ref="W50:X50"/>
    <mergeCell ref="O124:P124"/>
    <mergeCell ref="U20:V20"/>
    <mergeCell ref="U14:V14"/>
    <mergeCell ref="M50:N50"/>
    <mergeCell ref="G59:H59"/>
    <mergeCell ref="U22:V22"/>
    <mergeCell ref="W78:X78"/>
    <mergeCell ref="G67:H67"/>
    <mergeCell ref="G61:H61"/>
    <mergeCell ref="W80:X80"/>
    <mergeCell ref="I125:J125"/>
    <mergeCell ref="K41:L41"/>
    <mergeCell ref="G62:H62"/>
    <mergeCell ref="Q122:R122"/>
    <mergeCell ref="B17:F17"/>
    <mergeCell ref="K43:L43"/>
    <mergeCell ref="M105:N105"/>
    <mergeCell ref="O51:P51"/>
    <mergeCell ref="B19:F19"/>
    <mergeCell ref="U58:V58"/>
    <mergeCell ref="O76:P76"/>
    <mergeCell ref="Q104:R104"/>
    <mergeCell ref="Y66:Z66"/>
    <mergeCell ref="AC17:AD17"/>
    <mergeCell ref="K25:L25"/>
    <mergeCell ref="O77:P77"/>
    <mergeCell ref="Q106:R106"/>
    <mergeCell ref="Y68:Z68"/>
    <mergeCell ref="U84:V84"/>
    <mergeCell ref="K54:L54"/>
    <mergeCell ref="U86:V86"/>
    <mergeCell ref="AC39:AD39"/>
    <mergeCell ref="M31:N31"/>
    <mergeCell ref="O59:P59"/>
    <mergeCell ref="Y119:Z119"/>
    <mergeCell ref="W21:X21"/>
    <mergeCell ref="O89:P89"/>
    <mergeCell ref="O61:P61"/>
    <mergeCell ref="M26:N26"/>
    <mergeCell ref="I51:J51"/>
    <mergeCell ref="O90:P90"/>
    <mergeCell ref="S41:T41"/>
    <mergeCell ref="Y122:Z122"/>
    <mergeCell ref="B91:F91"/>
    <mergeCell ref="S43:T43"/>
    <mergeCell ref="B93:F93"/>
    <mergeCell ref="W74:X74"/>
    <mergeCell ref="K110:L110"/>
    <mergeCell ref="B86:F86"/>
    <mergeCell ref="B113:H113"/>
    <mergeCell ref="W76:X76"/>
    <mergeCell ref="B115:H115"/>
    <mergeCell ref="AA20:AB20"/>
    <mergeCell ref="K12:L12"/>
    <mergeCell ref="AC85:AD85"/>
    <mergeCell ref="K39:L39"/>
    <mergeCell ref="K14:L14"/>
    <mergeCell ref="AC84:AD84"/>
    <mergeCell ref="AC114:AD114"/>
    <mergeCell ref="U29:V29"/>
    <mergeCell ref="U23:V23"/>
    <mergeCell ref="AC80:AD80"/>
    <mergeCell ref="U31:V31"/>
    <mergeCell ref="W87:X87"/>
    <mergeCell ref="AA38:AB38"/>
    <mergeCell ref="AC13:AD13"/>
    <mergeCell ref="W89:X89"/>
    <mergeCell ref="AA40:AB40"/>
    <mergeCell ref="AC15:AD15"/>
    <mergeCell ref="Q51:R51"/>
    <mergeCell ref="AA33:AB33"/>
    <mergeCell ref="K50:L50"/>
    <mergeCell ref="S107:T107"/>
    <mergeCell ref="U57:V57"/>
    <mergeCell ref="K58:L58"/>
    <mergeCell ref="W113:X113"/>
    <mergeCell ref="K52:L52"/>
    <mergeCell ref="B34:F34"/>
    <mergeCell ref="B28:F28"/>
    <mergeCell ref="M124:N124"/>
    <mergeCell ref="W115:X115"/>
    <mergeCell ref="U42:V42"/>
    <mergeCell ref="M116:N116"/>
    <mergeCell ref="B30:F30"/>
    <mergeCell ref="K53:L53"/>
    <mergeCell ref="I20:J20"/>
    <mergeCell ref="I13:J13"/>
    <mergeCell ref="K78:L78"/>
    <mergeCell ref="B54:F54"/>
    <mergeCell ref="I15:J15"/>
    <mergeCell ref="S12:T12"/>
    <mergeCell ref="AC28:AD28"/>
    <mergeCell ref="K80:L80"/>
    <mergeCell ref="B56:F56"/>
    <mergeCell ref="K79:L79"/>
    <mergeCell ref="S39:T39"/>
    <mergeCell ref="U70:V70"/>
    <mergeCell ref="AC30:AD30"/>
    <mergeCell ref="AC23:AD23"/>
    <mergeCell ref="B57:F57"/>
    <mergeCell ref="AC54:AD54"/>
    <mergeCell ref="I33:J33"/>
    <mergeCell ref="B111:H111"/>
    <mergeCell ref="M41:N41"/>
    <mergeCell ref="B103:AD103"/>
    <mergeCell ref="S65:T65"/>
    <mergeCell ref="U121:V121"/>
    <mergeCell ref="AC56:AD56"/>
    <mergeCell ref="I35:J35"/>
    <mergeCell ref="AC49:AD49"/>
    <mergeCell ref="M66:N66"/>
    <mergeCell ref="U123:V123"/>
    <mergeCell ref="S50:T50"/>
    <mergeCell ref="AC110:AD110"/>
    <mergeCell ref="K124:L124"/>
    <mergeCell ref="B75:F75"/>
    <mergeCell ref="M68:N68"/>
    <mergeCell ref="M67:N67"/>
    <mergeCell ref="M69:N69"/>
    <mergeCell ref="O125:P125"/>
    <mergeCell ref="Q20:R20"/>
    <mergeCell ref="Q14:R14"/>
    <mergeCell ref="S78:T78"/>
    <mergeCell ref="AA65:AB65"/>
    <mergeCell ref="AA31:AB31"/>
    <mergeCell ref="K23:L23"/>
    <mergeCell ref="S80:T80"/>
    <mergeCell ref="U55:V55"/>
    <mergeCell ref="W111:X111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21:AD121"/>
    <mergeCell ref="AA86:AB86"/>
    <mergeCell ref="U66:V66"/>
    <mergeCell ref="Y17:Z17"/>
    <mergeCell ref="K77:L77"/>
    <mergeCell ref="U68:V68"/>
    <mergeCell ref="Q84:R84"/>
    <mergeCell ref="Y46:Z46"/>
    <mergeCell ref="AA75:AB75"/>
    <mergeCell ref="Y12:Z12"/>
    <mergeCell ref="I29:J29"/>
    <mergeCell ref="B55:F55"/>
    <mergeCell ref="Q86:R86"/>
    <mergeCell ref="Y48:Z48"/>
    <mergeCell ref="AA104:AB104"/>
    <mergeCell ref="AC52:AD52"/>
    <mergeCell ref="I31:J31"/>
    <mergeCell ref="K87:L87"/>
    <mergeCell ref="AA106:AB106"/>
    <mergeCell ref="AC45:AD45"/>
    <mergeCell ref="U119:V119"/>
    <mergeCell ref="S21:T21"/>
    <mergeCell ref="AC81:AD81"/>
    <mergeCell ref="K89:L89"/>
    <mergeCell ref="B71:F71"/>
    <mergeCell ref="AC47:AD47"/>
    <mergeCell ref="I26:J26"/>
    <mergeCell ref="K88:L88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K115:L115"/>
    <mergeCell ref="I52:J52"/>
    <mergeCell ref="S74:T74"/>
    <mergeCell ref="I44:J44"/>
    <mergeCell ref="K116:L116"/>
    <mergeCell ref="S76:T76"/>
    <mergeCell ref="K118:L118"/>
    <mergeCell ref="G12:H12"/>
    <mergeCell ref="Y112:Z112"/>
    <mergeCell ref="I70:J70"/>
    <mergeCell ref="Y114:Z114"/>
    <mergeCell ref="Q29:R29"/>
    <mergeCell ref="Q23:R23"/>
    <mergeCell ref="W51:X51"/>
    <mergeCell ref="Q31:R31"/>
    <mergeCell ref="S87:T87"/>
    <mergeCell ref="G65:H65"/>
    <mergeCell ref="S89:T89"/>
    <mergeCell ref="G25:H25"/>
    <mergeCell ref="G60:H60"/>
    <mergeCell ref="Q57:R57"/>
    <mergeCell ref="S113:T113"/>
    <mergeCell ref="I124:J124"/>
    <mergeCell ref="S115:T115"/>
    <mergeCell ref="Q42:R42"/>
    <mergeCell ref="I116:J116"/>
    <mergeCell ref="Y39:Z39"/>
    <mergeCell ref="G78:H78"/>
    <mergeCell ref="Y28:Z28"/>
    <mergeCell ref="G80:H80"/>
    <mergeCell ref="Y65:Z65"/>
    <mergeCell ref="G79:H79"/>
    <mergeCell ref="G73:H73"/>
    <mergeCell ref="Q70:R70"/>
    <mergeCell ref="Y57:Z57"/>
    <mergeCell ref="Y23:Z23"/>
    <mergeCell ref="B36:F36"/>
    <mergeCell ref="K114:L114"/>
    <mergeCell ref="AA27:AB27"/>
    <mergeCell ref="Q121:R121"/>
    <mergeCell ref="Y83:Z83"/>
    <mergeCell ref="AC91:AD91"/>
    <mergeCell ref="Y85:Z85"/>
    <mergeCell ref="I68:J68"/>
    <mergeCell ref="G92:H92"/>
    <mergeCell ref="M46:N46"/>
    <mergeCell ref="I67:J67"/>
    <mergeCell ref="AC118:AD118"/>
    <mergeCell ref="B49:F49"/>
    <mergeCell ref="AA55:AB55"/>
    <mergeCell ref="K125:L125"/>
    <mergeCell ref="M14:N14"/>
    <mergeCell ref="W38:X38"/>
    <mergeCell ref="O106:P106"/>
    <mergeCell ref="AC119:AD119"/>
    <mergeCell ref="G21:H21"/>
    <mergeCell ref="O78:P78"/>
    <mergeCell ref="M43:N43"/>
    <mergeCell ref="O105:P105"/>
    <mergeCell ref="W40:X40"/>
    <mergeCell ref="Y15:Z15"/>
    <mergeCell ref="AA44:AB44"/>
    <mergeCell ref="G23:H23"/>
    <mergeCell ref="B104:H104"/>
    <mergeCell ref="O107:P107"/>
    <mergeCell ref="Q55:R55"/>
    <mergeCell ref="AA37:AB37"/>
    <mergeCell ref="S111:T111"/>
    <mergeCell ref="AA73:AB73"/>
    <mergeCell ref="B106:H106"/>
    <mergeCell ref="I122:J122"/>
    <mergeCell ref="G18:H18"/>
    <mergeCell ref="W91:X91"/>
    <mergeCell ref="M25:N25"/>
    <mergeCell ref="S112:T112"/>
    <mergeCell ref="AA68:AB68"/>
    <mergeCell ref="M33:N33"/>
    <mergeCell ref="W93:X93"/>
    <mergeCell ref="W86:X86"/>
    <mergeCell ref="M62:N62"/>
    <mergeCell ref="G44:H44"/>
    <mergeCell ref="Q66:R66"/>
    <mergeCell ref="G77:H77"/>
    <mergeCell ref="I108:J108"/>
    <mergeCell ref="Q68:R68"/>
    <mergeCell ref="U46:V46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23:R123"/>
    <mergeCell ref="Y76:Z76"/>
    <mergeCell ref="G90:H90"/>
    <mergeCell ref="B45:F45"/>
    <mergeCell ref="AC27:AD27"/>
    <mergeCell ref="W34:X34"/>
    <mergeCell ref="B47:F47"/>
    <mergeCell ref="B46:F46"/>
    <mergeCell ref="M39:N39"/>
    <mergeCell ref="W36:X36"/>
    <mergeCell ref="W30:X30"/>
    <mergeCell ref="Y92:Z92"/>
    <mergeCell ref="B48:F48"/>
    <mergeCell ref="W31:X31"/>
    <mergeCell ref="B73:F73"/>
    <mergeCell ref="AC38:AD38"/>
    <mergeCell ref="U112:V112"/>
    <mergeCell ref="AC46:AD46"/>
    <mergeCell ref="AC40:AD40"/>
    <mergeCell ref="M29:N29"/>
    <mergeCell ref="M23:N23"/>
    <mergeCell ref="Y120:Z120"/>
    <mergeCell ref="I50:J50"/>
    <mergeCell ref="W57:X57"/>
    <mergeCell ref="M58:N58"/>
    <mergeCell ref="O87:P87"/>
    <mergeCell ref="W49:X49"/>
    <mergeCell ref="K108:L108"/>
    <mergeCell ref="Y115:Z115"/>
    <mergeCell ref="O116:P116"/>
    <mergeCell ref="B123:H123"/>
    <mergeCell ref="K20:L20"/>
    <mergeCell ref="U17:V17"/>
    <mergeCell ref="Y19:Z19"/>
    <mergeCell ref="K22:L22"/>
    <mergeCell ref="M84:N84"/>
    <mergeCell ref="O113:P113"/>
    <mergeCell ref="W75:X75"/>
    <mergeCell ref="M86:N86"/>
    <mergeCell ref="M42:N42"/>
    <mergeCell ref="M80:N80"/>
    <mergeCell ref="U39:V39"/>
    <mergeCell ref="K38:L38"/>
    <mergeCell ref="Y47:Z47"/>
    <mergeCell ref="B16:F16"/>
    <mergeCell ref="K33:L33"/>
    <mergeCell ref="U65:V65"/>
    <mergeCell ref="B18:F18"/>
    <mergeCell ref="M70:N70"/>
    <mergeCell ref="K35:L35"/>
    <mergeCell ref="W123:X123"/>
    <mergeCell ref="O74:P74"/>
    <mergeCell ref="S19:T19"/>
    <mergeCell ref="O40:P40"/>
    <mergeCell ref="U83:V83"/>
    <mergeCell ref="S20:T20"/>
    <mergeCell ref="AC36:AD36"/>
    <mergeCell ref="U85:V85"/>
    <mergeCell ref="AA92:AB92"/>
    <mergeCell ref="S22:T22"/>
    <mergeCell ref="U78:V78"/>
    <mergeCell ref="I46:J46"/>
    <mergeCell ref="B72:F72"/>
    <mergeCell ref="Y118:Z118"/>
    <mergeCell ref="U80:V80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O58:P58"/>
    <mergeCell ref="B83:F83"/>
    <mergeCell ref="AC65:AD65"/>
    <mergeCell ref="M76:N76"/>
    <mergeCell ref="W73:X73"/>
    <mergeCell ref="I59:J59"/>
    <mergeCell ref="B85:F85"/>
    <mergeCell ref="O115:P115"/>
    <mergeCell ref="AA17:AB17"/>
    <mergeCell ref="S91:T91"/>
    <mergeCell ref="W68:X68"/>
    <mergeCell ref="AA19:AB19"/>
    <mergeCell ref="S93:T93"/>
    <mergeCell ref="AC75:AD75"/>
    <mergeCell ref="AC111:AD111"/>
    <mergeCell ref="K29:L29"/>
    <mergeCell ref="S86:T86"/>
    <mergeCell ref="AC83:AD83"/>
    <mergeCell ref="AA48:AB48"/>
    <mergeCell ref="S122:T122"/>
    <mergeCell ref="K31:L31"/>
    <mergeCell ref="B13:F13"/>
    <mergeCell ref="AC112:AD112"/>
    <mergeCell ref="AC106:AD106"/>
    <mergeCell ref="I87:J87"/>
    <mergeCell ref="U21:V21"/>
    <mergeCell ref="M89:N89"/>
    <mergeCell ref="Q46:R46"/>
    <mergeCell ref="G51:H51"/>
    <mergeCell ref="Q48:R48"/>
    <mergeCell ref="S104:T104"/>
    <mergeCell ref="K57:L57"/>
    <mergeCell ref="Q41:R41"/>
    <mergeCell ref="S106:T106"/>
    <mergeCell ref="Q43:R43"/>
    <mergeCell ref="S105:T105"/>
    <mergeCell ref="M113:N113"/>
    <mergeCell ref="U74:V74"/>
    <mergeCell ref="M123:N123"/>
    <mergeCell ref="U76:V76"/>
    <mergeCell ref="M108:N108"/>
    <mergeCell ref="K75:L75"/>
    <mergeCell ref="AA119:AB119"/>
    <mergeCell ref="I12:J12"/>
    <mergeCell ref="S34:T34"/>
    <mergeCell ref="I39:J39"/>
    <mergeCell ref="I14:J14"/>
    <mergeCell ref="S36:T36"/>
    <mergeCell ref="K70:L70"/>
    <mergeCell ref="U92:V92"/>
    <mergeCell ref="S29:T29"/>
    <mergeCell ref="AA122:AB122"/>
    <mergeCell ref="B79:F79"/>
    <mergeCell ref="S31:T31"/>
    <mergeCell ref="Y38:Z38"/>
    <mergeCell ref="B81:F81"/>
    <mergeCell ref="Q112:R112"/>
    <mergeCell ref="AA13:AB13"/>
    <mergeCell ref="S62:T62"/>
    <mergeCell ref="AA15:AB15"/>
    <mergeCell ref="I25:J25"/>
    <mergeCell ref="U120:V120"/>
    <mergeCell ref="S57:T57"/>
    <mergeCell ref="AC79:AD79"/>
    <mergeCell ref="I58:J58"/>
    <mergeCell ref="AC73:AD73"/>
    <mergeCell ref="S49:T49"/>
    <mergeCell ref="U115:V115"/>
    <mergeCell ref="I83:J83"/>
    <mergeCell ref="B92:F92"/>
    <mergeCell ref="G20:H20"/>
    <mergeCell ref="Q17:R17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55:L55"/>
    <mergeCell ref="Q39:R39"/>
    <mergeCell ref="S70:T70"/>
    <mergeCell ref="AA30:AB30"/>
    <mergeCell ref="AC92:AD92"/>
    <mergeCell ref="G38:H38"/>
    <mergeCell ref="Y26:Z26"/>
    <mergeCell ref="AA88:AB88"/>
    <mergeCell ref="B121:H121"/>
    <mergeCell ref="U47:V47"/>
    <mergeCell ref="AA54:AB54"/>
    <mergeCell ref="G33:H33"/>
    <mergeCell ref="Q65:R65"/>
    <mergeCell ref="Y27:Z27"/>
    <mergeCell ref="AA56:AB56"/>
    <mergeCell ref="G35:H35"/>
    <mergeCell ref="AA83:AB83"/>
    <mergeCell ref="K66:L66"/>
    <mergeCell ref="S123:T123"/>
    <mergeCell ref="U63:V63"/>
    <mergeCell ref="AC120:AD120"/>
    <mergeCell ref="AA85:AB85"/>
    <mergeCell ref="K74:L74"/>
    <mergeCell ref="K68:L68"/>
    <mergeCell ref="O19:P19"/>
    <mergeCell ref="Q83:R83"/>
    <mergeCell ref="O20:P20"/>
    <mergeCell ref="Q85:R85"/>
    <mergeCell ref="O22:P22"/>
    <mergeCell ref="AC42:AD42"/>
    <mergeCell ref="I21:J21"/>
    <mergeCell ref="Q78:R78"/>
    <mergeCell ref="Y40:Z40"/>
    <mergeCell ref="Q114:R114"/>
    <mergeCell ref="S53:T53"/>
    <mergeCell ref="W121:X121"/>
    <mergeCell ref="AC44:AD44"/>
    <mergeCell ref="I23:J23"/>
    <mergeCell ref="Q80:R80"/>
    <mergeCell ref="O47:P47"/>
    <mergeCell ref="S55:T55"/>
    <mergeCell ref="O38:P38"/>
    <mergeCell ref="B63:F63"/>
    <mergeCell ref="Y91:Z91"/>
    <mergeCell ref="I49:J49"/>
    <mergeCell ref="O33:P33"/>
    <mergeCell ref="Y93:Z93"/>
    <mergeCell ref="S66:T66"/>
    <mergeCell ref="Y109:Z109"/>
    <mergeCell ref="S68:T68"/>
    <mergeCell ref="W46:X46"/>
    <mergeCell ref="B117:H117"/>
    <mergeCell ref="Y111:Z111"/>
    <mergeCell ref="G29:H29"/>
    <mergeCell ref="W48:X48"/>
    <mergeCell ref="B119:H119"/>
    <mergeCell ref="O122:P122"/>
    <mergeCell ref="Y104:Z104"/>
    <mergeCell ref="G31:H31"/>
    <mergeCell ref="AA79:AB79"/>
    <mergeCell ref="B112:H112"/>
    <mergeCell ref="S119:T119"/>
    <mergeCell ref="Q21:R21"/>
    <mergeCell ref="AA81:AB81"/>
    <mergeCell ref="I89:J89"/>
    <mergeCell ref="G57:H57"/>
    <mergeCell ref="I121:J121"/>
    <mergeCell ref="Y34:Z34"/>
    <mergeCell ref="AA63:AB63"/>
    <mergeCell ref="G58:H58"/>
    <mergeCell ref="U28:V28"/>
    <mergeCell ref="Q74:R74"/>
    <mergeCell ref="Q49:R49"/>
    <mergeCell ref="I123:J123"/>
    <mergeCell ref="Y36:Z36"/>
    <mergeCell ref="Q110:R110"/>
    <mergeCell ref="B15:F15"/>
    <mergeCell ref="Q76:R76"/>
    <mergeCell ref="G75:H75"/>
    <mergeCell ref="W119:X119"/>
    <mergeCell ref="AA125:AB125"/>
    <mergeCell ref="Y62:Z62"/>
    <mergeCell ref="G70:H70"/>
    <mergeCell ref="K21:L21"/>
    <mergeCell ref="Y54:Z54"/>
    <mergeCell ref="O29:P29"/>
    <mergeCell ref="Y64:Z64"/>
    <mergeCell ref="O65:P65"/>
    <mergeCell ref="AA120:AB120"/>
    <mergeCell ref="O31:P31"/>
    <mergeCell ref="W16:X16"/>
    <mergeCell ref="O62:P62"/>
    <mergeCell ref="M27:N27"/>
    <mergeCell ref="Q89:R89"/>
    <mergeCell ref="O56:P56"/>
    <mergeCell ref="W18:X18"/>
    <mergeCell ref="W17:X17"/>
    <mergeCell ref="O91:P91"/>
    <mergeCell ref="Q120:R120"/>
    <mergeCell ref="O85:P85"/>
    <mergeCell ref="O57:P57"/>
    <mergeCell ref="W19:X19"/>
    <mergeCell ref="Y75:Z75"/>
    <mergeCell ref="O86:P86"/>
    <mergeCell ref="Q115:R115"/>
    <mergeCell ref="O75:P75"/>
    <mergeCell ref="M40:N40"/>
    <mergeCell ref="M12:N12"/>
    <mergeCell ref="W72:X72"/>
    <mergeCell ref="O104:P104"/>
    <mergeCell ref="O70:P70"/>
    <mergeCell ref="Q45:R45"/>
    <mergeCell ref="U113:V113"/>
    <mergeCell ref="U26:V26"/>
    <mergeCell ref="W88:X88"/>
    <mergeCell ref="Q47:R47"/>
    <mergeCell ref="U27:V27"/>
    <mergeCell ref="W83:X83"/>
    <mergeCell ref="AA34:AB34"/>
    <mergeCell ref="W85:X85"/>
    <mergeCell ref="AA36:AB36"/>
    <mergeCell ref="Y60:Z60"/>
    <mergeCell ref="G74:H74"/>
    <mergeCell ref="AA116:AB116"/>
    <mergeCell ref="B29:F29"/>
    <mergeCell ref="AA124:AB124"/>
    <mergeCell ref="AA118:AB118"/>
    <mergeCell ref="K48:L48"/>
    <mergeCell ref="B24:F24"/>
    <mergeCell ref="U38:V38"/>
    <mergeCell ref="M112:N112"/>
    <mergeCell ref="B32:F32"/>
    <mergeCell ref="B26:F26"/>
    <mergeCell ref="W13:X13"/>
    <mergeCell ref="U40:V40"/>
    <mergeCell ref="M114:N114"/>
    <mergeCell ref="O53:P53"/>
    <mergeCell ref="W15:X15"/>
    <mergeCell ref="Y71:Z71"/>
    <mergeCell ref="M107:N107"/>
    <mergeCell ref="B27:F27"/>
    <mergeCell ref="Q117:R117"/>
    <mergeCell ref="Q111:R111"/>
    <mergeCell ref="Y73:Z73"/>
    <mergeCell ref="B42:F42"/>
    <mergeCell ref="AC24:AD24"/>
    <mergeCell ref="K76:L76"/>
    <mergeCell ref="U91:V91"/>
    <mergeCell ref="B44:F44"/>
    <mergeCell ref="AC26:AD26"/>
    <mergeCell ref="K67:L67"/>
    <mergeCell ref="B37:F37"/>
    <mergeCell ref="AC19:AD19"/>
    <mergeCell ref="M36:N36"/>
    <mergeCell ref="U93:V93"/>
    <mergeCell ref="O66:P66"/>
    <mergeCell ref="W28:X28"/>
    <mergeCell ref="S47:T47"/>
    <mergeCell ref="U109:V109"/>
    <mergeCell ref="O68:P68"/>
    <mergeCell ref="S46:T46"/>
    <mergeCell ref="AC37:AD37"/>
    <mergeCell ref="U111:V111"/>
    <mergeCell ref="M64:N64"/>
    <mergeCell ref="S48:T48"/>
    <mergeCell ref="K122:L122"/>
    <mergeCell ref="U104:V104"/>
    <mergeCell ref="W79:X79"/>
    <mergeCell ref="W54:X54"/>
    <mergeCell ref="B125:H125"/>
    <mergeCell ref="M65:N65"/>
    <mergeCell ref="M21:N21"/>
    <mergeCell ref="W81:X81"/>
    <mergeCell ref="W56:X56"/>
    <mergeCell ref="B120:H120"/>
    <mergeCell ref="O123:P123"/>
    <mergeCell ref="K17:L17"/>
    <mergeCell ref="K19:L19"/>
    <mergeCell ref="U34:V34"/>
    <mergeCell ref="M83:N83"/>
    <mergeCell ref="Q28:R28"/>
    <mergeCell ref="M49:N49"/>
    <mergeCell ref="U36:V36"/>
    <mergeCell ref="U30:V30"/>
    <mergeCell ref="W92:X92"/>
    <mergeCell ref="G39:H39"/>
    <mergeCell ref="S117:T117"/>
    <mergeCell ref="M78:N78"/>
    <mergeCell ref="AA45:AB45"/>
    <mergeCell ref="B11:AD11"/>
    <mergeCell ref="W125:X125"/>
    <mergeCell ref="AC109:AD109"/>
    <mergeCell ref="U62:V62"/>
    <mergeCell ref="AA46:AB46"/>
    <mergeCell ref="Y13:Z13"/>
    <mergeCell ref="U64:V64"/>
    <mergeCell ref="AC51:AD51"/>
    <mergeCell ref="W120:X120"/>
    <mergeCell ref="K65:L65"/>
    <mergeCell ref="AA71:AB71"/>
    <mergeCell ref="G50:H50"/>
    <mergeCell ref="S16:T16"/>
    <mergeCell ref="G52:H52"/>
    <mergeCell ref="B66:F66"/>
    <mergeCell ref="I27:J27"/>
    <mergeCell ref="S18:T18"/>
    <mergeCell ref="S17:T17"/>
    <mergeCell ref="AC77:AD77"/>
    <mergeCell ref="K91:L91"/>
    <mergeCell ref="K85:L85"/>
    <mergeCell ref="B67:F67"/>
    <mergeCell ref="B61:F61"/>
    <mergeCell ref="AC43:AD43"/>
    <mergeCell ref="I22:J22"/>
    <mergeCell ref="K84:L84"/>
    <mergeCell ref="U75:V75"/>
    <mergeCell ref="B69:F69"/>
    <mergeCell ref="AC34:AD34"/>
    <mergeCell ref="AC72:AD72"/>
    <mergeCell ref="K86:L86"/>
    <mergeCell ref="W52:X52"/>
    <mergeCell ref="Y108:Z108"/>
    <mergeCell ref="AC59:AD59"/>
    <mergeCell ref="I38:J38"/>
    <mergeCell ref="B64:F64"/>
    <mergeCell ref="O119:P119"/>
    <mergeCell ref="AA32:AB32"/>
    <mergeCell ref="AC61:AD61"/>
    <mergeCell ref="I40:J40"/>
    <mergeCell ref="S72:T72"/>
    <mergeCell ref="K104:L104"/>
    <mergeCell ref="AC62:AD62"/>
    <mergeCell ref="M79:N79"/>
    <mergeCell ref="W63:X63"/>
    <mergeCell ref="I66:J66"/>
    <mergeCell ref="Q26:R26"/>
    <mergeCell ref="Y110:Z110"/>
    <mergeCell ref="M74:N74"/>
    <mergeCell ref="AA16:AB16"/>
    <mergeCell ref="Q27:R27"/>
    <mergeCell ref="S83:T83"/>
    <mergeCell ref="AA18:AB18"/>
    <mergeCell ref="K28:L28"/>
    <mergeCell ref="S85:T85"/>
    <mergeCell ref="AA47:AB47"/>
    <mergeCell ref="U60:V60"/>
    <mergeCell ref="K30:L30"/>
    <mergeCell ref="M92:N92"/>
    <mergeCell ref="Q37:R37"/>
    <mergeCell ref="W124:X124"/>
    <mergeCell ref="W118:X118"/>
    <mergeCell ref="G48:H48"/>
    <mergeCell ref="Q38:R38"/>
    <mergeCell ref="I112:J112"/>
    <mergeCell ref="S13:T13"/>
    <mergeCell ref="K56:L56"/>
    <mergeCell ref="Q40:R40"/>
    <mergeCell ref="I114:J114"/>
    <mergeCell ref="S15:T15"/>
    <mergeCell ref="U71:V71"/>
    <mergeCell ref="I107:J107"/>
    <mergeCell ref="M120:N120"/>
    <mergeCell ref="U73:V73"/>
    <mergeCell ref="G76:H76"/>
    <mergeCell ref="M115:N115"/>
    <mergeCell ref="Q91:R91"/>
    <mergeCell ref="Y53:Z53"/>
    <mergeCell ref="AA82:AB82"/>
    <mergeCell ref="Y55:Z55"/>
    <mergeCell ref="AA117:AB117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Y37:Z37"/>
    <mergeCell ref="G89:H89"/>
    <mergeCell ref="I64:J64"/>
    <mergeCell ref="O48:P48"/>
    <mergeCell ref="S54:T54"/>
    <mergeCell ref="I65:J65"/>
    <mergeCell ref="K121:L121"/>
    <mergeCell ref="S56:T56"/>
    <mergeCell ref="AA43:AB43"/>
    <mergeCell ref="Y63:Z63"/>
    <mergeCell ref="AC71:AD71"/>
    <mergeCell ref="K123:L123"/>
    <mergeCell ref="G17:H17"/>
    <mergeCell ref="G19:H19"/>
    <mergeCell ref="I75:J75"/>
    <mergeCell ref="Q34:R34"/>
    <mergeCell ref="AA69:AB69"/>
    <mergeCell ref="M28:N28"/>
    <mergeCell ref="AA35:AB35"/>
    <mergeCell ref="G14:H14"/>
    <mergeCell ref="Q36:R36"/>
    <mergeCell ref="M57:N57"/>
    <mergeCell ref="AA64:AB64"/>
    <mergeCell ref="I78:J78"/>
    <mergeCell ref="O121:P121"/>
    <mergeCell ref="G72:H72"/>
    <mergeCell ref="S125:T125"/>
    <mergeCell ref="M111:N111"/>
    <mergeCell ref="Q62:R62"/>
    <mergeCell ref="Y24:Z24"/>
    <mergeCell ref="Q64:R64"/>
    <mergeCell ref="S120:T120"/>
    <mergeCell ref="Q93:R93"/>
    <mergeCell ref="O16:P16"/>
    <mergeCell ref="AA110:AB110"/>
    <mergeCell ref="O17:P17"/>
    <mergeCell ref="Y77:Z77"/>
    <mergeCell ref="G91:H91"/>
    <mergeCell ref="G85:H85"/>
    <mergeCell ref="G84:H84"/>
    <mergeCell ref="Q75:R75"/>
    <mergeCell ref="G86:H86"/>
    <mergeCell ref="Y72:Z72"/>
    <mergeCell ref="S52:T52"/>
    <mergeCell ref="U108:V108"/>
    <mergeCell ref="B43:F43"/>
    <mergeCell ref="K119:L119"/>
    <mergeCell ref="W32:X32"/>
    <mergeCell ref="Y88:Z88"/>
    <mergeCell ref="Y90:Z90"/>
    <mergeCell ref="W27:X27"/>
    <mergeCell ref="M24:N24"/>
    <mergeCell ref="S63:T63"/>
    <mergeCell ref="M53:N53"/>
    <mergeCell ref="U110:V110"/>
    <mergeCell ref="I74:J74"/>
    <mergeCell ref="W44:X44"/>
    <mergeCell ref="B62:F62"/>
    <mergeCell ref="M55:N55"/>
    <mergeCell ref="O117:P117"/>
    <mergeCell ref="AC124:AD124"/>
    <mergeCell ref="B124:H124"/>
    <mergeCell ref="O83:P83"/>
    <mergeCell ref="M48:N48"/>
    <mergeCell ref="W45:X45"/>
    <mergeCell ref="Y20:Z20"/>
    <mergeCell ref="Y14:Z14"/>
    <mergeCell ref="B109:H109"/>
    <mergeCell ref="O112:P112"/>
    <mergeCell ref="W47:X47"/>
    <mergeCell ref="Y22:Z22"/>
    <mergeCell ref="AA78:AB78"/>
    <mergeCell ref="O114:P114"/>
    <mergeCell ref="M81:N81"/>
    <mergeCell ref="M37:N37"/>
    <mergeCell ref="AA80:AB80"/>
    <mergeCell ref="O109:P109"/>
    <mergeCell ref="AC108:AD108"/>
    <mergeCell ref="G54:H54"/>
    <mergeCell ref="M38:N38"/>
    <mergeCell ref="G56:H56"/>
    <mergeCell ref="K34:L34"/>
    <mergeCell ref="I120:J120"/>
    <mergeCell ref="K36:L36"/>
    <mergeCell ref="I113:J113"/>
    <mergeCell ref="B12:F12"/>
    <mergeCell ref="Y35:Z35"/>
    <mergeCell ref="I115:J115"/>
    <mergeCell ref="B14:F14"/>
    <mergeCell ref="O69:P69"/>
    <mergeCell ref="U53:V53"/>
    <mergeCell ref="W109:X109"/>
    <mergeCell ref="W117:X117"/>
    <mergeCell ref="O64:P64"/>
    <mergeCell ref="Y61:Z61"/>
    <mergeCell ref="O72:P72"/>
    <mergeCell ref="W112:X112"/>
    <mergeCell ref="U79:V79"/>
    <mergeCell ref="K49:L49"/>
    <mergeCell ref="Y56:Z56"/>
    <mergeCell ref="B25:F25"/>
    <mergeCell ref="AC32:AD32"/>
    <mergeCell ref="U81:V81"/>
    <mergeCell ref="B58:F58"/>
    <mergeCell ref="B52:F52"/>
    <mergeCell ref="O54:P54"/>
    <mergeCell ref="B60:F60"/>
    <mergeCell ref="B122:H122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W67:X67"/>
    <mergeCell ref="B80:F80"/>
    <mergeCell ref="W69:X69"/>
    <mergeCell ref="Y125:Z125"/>
    <mergeCell ref="AC78:AD78"/>
    <mergeCell ref="I57:J57"/>
    <mergeCell ref="W64:X64"/>
    <mergeCell ref="K32:L32"/>
    <mergeCell ref="AC107:AD107"/>
    <mergeCell ref="I111:J111"/>
    <mergeCell ref="K27:L27"/>
    <mergeCell ref="W122:X122"/>
    <mergeCell ref="U24:V24"/>
    <mergeCell ref="U18:V18"/>
    <mergeCell ref="M91:N91"/>
    <mergeCell ref="W82:X82"/>
    <mergeCell ref="U19:V19"/>
    <mergeCell ref="M93:N93"/>
    <mergeCell ref="K16:L16"/>
    <mergeCell ref="Q124:R124"/>
    <mergeCell ref="K45:L45"/>
    <mergeCell ref="B21:F21"/>
    <mergeCell ref="W110:X110"/>
    <mergeCell ref="U77:V77"/>
    <mergeCell ref="K47:L47"/>
    <mergeCell ref="M109:N109"/>
    <mergeCell ref="B23:F23"/>
    <mergeCell ref="K46:L46"/>
    <mergeCell ref="M75:N75"/>
    <mergeCell ref="K40:L40"/>
    <mergeCell ref="U37:V37"/>
    <mergeCell ref="M15:N15"/>
    <mergeCell ref="U72:V72"/>
    <mergeCell ref="W12:X12"/>
    <mergeCell ref="M104:N104"/>
    <mergeCell ref="K71:L71"/>
    <mergeCell ref="O79:P79"/>
    <mergeCell ref="Y70:Z70"/>
    <mergeCell ref="M106:N106"/>
    <mergeCell ref="AC21:AD21"/>
    <mergeCell ref="K73:L73"/>
    <mergeCell ref="O81:P81"/>
    <mergeCell ref="S32:T32"/>
    <mergeCell ref="S26:T26"/>
    <mergeCell ref="U88:V88"/>
    <mergeCell ref="AC16:AD16"/>
    <mergeCell ref="U90:V90"/>
    <mergeCell ref="S27:T27"/>
    <mergeCell ref="AC18:AD18"/>
    <mergeCell ref="B77:F77"/>
    <mergeCell ref="I53:J53"/>
    <mergeCell ref="I28:J28"/>
    <mergeCell ref="M30:N30"/>
    <mergeCell ref="U116:V116"/>
    <mergeCell ref="I55:J55"/>
    <mergeCell ref="K117:L117"/>
    <mergeCell ref="Y124:Z124"/>
    <mergeCell ref="I48:J48"/>
    <mergeCell ref="M61:N61"/>
    <mergeCell ref="U118:V118"/>
    <mergeCell ref="S45:T45"/>
    <mergeCell ref="B89:F89"/>
    <mergeCell ref="K112:L112"/>
    <mergeCell ref="M56:N56"/>
    <mergeCell ref="Q13:R13"/>
    <mergeCell ref="AA29:AB29"/>
    <mergeCell ref="I81:J81"/>
    <mergeCell ref="U15:V15"/>
    <mergeCell ref="B90:F90"/>
    <mergeCell ref="O120:P120"/>
    <mergeCell ref="S71:T71"/>
    <mergeCell ref="AA58:AB58"/>
    <mergeCell ref="AC87:AD87"/>
    <mergeCell ref="AA24:AB24"/>
    <mergeCell ref="I76:J76"/>
    <mergeCell ref="S73:T73"/>
    <mergeCell ref="AA60:AB60"/>
    <mergeCell ref="AC89:AD89"/>
    <mergeCell ref="AC116:AD116"/>
    <mergeCell ref="AA26:AB26"/>
    <mergeCell ref="AC88:AD88"/>
    <mergeCell ref="AA53:AB53"/>
    <mergeCell ref="AC82:AD82"/>
    <mergeCell ref="G34:H34"/>
    <mergeCell ref="U33:V33"/>
    <mergeCell ref="AC90:AD90"/>
    <mergeCell ref="AC117:AD117"/>
    <mergeCell ref="AA84:AB84"/>
    <mergeCell ref="AA50:AB50"/>
    <mergeCell ref="S124:T124"/>
    <mergeCell ref="B20:F20"/>
    <mergeCell ref="AC115:AD115"/>
    <mergeCell ref="AA42:AB42"/>
    <mergeCell ref="K69:L69"/>
    <mergeCell ref="Q53:R53"/>
    <mergeCell ref="S109:T109"/>
    <mergeCell ref="U59:V59"/>
    <mergeCell ref="AC12:AD12"/>
    <mergeCell ref="K64:L64"/>
    <mergeCell ref="U61:V61"/>
    <mergeCell ref="K72:L72"/>
    <mergeCell ref="AC14:AD14"/>
    <mergeCell ref="Q79:R79"/>
    <mergeCell ref="AA70:AB70"/>
    <mergeCell ref="G49:H49"/>
    <mergeCell ref="U56:V56"/>
    <mergeCell ref="I24:J24"/>
    <mergeCell ref="Q81:R81"/>
    <mergeCell ref="I17:J17"/>
    <mergeCell ref="K82:L82"/>
    <mergeCell ref="I19:J19"/>
    <mergeCell ref="U114:V114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I37:J37"/>
    <mergeCell ref="O118:P118"/>
    <mergeCell ref="S69:T69"/>
    <mergeCell ref="U125:V125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I91:J91"/>
    <mergeCell ref="AA77:AB77"/>
    <mergeCell ref="B110:H110"/>
    <mergeCell ref="I85:J85"/>
    <mergeCell ref="S82:T82"/>
    <mergeCell ref="Q19:R19"/>
    <mergeCell ref="I93:J93"/>
    <mergeCell ref="W62:X62"/>
    <mergeCell ref="Q44:R44"/>
    <mergeCell ref="AA66:AB66"/>
    <mergeCell ref="G45:H45"/>
    <mergeCell ref="I118:J118"/>
    <mergeCell ref="U52:V52"/>
    <mergeCell ref="G55:H55"/>
    <mergeCell ref="S108:T108"/>
    <mergeCell ref="G47:H47"/>
    <mergeCell ref="I109:J109"/>
    <mergeCell ref="AA67:AB67"/>
    <mergeCell ref="Y32:Z32"/>
    <mergeCell ref="G46:H46"/>
    <mergeCell ref="AA61:AB61"/>
    <mergeCell ref="G40:H40"/>
    <mergeCell ref="I119:J119"/>
    <mergeCell ref="AC125:AD125"/>
    <mergeCell ref="AA90:AB90"/>
    <mergeCell ref="I104:J104"/>
    <mergeCell ref="G71:H71"/>
    <mergeCell ref="I106:J106"/>
    <mergeCell ref="Y21:Z21"/>
    <mergeCell ref="K81:L81"/>
    <mergeCell ref="O32:P32"/>
    <mergeCell ref="G66:H66"/>
    <mergeCell ref="O26:P26"/>
    <mergeCell ref="Q88:R88"/>
    <mergeCell ref="Q63:R63"/>
    <mergeCell ref="AA123:AB123"/>
    <mergeCell ref="Y50:Z50"/>
    <mergeCell ref="Y16:Z16"/>
    <mergeCell ref="G68:H68"/>
    <mergeCell ref="Q90:R90"/>
    <mergeCell ref="O55:P55"/>
    <mergeCell ref="Y52:Z52"/>
    <mergeCell ref="AA108:AB108"/>
    <mergeCell ref="O27:P27"/>
    <mergeCell ref="Y18:Z18"/>
    <mergeCell ref="Y45:Z45"/>
    <mergeCell ref="Q119:R119"/>
    <mergeCell ref="AA109:AB109"/>
    <mergeCell ref="W14:X14"/>
    <mergeCell ref="S60:T60"/>
    <mergeCell ref="AA22:AB22"/>
    <mergeCell ref="I30:J30"/>
    <mergeCell ref="K92:L92"/>
    <mergeCell ref="Y42:Z42"/>
    <mergeCell ref="Q116:R116"/>
    <mergeCell ref="U124:V124"/>
    <mergeCell ref="I61:J61"/>
    <mergeCell ref="O45:P45"/>
    <mergeCell ref="B70:F70"/>
    <mergeCell ref="I54:J54"/>
    <mergeCell ref="I56:J56"/>
    <mergeCell ref="M13:N13"/>
    <mergeCell ref="Q15:R15"/>
    <mergeCell ref="K120:L120"/>
    <mergeCell ref="O71:P71"/>
    <mergeCell ref="W58:X58"/>
    <mergeCell ref="G16:H16"/>
    <mergeCell ref="O73:P73"/>
    <mergeCell ref="W60:X60"/>
    <mergeCell ref="Y116:Z116"/>
    <mergeCell ref="W53:X53"/>
    <mergeCell ref="Q77:R77"/>
    <mergeCell ref="Y117:Z117"/>
    <mergeCell ref="W84:X84"/>
    <mergeCell ref="K44:L44"/>
    <mergeCell ref="Q72:R72"/>
    <mergeCell ref="G69:H69"/>
    <mergeCell ref="Q59:R59"/>
    <mergeCell ref="G64:H64"/>
    <mergeCell ref="Q61:R61"/>
    <mergeCell ref="AA114:AB114"/>
    <mergeCell ref="Y41:Z41"/>
    <mergeCell ref="U35:V35"/>
    <mergeCell ref="Q56:R56"/>
    <mergeCell ref="Y43:Z43"/>
    <mergeCell ref="AA105:AB105"/>
    <mergeCell ref="B22:F22"/>
    <mergeCell ref="Y74:Z74"/>
    <mergeCell ref="G82:H82"/>
    <mergeCell ref="M110:N110"/>
    <mergeCell ref="Y67:Z67"/>
    <mergeCell ref="Y69:Z69"/>
    <mergeCell ref="G83:H83"/>
    <mergeCell ref="B38:F38"/>
    <mergeCell ref="AC20:AD20"/>
    <mergeCell ref="B40:F40"/>
    <mergeCell ref="AC22:AD22"/>
    <mergeCell ref="U54:V54"/>
    <mergeCell ref="B33:F33"/>
    <mergeCell ref="M32:N32"/>
    <mergeCell ref="O67:P67"/>
    <mergeCell ref="W29:X29"/>
    <mergeCell ref="W23:X23"/>
    <mergeCell ref="M121:N121"/>
    <mergeCell ref="S44:T44"/>
    <mergeCell ref="B41:F41"/>
    <mergeCell ref="B35:F35"/>
    <mergeCell ref="Q125:R125"/>
    <mergeCell ref="Y87:Z87"/>
    <mergeCell ref="W24:X24"/>
    <mergeCell ref="Y89:Z89"/>
    <mergeCell ref="U105:V105"/>
    <mergeCell ref="W26:X26"/>
    <mergeCell ref="Y82:Z82"/>
    <mergeCell ref="AC33:AD33"/>
    <mergeCell ref="U107:V107"/>
    <mergeCell ref="AA57:AB57"/>
    <mergeCell ref="I71:J71"/>
    <mergeCell ref="O93:P93"/>
    <mergeCell ref="M16:N16"/>
    <mergeCell ref="AC35:AD35"/>
    <mergeCell ref="M18:N18"/>
    <mergeCell ref="M45:N45"/>
    <mergeCell ref="W42:X42"/>
    <mergeCell ref="M17:N17"/>
    <mergeCell ref="W77:X77"/>
    <mergeCell ref="O82:P82"/>
    <mergeCell ref="M47:N47"/>
    <mergeCell ref="M19:N19"/>
    <mergeCell ref="B116:H116"/>
    <mergeCell ref="K13:L13"/>
    <mergeCell ref="W37:X37"/>
    <mergeCell ref="B108:H108"/>
    <mergeCell ref="O111:P111"/>
    <mergeCell ref="B118:H118"/>
    <mergeCell ref="K15:L15"/>
    <mergeCell ref="M44:N44"/>
    <mergeCell ref="Q52:R52"/>
    <mergeCell ref="O108:P108"/>
    <mergeCell ref="M73:N73"/>
    <mergeCell ref="U32:V32"/>
    <mergeCell ref="W90:X90"/>
    <mergeCell ref="AA41:AB41"/>
    <mergeCell ref="AC105:AD105"/>
    <mergeCell ref="M63:N63"/>
    <mergeCell ref="U50:V50"/>
    <mergeCell ref="U44:V44"/>
    <mergeCell ref="W116:X116"/>
    <mergeCell ref="M117:N117"/>
    <mergeCell ref="W108:X108"/>
    <mergeCell ref="B31:F31"/>
    <mergeCell ref="U45:V45"/>
    <mergeCell ref="M119:N119"/>
    <mergeCell ref="B39:F39"/>
    <mergeCell ref="W20:X20"/>
    <mergeCell ref="S14:T14"/>
    <mergeCell ref="W22:X22"/>
    <mergeCell ref="Y78:Z78"/>
    <mergeCell ref="AC29:AD29"/>
    <mergeCell ref="Y80:Z80"/>
    <mergeCell ref="AC31:AD31"/>
    <mergeCell ref="B65:F65"/>
    <mergeCell ref="B50:F50"/>
    <mergeCell ref="I34:J34"/>
    <mergeCell ref="S25:T25"/>
    <mergeCell ref="Y106:Z106"/>
    <mergeCell ref="W33:X33"/>
    <mergeCell ref="AC57:AD57"/>
    <mergeCell ref="I36:J36"/>
    <mergeCell ref="S58:T58"/>
    <mergeCell ref="B114:H114"/>
    <mergeCell ref="W35:X35"/>
    <mergeCell ref="W66:X66"/>
    <mergeCell ref="B78:F78"/>
    <mergeCell ref="M77:N77"/>
    <mergeCell ref="W59:X59"/>
    <mergeCell ref="U117:V117"/>
    <mergeCell ref="Q22:R22"/>
    <mergeCell ref="S84:T84"/>
    <mergeCell ref="W61:X61"/>
    <mergeCell ref="AA12:AB12"/>
    <mergeCell ref="M72:N72"/>
    <mergeCell ref="S79:T79"/>
    <mergeCell ref="AA14:AB14"/>
    <mergeCell ref="AC70:AD70"/>
    <mergeCell ref="M87:N87"/>
    <mergeCell ref="M59:N59"/>
    <mergeCell ref="K24:L24"/>
    <mergeCell ref="S81:T81"/>
    <mergeCell ref="K113:L113"/>
    <mergeCell ref="K26:L26"/>
    <mergeCell ref="M88:N88"/>
    <mergeCell ref="M82:N82"/>
    <mergeCell ref="M54:N54"/>
    <mergeCell ref="W114:X114"/>
    <mergeCell ref="U16:V16"/>
    <mergeCell ref="M90:N90"/>
    <mergeCell ref="Q35:R35"/>
    <mergeCell ref="AA25:AB25"/>
    <mergeCell ref="K42:L42"/>
    <mergeCell ref="Y49:Z49"/>
    <mergeCell ref="M85:N85"/>
    <mergeCell ref="I110:J110"/>
    <mergeCell ref="Q30:R30"/>
    <mergeCell ref="S92:T92"/>
    <mergeCell ref="O60:P60"/>
    <mergeCell ref="U67:V67"/>
    <mergeCell ref="K37:L37"/>
    <mergeCell ref="U69:V69"/>
    <mergeCell ref="M118:N118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U87:V87"/>
    <mergeCell ref="S24:T24"/>
    <mergeCell ref="U89:V89"/>
    <mergeCell ref="B74:F74"/>
    <mergeCell ref="Q105:R105"/>
    <mergeCell ref="B68:F68"/>
    <mergeCell ref="U82:V82"/>
    <mergeCell ref="Y33:Z33"/>
    <mergeCell ref="B76:F76"/>
    <mergeCell ref="Q107:R107"/>
    <mergeCell ref="K93:L93"/>
    <mergeCell ref="AC41:AD41"/>
    <mergeCell ref="I60:J60"/>
    <mergeCell ref="Y121:Z121"/>
    <mergeCell ref="AC66:AD66"/>
    <mergeCell ref="I45:J45"/>
    <mergeCell ref="S42:T42"/>
    <mergeCell ref="S77:T77"/>
    <mergeCell ref="AC74:AD74"/>
    <mergeCell ref="AA39:AB39"/>
    <mergeCell ref="AC68:AD68"/>
    <mergeCell ref="I47:J47"/>
    <mergeCell ref="K109:L109"/>
    <mergeCell ref="AC67:AD67"/>
    <mergeCell ref="G13:H13"/>
    <mergeCell ref="S37:T37"/>
    <mergeCell ref="K111:L111"/>
    <mergeCell ref="U12:V12"/>
    <mergeCell ref="B87:F87"/>
    <mergeCell ref="AC69:AD69"/>
    <mergeCell ref="G15:H15"/>
    <mergeCell ref="W70:X70"/>
    <mergeCell ref="I79:J79"/>
    <mergeCell ref="AA21:AB21"/>
    <mergeCell ref="I73:J73"/>
    <mergeCell ref="Q32:R32"/>
    <mergeCell ref="S88:T88"/>
    <mergeCell ref="AA23:AB23"/>
    <mergeCell ref="AC123:AD123"/>
    <mergeCell ref="S90:T90"/>
    <mergeCell ref="AA52:AB52"/>
    <mergeCell ref="S121:T121"/>
    <mergeCell ref="Q58:R58"/>
    <mergeCell ref="U25:V25"/>
    <mergeCell ref="AA49:AB49"/>
    <mergeCell ref="G28:H28"/>
    <mergeCell ref="G53:H53"/>
    <mergeCell ref="Q50:R50"/>
    <mergeCell ref="Q60:R60"/>
    <mergeCell ref="K59:L59"/>
    <mergeCell ref="S116:T116"/>
    <mergeCell ref="G30:H30"/>
    <mergeCell ref="I92:J92"/>
    <mergeCell ref="I117:J117"/>
    <mergeCell ref="AC113:AD113"/>
    <mergeCell ref="K61:L61"/>
    <mergeCell ref="S118:T118"/>
    <mergeCell ref="O12:P12"/>
    <mergeCell ref="M125:N125"/>
    <mergeCell ref="O14:P14"/>
    <mergeCell ref="K62:L62"/>
    <mergeCell ref="O13:P13"/>
    <mergeCell ref="G81:H81"/>
    <mergeCell ref="AA121:AB121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I69:J69"/>
    <mergeCell ref="I77:J77"/>
    <mergeCell ref="S59:T59"/>
    <mergeCell ref="S61:T61"/>
    <mergeCell ref="M51:N51"/>
    <mergeCell ref="I72:J72"/>
    <mergeCell ref="W41:X41"/>
    <mergeCell ref="AC122:AD122"/>
    <mergeCell ref="G24:H24"/>
    <mergeCell ref="B105:H105"/>
    <mergeCell ref="G26:H26"/>
    <mergeCell ref="AA74:AB74"/>
    <mergeCell ref="I88:J88"/>
    <mergeCell ref="B107:H107"/>
    <mergeCell ref="I82:J82"/>
    <mergeCell ref="S114:T114"/>
    <mergeCell ref="AA76:AB76"/>
    <mergeCell ref="AC104:AD104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Y29:Z29"/>
    <mergeCell ref="G37:H37"/>
    <mergeCell ref="Q69:R69"/>
    <mergeCell ref="Y31:Z31"/>
    <mergeCell ref="AA59:AB59"/>
    <mergeCell ref="AA89:AB89"/>
    <mergeCell ref="G63:H63"/>
    <mergeCell ref="O23:P23"/>
    <mergeCell ref="U51:V51"/>
    <mergeCell ref="W107:X107"/>
    <mergeCell ref="AA113:AB113"/>
    <mergeCell ref="Q87:R87"/>
    <mergeCell ref="O24:P24"/>
    <mergeCell ref="O18:P18"/>
    <mergeCell ref="AA115:AB115"/>
    <mergeCell ref="Q82:R82"/>
    <mergeCell ref="M20:N20"/>
    <mergeCell ref="O49:P49"/>
    <mergeCell ref="Y44:Z44"/>
    <mergeCell ref="Q118:R118"/>
    <mergeCell ref="G93:H93"/>
    <mergeCell ref="M22:N22"/>
    <mergeCell ref="O84:P84"/>
    <mergeCell ref="Q113:R113"/>
    <mergeCell ref="O50:P50"/>
    <mergeCell ref="O42:P42"/>
    <mergeCell ref="O80:P80"/>
    <mergeCell ref="O52:P52"/>
    <mergeCell ref="W39:X39"/>
    <mergeCell ref="Q108:R108"/>
    <mergeCell ref="B51:F51"/>
    <mergeCell ref="O37:P37"/>
  </mergeCells>
  <pageMargins left="0.7086614173228347" right="0.7086614173228347" top="0.7480314960629921" bottom="0.7480314960629921" header="0.3149606299212598" footer="0.3149606299212598"/>
  <pageSetup orientation="landscape" paperSize="9" scale="72"/>
  <headerFooter>
    <oddHeader/>
    <oddFooter>&amp;R&amp;A - &amp;P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Sayfa7">
    <tabColor theme="0"/>
    <outlinePr summaryBelow="1" summaryRight="1"/>
    <pageSetUpPr/>
  </sheetPr>
  <dimension ref="A1:AH269"/>
  <sheetViews>
    <sheetView showGridLines="0" showRowColHeaders="0" showZeros="0" zoomScale="80" zoomScaleNormal="80" zoomScaleSheetLayoutView="85" zoomScalePageLayoutView="70" workbookViewId="0">
      <selection activeCell="J255" sqref="J255:K255"/>
    </sheetView>
  </sheetViews>
  <sheetFormatPr baseColWidth="8" defaultColWidth="0" defaultRowHeight="15" zeroHeight="1"/>
  <cols>
    <col width="9.85546875" customWidth="1" style="4" min="1" max="1"/>
    <col width="7" customWidth="1" style="4" min="2" max="2"/>
    <col width="7.28515625" customWidth="1" style="4" min="3" max="3"/>
    <col width="5.7109375" customWidth="1" style="4" min="4" max="32"/>
    <col width="4.7109375" customWidth="1" style="4" min="33" max="33"/>
    <col hidden="1" width="4.7109375" customWidth="1" style="4" min="34" max="34"/>
    <col hidden="1" width="1.28515625" customWidth="1" style="4" min="35" max="35"/>
    <col hidden="1" width="5.7109375" customWidth="1" style="4" min="36" max="72"/>
    <col hidden="1" width="8.85546875" customWidth="1" style="4" min="73" max="16384"/>
  </cols>
  <sheetData>
    <row r="1" ht="3" customFormat="1" customHeight="1" s="52">
      <c r="A1" s="12" t="n"/>
    </row>
    <row r="2" ht="3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3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3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3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3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3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3" customFormat="1" customHeight="1" s="52">
      <c r="A8" s="12" t="n"/>
    </row>
    <row r="9" ht="25.5" customHeight="1" s="321"/>
    <row r="10" ht="20.45" customHeight="1" s="321">
      <c r="B10" s="621" t="inlineStr">
        <is>
          <t>Tablo 8. Tam Kapasitede Yıllık İşletme Giderleri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4" t="n"/>
      <c r="AA10" s="81" t="n"/>
      <c r="AB10" s="81" t="n"/>
    </row>
    <row r="11" ht="49.15" customHeight="1" s="321">
      <c r="B11" s="901">
        <f>VeriGiris!B183</f>
        <v/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VeriGiris!L183</f>
        <v/>
      </c>
      <c r="M11" s="774" t="n"/>
      <c r="N11" s="607">
        <f>VeriGiris!N183</f>
        <v/>
      </c>
      <c r="O11" s="774" t="n"/>
      <c r="P11" s="607">
        <f>VeriGiris!P183</f>
        <v/>
      </c>
      <c r="Q11" s="774" t="n"/>
      <c r="R11" s="607">
        <f>VeriGiris!R183</f>
        <v/>
      </c>
      <c r="S11" s="773" t="n"/>
      <c r="T11" s="774" t="n"/>
      <c r="U11" s="607">
        <f>VeriGiris!U183</f>
        <v/>
      </c>
      <c r="V11" s="774" t="n"/>
      <c r="W11" s="607">
        <f>VeriGiris!W183</f>
        <v/>
      </c>
      <c r="X11" s="774" t="n"/>
      <c r="Y11" s="607">
        <f>VeriGiris!Y183</f>
        <v/>
      </c>
      <c r="Z11" s="774" t="n"/>
      <c r="AA11" s="82" t="n"/>
      <c r="AB11" s="82" t="n"/>
    </row>
    <row r="12">
      <c r="B12" s="687" t="inlineStr">
        <is>
          <t>A – ÜRETİM GİDERLERİ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690" t="n"/>
      <c r="M12" s="774" t="n"/>
      <c r="N12" s="683" t="n"/>
      <c r="O12" s="774" t="n"/>
      <c r="P12" s="690" t="n"/>
      <c r="Q12" s="774" t="n"/>
      <c r="R12" s="690" t="n"/>
      <c r="S12" s="773" t="n"/>
      <c r="T12" s="774" t="n"/>
      <c r="U12" s="684" t="n"/>
      <c r="V12" s="774" t="n"/>
      <c r="W12" s="684" t="n"/>
      <c r="X12" s="774" t="n"/>
      <c r="Y12" s="686" t="n"/>
      <c r="Z12" s="774" t="n"/>
      <c r="AA12" s="96" t="n"/>
      <c r="AB12" s="96" t="n"/>
    </row>
    <row r="13">
      <c r="B13" s="692">
        <f>VeriGiris!B184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693" t="n"/>
      <c r="M13" s="774" t="n"/>
      <c r="N13" s="694" t="n"/>
      <c r="O13" s="774" t="n"/>
      <c r="P13" s="693" t="n"/>
      <c r="Q13" s="774" t="n"/>
      <c r="R13" s="695">
        <f>VeriGiris!R184</f>
        <v/>
      </c>
      <c r="S13" s="773" t="n"/>
      <c r="T13" s="774" t="n"/>
      <c r="U13" s="696" t="n"/>
      <c r="V13" s="774" t="n"/>
      <c r="W13" s="696" t="n"/>
      <c r="X13" s="774" t="n"/>
      <c r="Y13" s="697">
        <f>VeriGiris!Y184</f>
        <v/>
      </c>
      <c r="Z13" s="774" t="n"/>
      <c r="AA13" s="96" t="n"/>
      <c r="AB13" s="96" t="n"/>
    </row>
    <row r="14">
      <c r="B14" s="687">
        <f>VeriGiris!B185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688" t="n"/>
      <c r="M14" s="774" t="n"/>
      <c r="N14" s="689" t="n"/>
      <c r="O14" s="774" t="n"/>
      <c r="P14" s="688" t="n"/>
      <c r="Q14" s="774" t="n"/>
      <c r="R14" s="690">
        <f>VeriGiris!R185</f>
        <v/>
      </c>
      <c r="S14" s="773" t="n"/>
      <c r="T14" s="774" t="n"/>
      <c r="U14" s="691" t="n"/>
      <c r="V14" s="774" t="n"/>
      <c r="W14" s="691" t="n"/>
      <c r="X14" s="774" t="n"/>
      <c r="Y14" s="686">
        <f>VeriGiris!Y185</f>
        <v/>
      </c>
      <c r="Z14" s="774" t="n"/>
      <c r="AA14" s="96" t="n"/>
      <c r="AB14" s="96" t="n"/>
    </row>
    <row r="15">
      <c r="B15" s="664">
        <f>VeriGiris!B186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660">
        <f>VeriGiris!L186</f>
        <v/>
      </c>
      <c r="M15" s="774" t="n"/>
      <c r="N15" s="665">
        <f>VeriGiris!N186</f>
        <v/>
      </c>
      <c r="O15" s="774" t="n"/>
      <c r="P15" s="660">
        <f>VeriGiris!P186</f>
        <v/>
      </c>
      <c r="Q15" s="774" t="n"/>
      <c r="R15" s="660">
        <f>VeriGiris!R186</f>
        <v/>
      </c>
      <c r="S15" s="773" t="n"/>
      <c r="T15" s="774" t="n"/>
      <c r="U15" s="662">
        <f>VeriGiris!U186</f>
        <v/>
      </c>
      <c r="V15" s="774" t="n"/>
      <c r="W15" s="662">
        <f>VeriGiris!W186</f>
        <v/>
      </c>
      <c r="X15" s="774" t="n"/>
      <c r="Y15" s="663">
        <f>VeriGiris!Y186</f>
        <v/>
      </c>
      <c r="Z15" s="774" t="n"/>
      <c r="AA15" s="96" t="n"/>
      <c r="AB15" s="96" t="n"/>
    </row>
    <row r="16" hidden="1" ht="15" customHeight="1" s="321">
      <c r="B16" s="664">
        <f>VeriGiris!B187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60">
        <f>VeriGiris!L187</f>
        <v/>
      </c>
      <c r="M16" s="774" t="n"/>
      <c r="N16" s="665">
        <f>VeriGiris!N187</f>
        <v/>
      </c>
      <c r="O16" s="774" t="n"/>
      <c r="P16" s="660">
        <f>VeriGiris!P187</f>
        <v/>
      </c>
      <c r="Q16" s="774" t="n"/>
      <c r="R16" s="660">
        <f>VeriGiris!R187</f>
        <v/>
      </c>
      <c r="S16" s="773" t="n"/>
      <c r="T16" s="774" t="n"/>
      <c r="U16" s="662">
        <f>VeriGiris!U187</f>
        <v/>
      </c>
      <c r="V16" s="774" t="n"/>
      <c r="W16" s="662">
        <f>VeriGiris!W187</f>
        <v/>
      </c>
      <c r="X16" s="774" t="n"/>
      <c r="Y16" s="663">
        <f>VeriGiris!Y187</f>
        <v/>
      </c>
      <c r="Z16" s="774" t="n"/>
      <c r="AA16" s="96" t="n"/>
      <c r="AB16" s="96" t="n"/>
    </row>
    <row r="17" hidden="1" ht="15" customHeight="1" s="321">
      <c r="B17" s="664">
        <f>VeriGiris!B188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660">
        <f>VeriGiris!L188</f>
        <v/>
      </c>
      <c r="M17" s="774" t="n"/>
      <c r="N17" s="665">
        <f>VeriGiris!N188</f>
        <v/>
      </c>
      <c r="O17" s="774" t="n"/>
      <c r="P17" s="660">
        <f>VeriGiris!P188</f>
        <v/>
      </c>
      <c r="Q17" s="774" t="n"/>
      <c r="R17" s="660">
        <f>VeriGiris!R188</f>
        <v/>
      </c>
      <c r="S17" s="773" t="n"/>
      <c r="T17" s="774" t="n"/>
      <c r="U17" s="662">
        <f>VeriGiris!U188</f>
        <v/>
      </c>
      <c r="V17" s="774" t="n"/>
      <c r="W17" s="662">
        <f>VeriGiris!W188</f>
        <v/>
      </c>
      <c r="X17" s="774" t="n"/>
      <c r="Y17" s="663">
        <f>VeriGiris!Y188</f>
        <v/>
      </c>
      <c r="Z17" s="774" t="n"/>
      <c r="AA17" s="96" t="n"/>
      <c r="AB17" s="96" t="n"/>
    </row>
    <row r="18" hidden="1" ht="15" customHeight="1" s="321">
      <c r="B18" s="664">
        <f>VeriGiris!B189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660">
        <f>VeriGiris!L189</f>
        <v/>
      </c>
      <c r="M18" s="774" t="n"/>
      <c r="N18" s="665">
        <f>VeriGiris!N189</f>
        <v/>
      </c>
      <c r="O18" s="774" t="n"/>
      <c r="P18" s="660">
        <f>VeriGiris!P189</f>
        <v/>
      </c>
      <c r="Q18" s="774" t="n"/>
      <c r="R18" s="660">
        <f>VeriGiris!R189</f>
        <v/>
      </c>
      <c r="S18" s="773" t="n"/>
      <c r="T18" s="774" t="n"/>
      <c r="U18" s="662">
        <f>VeriGiris!U189</f>
        <v/>
      </c>
      <c r="V18" s="774" t="n"/>
      <c r="W18" s="662">
        <f>VeriGiris!W189</f>
        <v/>
      </c>
      <c r="X18" s="774" t="n"/>
      <c r="Y18" s="663">
        <f>VeriGiris!Y189</f>
        <v/>
      </c>
      <c r="Z18" s="774" t="n"/>
      <c r="AA18" s="96" t="n"/>
      <c r="AB18" s="96" t="n"/>
    </row>
    <row r="19" hidden="1" ht="15" customHeight="1" s="321">
      <c r="B19" s="664">
        <f>VeriGiris!B190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660">
        <f>VeriGiris!L190</f>
        <v/>
      </c>
      <c r="M19" s="774" t="n"/>
      <c r="N19" s="665">
        <f>VeriGiris!N190</f>
        <v/>
      </c>
      <c r="O19" s="774" t="n"/>
      <c r="P19" s="660">
        <f>VeriGiris!P190</f>
        <v/>
      </c>
      <c r="Q19" s="774" t="n"/>
      <c r="R19" s="660">
        <f>VeriGiris!R190</f>
        <v/>
      </c>
      <c r="S19" s="773" t="n"/>
      <c r="T19" s="774" t="n"/>
      <c r="U19" s="662">
        <f>VeriGiris!U190</f>
        <v/>
      </c>
      <c r="V19" s="774" t="n"/>
      <c r="W19" s="662">
        <f>VeriGiris!W190</f>
        <v/>
      </c>
      <c r="X19" s="774" t="n"/>
      <c r="Y19" s="663">
        <f>VeriGiris!Y190</f>
        <v/>
      </c>
      <c r="Z19" s="774" t="n"/>
      <c r="AA19" s="96" t="n"/>
      <c r="AB19" s="96" t="n"/>
    </row>
    <row r="20" hidden="1" ht="15" customHeight="1" s="321">
      <c r="B20" s="664">
        <f>VeriGiris!B191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660">
        <f>VeriGiris!L191</f>
        <v/>
      </c>
      <c r="M20" s="774" t="n"/>
      <c r="N20" s="665">
        <f>VeriGiris!N191</f>
        <v/>
      </c>
      <c r="O20" s="774" t="n"/>
      <c r="P20" s="660">
        <f>VeriGiris!P191</f>
        <v/>
      </c>
      <c r="Q20" s="774" t="n"/>
      <c r="R20" s="660">
        <f>VeriGiris!R191</f>
        <v/>
      </c>
      <c r="S20" s="773" t="n"/>
      <c r="T20" s="774" t="n"/>
      <c r="U20" s="662">
        <f>VeriGiris!U191</f>
        <v/>
      </c>
      <c r="V20" s="774" t="n"/>
      <c r="W20" s="662">
        <f>VeriGiris!W191</f>
        <v/>
      </c>
      <c r="X20" s="774" t="n"/>
      <c r="Y20" s="663">
        <f>VeriGiris!Y191</f>
        <v/>
      </c>
      <c r="Z20" s="774" t="n"/>
      <c r="AA20" s="96" t="n"/>
      <c r="AB20" s="96" t="n"/>
    </row>
    <row r="21" hidden="1" ht="15" customHeight="1" s="321">
      <c r="B21" s="664">
        <f>VeriGiris!B192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660">
        <f>VeriGiris!L192</f>
        <v/>
      </c>
      <c r="M21" s="774" t="n"/>
      <c r="N21" s="665">
        <f>VeriGiris!N192</f>
        <v/>
      </c>
      <c r="O21" s="774" t="n"/>
      <c r="P21" s="660">
        <f>VeriGiris!P192</f>
        <v/>
      </c>
      <c r="Q21" s="774" t="n"/>
      <c r="R21" s="660">
        <f>VeriGiris!R192</f>
        <v/>
      </c>
      <c r="S21" s="773" t="n"/>
      <c r="T21" s="774" t="n"/>
      <c r="U21" s="662">
        <f>VeriGiris!U192</f>
        <v/>
      </c>
      <c r="V21" s="774" t="n"/>
      <c r="W21" s="662">
        <f>VeriGiris!W192</f>
        <v/>
      </c>
      <c r="X21" s="774" t="n"/>
      <c r="Y21" s="663">
        <f>VeriGiris!Y192</f>
        <v/>
      </c>
      <c r="Z21" s="774" t="n"/>
      <c r="AA21" s="96" t="n"/>
      <c r="AB21" s="96" t="n"/>
    </row>
    <row r="22" hidden="1" ht="15" customHeight="1" s="321">
      <c r="B22" s="664">
        <f>VeriGiris!B193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660">
        <f>VeriGiris!L193</f>
        <v/>
      </c>
      <c r="M22" s="774" t="n"/>
      <c r="N22" s="665">
        <f>VeriGiris!N193</f>
        <v/>
      </c>
      <c r="O22" s="774" t="n"/>
      <c r="P22" s="660">
        <f>VeriGiris!P193</f>
        <v/>
      </c>
      <c r="Q22" s="774" t="n"/>
      <c r="R22" s="660">
        <f>VeriGiris!R193</f>
        <v/>
      </c>
      <c r="S22" s="773" t="n"/>
      <c r="T22" s="774" t="n"/>
      <c r="U22" s="662">
        <f>VeriGiris!U193</f>
        <v/>
      </c>
      <c r="V22" s="774" t="n"/>
      <c r="W22" s="662">
        <f>VeriGiris!W193</f>
        <v/>
      </c>
      <c r="X22" s="774" t="n"/>
      <c r="Y22" s="663">
        <f>VeriGiris!Y193</f>
        <v/>
      </c>
      <c r="Z22" s="774" t="n"/>
      <c r="AA22" s="96" t="n"/>
      <c r="AB22" s="96" t="n"/>
    </row>
    <row r="23" hidden="1" ht="15" customHeight="1" s="321">
      <c r="B23" s="664">
        <f>VeriGiris!B194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660">
        <f>VeriGiris!L194</f>
        <v/>
      </c>
      <c r="M23" s="774" t="n"/>
      <c r="N23" s="665">
        <f>VeriGiris!N194</f>
        <v/>
      </c>
      <c r="O23" s="774" t="n"/>
      <c r="P23" s="660">
        <f>VeriGiris!P194</f>
        <v/>
      </c>
      <c r="Q23" s="774" t="n"/>
      <c r="R23" s="660">
        <f>VeriGiris!R194</f>
        <v/>
      </c>
      <c r="S23" s="773" t="n"/>
      <c r="T23" s="774" t="n"/>
      <c r="U23" s="662">
        <f>VeriGiris!U194</f>
        <v/>
      </c>
      <c r="V23" s="774" t="n"/>
      <c r="W23" s="662">
        <f>VeriGiris!W194</f>
        <v/>
      </c>
      <c r="X23" s="774" t="n"/>
      <c r="Y23" s="663">
        <f>VeriGiris!Y194</f>
        <v/>
      </c>
      <c r="Z23" s="774" t="n"/>
      <c r="AA23" s="96" t="n"/>
      <c r="AB23" s="96" t="n"/>
    </row>
    <row r="24" hidden="1" ht="15" customHeight="1" s="321">
      <c r="B24" s="664">
        <f>VeriGiris!B195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660">
        <f>VeriGiris!L195</f>
        <v/>
      </c>
      <c r="M24" s="774" t="n"/>
      <c r="N24" s="665">
        <f>VeriGiris!N195</f>
        <v/>
      </c>
      <c r="O24" s="774" t="n"/>
      <c r="P24" s="660">
        <f>VeriGiris!P195</f>
        <v/>
      </c>
      <c r="Q24" s="774" t="n"/>
      <c r="R24" s="660">
        <f>VeriGiris!R195</f>
        <v/>
      </c>
      <c r="S24" s="773" t="n"/>
      <c r="T24" s="774" t="n"/>
      <c r="U24" s="662">
        <f>VeriGiris!U195</f>
        <v/>
      </c>
      <c r="V24" s="774" t="n"/>
      <c r="W24" s="662">
        <f>VeriGiris!W195</f>
        <v/>
      </c>
      <c r="X24" s="774" t="n"/>
      <c r="Y24" s="663">
        <f>VeriGiris!Y195</f>
        <v/>
      </c>
      <c r="Z24" s="774" t="n"/>
      <c r="AA24" s="96" t="n"/>
      <c r="AB24" s="96" t="n"/>
    </row>
    <row r="25" hidden="1" ht="15" customHeight="1" s="321">
      <c r="B25" s="664">
        <f>VeriGiris!B196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660">
        <f>VeriGiris!L196</f>
        <v/>
      </c>
      <c r="M25" s="774" t="n"/>
      <c r="N25" s="665">
        <f>VeriGiris!N196</f>
        <v/>
      </c>
      <c r="O25" s="774" t="n"/>
      <c r="P25" s="660">
        <f>VeriGiris!P196</f>
        <v/>
      </c>
      <c r="Q25" s="774" t="n"/>
      <c r="R25" s="660">
        <f>VeriGiris!R196</f>
        <v/>
      </c>
      <c r="S25" s="773" t="n"/>
      <c r="T25" s="774" t="n"/>
      <c r="U25" s="662">
        <f>VeriGiris!U196</f>
        <v/>
      </c>
      <c r="V25" s="774" t="n"/>
      <c r="W25" s="662">
        <f>VeriGiris!W196</f>
        <v/>
      </c>
      <c r="X25" s="774" t="n"/>
      <c r="Y25" s="663">
        <f>VeriGiris!Y196</f>
        <v/>
      </c>
      <c r="Z25" s="774" t="n"/>
      <c r="AA25" s="96" t="n"/>
      <c r="AB25" s="96" t="n"/>
    </row>
    <row r="26" hidden="1" ht="15" customHeight="1" s="321">
      <c r="B26" s="664">
        <f>VeriGiris!B197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60">
        <f>VeriGiris!L197</f>
        <v/>
      </c>
      <c r="M26" s="774" t="n"/>
      <c r="N26" s="665">
        <f>VeriGiris!N197</f>
        <v/>
      </c>
      <c r="O26" s="774" t="n"/>
      <c r="P26" s="660">
        <f>VeriGiris!P197</f>
        <v/>
      </c>
      <c r="Q26" s="774" t="n"/>
      <c r="R26" s="660">
        <f>VeriGiris!R197</f>
        <v/>
      </c>
      <c r="S26" s="773" t="n"/>
      <c r="T26" s="774" t="n"/>
      <c r="U26" s="662">
        <f>VeriGiris!U197</f>
        <v/>
      </c>
      <c r="V26" s="774" t="n"/>
      <c r="W26" s="662">
        <f>VeriGiris!W197</f>
        <v/>
      </c>
      <c r="X26" s="774" t="n"/>
      <c r="Y26" s="663">
        <f>VeriGiris!Y197</f>
        <v/>
      </c>
      <c r="Z26" s="774" t="n"/>
      <c r="AA26" s="96" t="n"/>
      <c r="AB26" s="96" t="n"/>
    </row>
    <row r="27" hidden="1" ht="15" customHeight="1" s="321">
      <c r="B27" s="664">
        <f>VeriGiris!B198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660">
        <f>VeriGiris!L198</f>
        <v/>
      </c>
      <c r="M27" s="774" t="n"/>
      <c r="N27" s="665">
        <f>VeriGiris!N198</f>
        <v/>
      </c>
      <c r="O27" s="774" t="n"/>
      <c r="P27" s="660">
        <f>VeriGiris!P198</f>
        <v/>
      </c>
      <c r="Q27" s="774" t="n"/>
      <c r="R27" s="660">
        <f>VeriGiris!R198</f>
        <v/>
      </c>
      <c r="S27" s="773" t="n"/>
      <c r="T27" s="774" t="n"/>
      <c r="U27" s="662">
        <f>VeriGiris!U198</f>
        <v/>
      </c>
      <c r="V27" s="774" t="n"/>
      <c r="W27" s="662">
        <f>VeriGiris!W198</f>
        <v/>
      </c>
      <c r="X27" s="774" t="n"/>
      <c r="Y27" s="663">
        <f>VeriGiris!Y198</f>
        <v/>
      </c>
      <c r="Z27" s="774" t="n"/>
      <c r="AA27" s="96" t="n"/>
      <c r="AB27" s="96" t="n"/>
    </row>
    <row r="28" hidden="1" ht="15" customHeight="1" s="321">
      <c r="B28" s="664">
        <f>VeriGiris!B199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660">
        <f>VeriGiris!L199</f>
        <v/>
      </c>
      <c r="M28" s="774" t="n"/>
      <c r="N28" s="665">
        <f>VeriGiris!N199</f>
        <v/>
      </c>
      <c r="O28" s="774" t="n"/>
      <c r="P28" s="660">
        <f>VeriGiris!P199</f>
        <v/>
      </c>
      <c r="Q28" s="774" t="n"/>
      <c r="R28" s="660">
        <f>VeriGiris!R199</f>
        <v/>
      </c>
      <c r="S28" s="773" t="n"/>
      <c r="T28" s="774" t="n"/>
      <c r="U28" s="662">
        <f>VeriGiris!U199</f>
        <v/>
      </c>
      <c r="V28" s="774" t="n"/>
      <c r="W28" s="662">
        <f>VeriGiris!W199</f>
        <v/>
      </c>
      <c r="X28" s="774" t="n"/>
      <c r="Y28" s="663">
        <f>VeriGiris!Y199</f>
        <v/>
      </c>
      <c r="Z28" s="774" t="n"/>
      <c r="AA28" s="96" t="n"/>
      <c r="AB28" s="96" t="n"/>
    </row>
    <row r="29" hidden="1" ht="15" customHeight="1" s="321">
      <c r="B29" s="664">
        <f>VeriGiris!B200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660">
        <f>VeriGiris!L200</f>
        <v/>
      </c>
      <c r="M29" s="774" t="n"/>
      <c r="N29" s="665">
        <f>VeriGiris!N200</f>
        <v/>
      </c>
      <c r="O29" s="774" t="n"/>
      <c r="P29" s="660">
        <f>VeriGiris!P200</f>
        <v/>
      </c>
      <c r="Q29" s="774" t="n"/>
      <c r="R29" s="660">
        <f>VeriGiris!R200</f>
        <v/>
      </c>
      <c r="S29" s="773" t="n"/>
      <c r="T29" s="774" t="n"/>
      <c r="U29" s="662">
        <f>VeriGiris!U200</f>
        <v/>
      </c>
      <c r="V29" s="774" t="n"/>
      <c r="W29" s="662">
        <f>VeriGiris!W200</f>
        <v/>
      </c>
      <c r="X29" s="774" t="n"/>
      <c r="Y29" s="663">
        <f>VeriGiris!Y200</f>
        <v/>
      </c>
      <c r="Z29" s="774" t="n"/>
      <c r="AA29" s="96" t="n"/>
      <c r="AB29" s="96" t="n"/>
    </row>
    <row r="30" hidden="1" ht="15" customHeight="1" s="321">
      <c r="B30" s="664">
        <f>VeriGiris!B201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660">
        <f>VeriGiris!L201</f>
        <v/>
      </c>
      <c r="M30" s="774" t="n"/>
      <c r="N30" s="665">
        <f>VeriGiris!N201</f>
        <v/>
      </c>
      <c r="O30" s="774" t="n"/>
      <c r="P30" s="660">
        <f>VeriGiris!P201</f>
        <v/>
      </c>
      <c r="Q30" s="774" t="n"/>
      <c r="R30" s="660">
        <f>VeriGiris!R201</f>
        <v/>
      </c>
      <c r="S30" s="773" t="n"/>
      <c r="T30" s="774" t="n"/>
      <c r="U30" s="662">
        <f>VeriGiris!U201</f>
        <v/>
      </c>
      <c r="V30" s="774" t="n"/>
      <c r="W30" s="662">
        <f>VeriGiris!W201</f>
        <v/>
      </c>
      <c r="X30" s="774" t="n"/>
      <c r="Y30" s="663">
        <f>VeriGiris!Y201</f>
        <v/>
      </c>
      <c r="Z30" s="774" t="n"/>
      <c r="AA30" s="96" t="n"/>
      <c r="AB30" s="96" t="n"/>
    </row>
    <row r="31" hidden="1" ht="15" customHeight="1" s="321">
      <c r="B31" s="664">
        <f>VeriGiris!B202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660">
        <f>VeriGiris!L202</f>
        <v/>
      </c>
      <c r="M31" s="774" t="n"/>
      <c r="N31" s="665">
        <f>VeriGiris!N202</f>
        <v/>
      </c>
      <c r="O31" s="774" t="n"/>
      <c r="P31" s="660">
        <f>VeriGiris!P202</f>
        <v/>
      </c>
      <c r="Q31" s="774" t="n"/>
      <c r="R31" s="660">
        <f>VeriGiris!R202</f>
        <v/>
      </c>
      <c r="S31" s="773" t="n"/>
      <c r="T31" s="774" t="n"/>
      <c r="U31" s="662">
        <f>VeriGiris!U202</f>
        <v/>
      </c>
      <c r="V31" s="774" t="n"/>
      <c r="W31" s="662">
        <f>VeriGiris!W202</f>
        <v/>
      </c>
      <c r="X31" s="774" t="n"/>
      <c r="Y31" s="663">
        <f>VeriGiris!Y202</f>
        <v/>
      </c>
      <c r="Z31" s="774" t="n"/>
      <c r="AA31" s="96" t="n"/>
      <c r="AB31" s="96" t="n"/>
    </row>
    <row r="32" hidden="1" ht="15" customHeight="1" s="321">
      <c r="B32" s="664">
        <f>VeriGiris!B203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660">
        <f>VeriGiris!L203</f>
        <v/>
      </c>
      <c r="M32" s="774" t="n"/>
      <c r="N32" s="665">
        <f>VeriGiris!N203</f>
        <v/>
      </c>
      <c r="O32" s="774" t="n"/>
      <c r="P32" s="660">
        <f>VeriGiris!P203</f>
        <v/>
      </c>
      <c r="Q32" s="774" t="n"/>
      <c r="R32" s="660">
        <f>VeriGiris!R203</f>
        <v/>
      </c>
      <c r="S32" s="773" t="n"/>
      <c r="T32" s="774" t="n"/>
      <c r="U32" s="662">
        <f>VeriGiris!U203</f>
        <v/>
      </c>
      <c r="V32" s="774" t="n"/>
      <c r="W32" s="662">
        <f>VeriGiris!W203</f>
        <v/>
      </c>
      <c r="X32" s="774" t="n"/>
      <c r="Y32" s="663">
        <f>VeriGiris!Y203</f>
        <v/>
      </c>
      <c r="Z32" s="774" t="n"/>
      <c r="AA32" s="96" t="n"/>
      <c r="AB32" s="96" t="n"/>
    </row>
    <row r="33" hidden="1" ht="15" customHeight="1" s="321">
      <c r="B33" s="664">
        <f>VeriGiris!B204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660">
        <f>VeriGiris!L204</f>
        <v/>
      </c>
      <c r="M33" s="774" t="n"/>
      <c r="N33" s="665">
        <f>VeriGiris!N204</f>
        <v/>
      </c>
      <c r="O33" s="774" t="n"/>
      <c r="P33" s="660">
        <f>VeriGiris!P204</f>
        <v/>
      </c>
      <c r="Q33" s="774" t="n"/>
      <c r="R33" s="660">
        <f>VeriGiris!R204</f>
        <v/>
      </c>
      <c r="S33" s="773" t="n"/>
      <c r="T33" s="774" t="n"/>
      <c r="U33" s="662">
        <f>VeriGiris!U204</f>
        <v/>
      </c>
      <c r="V33" s="774" t="n"/>
      <c r="W33" s="662">
        <f>VeriGiris!W204</f>
        <v/>
      </c>
      <c r="X33" s="774" t="n"/>
      <c r="Y33" s="663">
        <f>VeriGiris!Y204</f>
        <v/>
      </c>
      <c r="Z33" s="774" t="n"/>
      <c r="AA33" s="96" t="n"/>
      <c r="AB33" s="96" t="n"/>
    </row>
    <row r="34" hidden="1" ht="15" customHeight="1" s="321">
      <c r="B34" s="664">
        <f>VeriGiris!B205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660">
        <f>VeriGiris!L205</f>
        <v/>
      </c>
      <c r="M34" s="774" t="n"/>
      <c r="N34" s="665">
        <f>VeriGiris!N205</f>
        <v/>
      </c>
      <c r="O34" s="774" t="n"/>
      <c r="P34" s="660">
        <f>VeriGiris!P205</f>
        <v/>
      </c>
      <c r="Q34" s="774" t="n"/>
      <c r="R34" s="660">
        <f>VeriGiris!R205</f>
        <v/>
      </c>
      <c r="S34" s="773" t="n"/>
      <c r="T34" s="774" t="n"/>
      <c r="U34" s="662">
        <f>VeriGiris!U205</f>
        <v/>
      </c>
      <c r="V34" s="774" t="n"/>
      <c r="W34" s="662">
        <f>VeriGiris!W205</f>
        <v/>
      </c>
      <c r="X34" s="774" t="n"/>
      <c r="Y34" s="663">
        <f>VeriGiris!Y205</f>
        <v/>
      </c>
      <c r="Z34" s="774" t="n"/>
      <c r="AA34" s="96" t="n"/>
      <c r="AB34" s="96" t="n"/>
    </row>
    <row r="35" hidden="1" ht="15" customHeight="1" s="321">
      <c r="B35" s="664">
        <f>VeriGiris!B206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3" t="n"/>
      <c r="K35" s="774" t="n"/>
      <c r="L35" s="660">
        <f>VeriGiris!L206</f>
        <v/>
      </c>
      <c r="M35" s="774" t="n"/>
      <c r="N35" s="665">
        <f>VeriGiris!N206</f>
        <v/>
      </c>
      <c r="O35" s="774" t="n"/>
      <c r="P35" s="660">
        <f>VeriGiris!P206</f>
        <v/>
      </c>
      <c r="Q35" s="774" t="n"/>
      <c r="R35" s="660">
        <f>VeriGiris!R206</f>
        <v/>
      </c>
      <c r="S35" s="773" t="n"/>
      <c r="T35" s="774" t="n"/>
      <c r="U35" s="662">
        <f>VeriGiris!U206</f>
        <v/>
      </c>
      <c r="V35" s="774" t="n"/>
      <c r="W35" s="662">
        <f>VeriGiris!W206</f>
        <v/>
      </c>
      <c r="X35" s="774" t="n"/>
      <c r="Y35" s="663">
        <f>VeriGiris!Y206</f>
        <v/>
      </c>
      <c r="Z35" s="774" t="n"/>
      <c r="AA35" s="96" t="n"/>
      <c r="AB35" s="96" t="n"/>
    </row>
    <row r="36" hidden="1" ht="15" customHeight="1" s="321">
      <c r="B36" s="664">
        <f>VeriGiris!B207</f>
        <v/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660">
        <f>VeriGiris!L207</f>
        <v/>
      </c>
      <c r="M36" s="774" t="n"/>
      <c r="N36" s="665">
        <f>VeriGiris!N207</f>
        <v/>
      </c>
      <c r="O36" s="774" t="n"/>
      <c r="P36" s="660">
        <f>VeriGiris!P207</f>
        <v/>
      </c>
      <c r="Q36" s="774" t="n"/>
      <c r="R36" s="660">
        <f>VeriGiris!R207</f>
        <v/>
      </c>
      <c r="S36" s="773" t="n"/>
      <c r="T36" s="774" t="n"/>
      <c r="U36" s="662">
        <f>VeriGiris!U207</f>
        <v/>
      </c>
      <c r="V36" s="774" t="n"/>
      <c r="W36" s="662">
        <f>VeriGiris!W207</f>
        <v/>
      </c>
      <c r="X36" s="774" t="n"/>
      <c r="Y36" s="663">
        <f>VeriGiris!Y207</f>
        <v/>
      </c>
      <c r="Z36" s="774" t="n"/>
      <c r="AA36" s="96" t="n"/>
      <c r="AB36" s="96" t="n"/>
    </row>
    <row r="37" hidden="1" ht="15" customHeight="1" s="321">
      <c r="B37" s="664">
        <f>VeriGiris!B208</f>
        <v/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660">
        <f>VeriGiris!L208</f>
        <v/>
      </c>
      <c r="M37" s="774" t="n"/>
      <c r="N37" s="665">
        <f>VeriGiris!N208</f>
        <v/>
      </c>
      <c r="O37" s="774" t="n"/>
      <c r="P37" s="660">
        <f>VeriGiris!P208</f>
        <v/>
      </c>
      <c r="Q37" s="774" t="n"/>
      <c r="R37" s="660">
        <f>VeriGiris!R208</f>
        <v/>
      </c>
      <c r="S37" s="773" t="n"/>
      <c r="T37" s="774" t="n"/>
      <c r="U37" s="662">
        <f>VeriGiris!U208</f>
        <v/>
      </c>
      <c r="V37" s="774" t="n"/>
      <c r="W37" s="662">
        <f>VeriGiris!W208</f>
        <v/>
      </c>
      <c r="X37" s="774" t="n"/>
      <c r="Y37" s="663">
        <f>VeriGiris!Y208</f>
        <v/>
      </c>
      <c r="Z37" s="774" t="n"/>
      <c r="AA37" s="96" t="n"/>
      <c r="AB37" s="96" t="n"/>
    </row>
    <row r="38" hidden="1" ht="15" customHeight="1" s="321">
      <c r="B38" s="664">
        <f>VeriGiris!B209</f>
        <v/>
      </c>
      <c r="C38" s="773" t="n"/>
      <c r="D38" s="773" t="n"/>
      <c r="E38" s="773" t="n"/>
      <c r="F38" s="773" t="n"/>
      <c r="G38" s="773" t="n"/>
      <c r="H38" s="773" t="n"/>
      <c r="I38" s="773" t="n"/>
      <c r="J38" s="773" t="n"/>
      <c r="K38" s="774" t="n"/>
      <c r="L38" s="660">
        <f>VeriGiris!L209</f>
        <v/>
      </c>
      <c r="M38" s="774" t="n"/>
      <c r="N38" s="665">
        <f>VeriGiris!N209</f>
        <v/>
      </c>
      <c r="O38" s="774" t="n"/>
      <c r="P38" s="660">
        <f>VeriGiris!P209</f>
        <v/>
      </c>
      <c r="Q38" s="774" t="n"/>
      <c r="R38" s="660">
        <f>VeriGiris!R209</f>
        <v/>
      </c>
      <c r="S38" s="773" t="n"/>
      <c r="T38" s="774" t="n"/>
      <c r="U38" s="662">
        <f>VeriGiris!U209</f>
        <v/>
      </c>
      <c r="V38" s="774" t="n"/>
      <c r="W38" s="662">
        <f>VeriGiris!W209</f>
        <v/>
      </c>
      <c r="X38" s="774" t="n"/>
      <c r="Y38" s="663">
        <f>VeriGiris!Y209</f>
        <v/>
      </c>
      <c r="Z38" s="774" t="n"/>
      <c r="AA38" s="96" t="n"/>
      <c r="AB38" s="96" t="n"/>
    </row>
    <row r="39" hidden="1" ht="15" customHeight="1" s="321">
      <c r="B39" s="664">
        <f>VeriGiris!B210</f>
        <v/>
      </c>
      <c r="C39" s="773" t="n"/>
      <c r="D39" s="773" t="n"/>
      <c r="E39" s="773" t="n"/>
      <c r="F39" s="773" t="n"/>
      <c r="G39" s="773" t="n"/>
      <c r="H39" s="773" t="n"/>
      <c r="I39" s="773" t="n"/>
      <c r="J39" s="773" t="n"/>
      <c r="K39" s="774" t="n"/>
      <c r="L39" s="660">
        <f>VeriGiris!L210</f>
        <v/>
      </c>
      <c r="M39" s="774" t="n"/>
      <c r="N39" s="665">
        <f>VeriGiris!N210</f>
        <v/>
      </c>
      <c r="O39" s="774" t="n"/>
      <c r="P39" s="660">
        <f>VeriGiris!P210</f>
        <v/>
      </c>
      <c r="Q39" s="774" t="n"/>
      <c r="R39" s="660">
        <f>VeriGiris!R210</f>
        <v/>
      </c>
      <c r="S39" s="773" t="n"/>
      <c r="T39" s="774" t="n"/>
      <c r="U39" s="662">
        <f>VeriGiris!U210</f>
        <v/>
      </c>
      <c r="V39" s="774" t="n"/>
      <c r="W39" s="662">
        <f>VeriGiris!W210</f>
        <v/>
      </c>
      <c r="X39" s="774" t="n"/>
      <c r="Y39" s="663">
        <f>VeriGiris!Y210</f>
        <v/>
      </c>
      <c r="Z39" s="774" t="n"/>
      <c r="AA39" s="96" t="n"/>
      <c r="AB39" s="96" t="n"/>
    </row>
    <row r="40" hidden="1" ht="15" customHeight="1" s="321">
      <c r="B40" s="664">
        <f>VeriGiris!B211</f>
        <v/>
      </c>
      <c r="C40" s="773" t="n"/>
      <c r="D40" s="773" t="n"/>
      <c r="E40" s="773" t="n"/>
      <c r="F40" s="773" t="n"/>
      <c r="G40" s="773" t="n"/>
      <c r="H40" s="773" t="n"/>
      <c r="I40" s="773" t="n"/>
      <c r="J40" s="773" t="n"/>
      <c r="K40" s="774" t="n"/>
      <c r="L40" s="660">
        <f>VeriGiris!L211</f>
        <v/>
      </c>
      <c r="M40" s="774" t="n"/>
      <c r="N40" s="665">
        <f>VeriGiris!N211</f>
        <v/>
      </c>
      <c r="O40" s="774" t="n"/>
      <c r="P40" s="660">
        <f>VeriGiris!P211</f>
        <v/>
      </c>
      <c r="Q40" s="774" t="n"/>
      <c r="R40" s="660">
        <f>VeriGiris!R211</f>
        <v/>
      </c>
      <c r="S40" s="773" t="n"/>
      <c r="T40" s="774" t="n"/>
      <c r="U40" s="662">
        <f>VeriGiris!U211</f>
        <v/>
      </c>
      <c r="V40" s="774" t="n"/>
      <c r="W40" s="662">
        <f>VeriGiris!W211</f>
        <v/>
      </c>
      <c r="X40" s="774" t="n"/>
      <c r="Y40" s="663">
        <f>VeriGiris!Y211</f>
        <v/>
      </c>
      <c r="Z40" s="774" t="n"/>
      <c r="AA40" s="96" t="n"/>
      <c r="AB40" s="96" t="n"/>
    </row>
    <row r="41" hidden="1" ht="15" customHeight="1" s="321">
      <c r="B41" s="664">
        <f>VeriGiris!B212</f>
        <v/>
      </c>
      <c r="C41" s="773" t="n"/>
      <c r="D41" s="773" t="n"/>
      <c r="E41" s="773" t="n"/>
      <c r="F41" s="773" t="n"/>
      <c r="G41" s="773" t="n"/>
      <c r="H41" s="773" t="n"/>
      <c r="I41" s="773" t="n"/>
      <c r="J41" s="773" t="n"/>
      <c r="K41" s="774" t="n"/>
      <c r="L41" s="660">
        <f>VeriGiris!L212</f>
        <v/>
      </c>
      <c r="M41" s="774" t="n"/>
      <c r="N41" s="665">
        <f>VeriGiris!N212</f>
        <v/>
      </c>
      <c r="O41" s="774" t="n"/>
      <c r="P41" s="660">
        <f>VeriGiris!P212</f>
        <v/>
      </c>
      <c r="Q41" s="774" t="n"/>
      <c r="R41" s="660">
        <f>VeriGiris!R212</f>
        <v/>
      </c>
      <c r="S41" s="773" t="n"/>
      <c r="T41" s="774" t="n"/>
      <c r="U41" s="662">
        <f>VeriGiris!U212</f>
        <v/>
      </c>
      <c r="V41" s="774" t="n"/>
      <c r="W41" s="662">
        <f>VeriGiris!W212</f>
        <v/>
      </c>
      <c r="X41" s="774" t="n"/>
      <c r="Y41" s="663">
        <f>VeriGiris!Y212</f>
        <v/>
      </c>
      <c r="Z41" s="774" t="n"/>
      <c r="AA41" s="96" t="n"/>
      <c r="AB41" s="96" t="n"/>
    </row>
    <row r="42" hidden="1" ht="15" customHeight="1" s="321">
      <c r="B42" s="664">
        <f>VeriGiris!B213</f>
        <v/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4" t="n"/>
      <c r="L42" s="660">
        <f>VeriGiris!L213</f>
        <v/>
      </c>
      <c r="M42" s="774" t="n"/>
      <c r="N42" s="665">
        <f>VeriGiris!N213</f>
        <v/>
      </c>
      <c r="O42" s="774" t="n"/>
      <c r="P42" s="660">
        <f>VeriGiris!P213</f>
        <v/>
      </c>
      <c r="Q42" s="774" t="n"/>
      <c r="R42" s="660">
        <f>VeriGiris!R213</f>
        <v/>
      </c>
      <c r="S42" s="773" t="n"/>
      <c r="T42" s="774" t="n"/>
      <c r="U42" s="662">
        <f>VeriGiris!U213</f>
        <v/>
      </c>
      <c r="V42" s="774" t="n"/>
      <c r="W42" s="662">
        <f>VeriGiris!W213</f>
        <v/>
      </c>
      <c r="X42" s="774" t="n"/>
      <c r="Y42" s="663">
        <f>VeriGiris!Y213</f>
        <v/>
      </c>
      <c r="Z42" s="774" t="n"/>
      <c r="AA42" s="96" t="n"/>
      <c r="AB42" s="96" t="n"/>
    </row>
    <row r="43" hidden="1" ht="15" customHeight="1" s="321">
      <c r="B43" s="664">
        <f>VeriGiris!B214</f>
        <v/>
      </c>
      <c r="C43" s="773" t="n"/>
      <c r="D43" s="773" t="n"/>
      <c r="E43" s="773" t="n"/>
      <c r="F43" s="773" t="n"/>
      <c r="G43" s="773" t="n"/>
      <c r="H43" s="773" t="n"/>
      <c r="I43" s="773" t="n"/>
      <c r="J43" s="773" t="n"/>
      <c r="K43" s="774" t="n"/>
      <c r="L43" s="660">
        <f>VeriGiris!L214</f>
        <v/>
      </c>
      <c r="M43" s="774" t="n"/>
      <c r="N43" s="665">
        <f>VeriGiris!N214</f>
        <v/>
      </c>
      <c r="O43" s="774" t="n"/>
      <c r="P43" s="660">
        <f>VeriGiris!P214</f>
        <v/>
      </c>
      <c r="Q43" s="774" t="n"/>
      <c r="R43" s="660">
        <f>VeriGiris!R214</f>
        <v/>
      </c>
      <c r="S43" s="773" t="n"/>
      <c r="T43" s="774" t="n"/>
      <c r="U43" s="662">
        <f>VeriGiris!U214</f>
        <v/>
      </c>
      <c r="V43" s="774" t="n"/>
      <c r="W43" s="662">
        <f>VeriGiris!W214</f>
        <v/>
      </c>
      <c r="X43" s="774" t="n"/>
      <c r="Y43" s="663">
        <f>VeriGiris!Y214</f>
        <v/>
      </c>
      <c r="Z43" s="774" t="n"/>
      <c r="AA43" s="96" t="n"/>
      <c r="AB43" s="96" t="n"/>
    </row>
    <row r="44" hidden="1" ht="15" customHeight="1" s="321">
      <c r="B44" s="664">
        <f>VeriGiris!B215</f>
        <v/>
      </c>
      <c r="C44" s="773" t="n"/>
      <c r="D44" s="773" t="n"/>
      <c r="E44" s="773" t="n"/>
      <c r="F44" s="773" t="n"/>
      <c r="G44" s="773" t="n"/>
      <c r="H44" s="773" t="n"/>
      <c r="I44" s="773" t="n"/>
      <c r="J44" s="773" t="n"/>
      <c r="K44" s="774" t="n"/>
      <c r="L44" s="660">
        <f>VeriGiris!L215</f>
        <v/>
      </c>
      <c r="M44" s="774" t="n"/>
      <c r="N44" s="665">
        <f>VeriGiris!N215</f>
        <v/>
      </c>
      <c r="O44" s="774" t="n"/>
      <c r="P44" s="660">
        <f>VeriGiris!P215</f>
        <v/>
      </c>
      <c r="Q44" s="774" t="n"/>
      <c r="R44" s="660">
        <f>VeriGiris!R215</f>
        <v/>
      </c>
      <c r="S44" s="773" t="n"/>
      <c r="T44" s="774" t="n"/>
      <c r="U44" s="662">
        <f>VeriGiris!U215</f>
        <v/>
      </c>
      <c r="V44" s="774" t="n"/>
      <c r="W44" s="662">
        <f>VeriGiris!W215</f>
        <v/>
      </c>
      <c r="X44" s="774" t="n"/>
      <c r="Y44" s="663">
        <f>VeriGiris!Y215</f>
        <v/>
      </c>
      <c r="Z44" s="774" t="n"/>
      <c r="AA44" s="96" t="n"/>
      <c r="AB44" s="96" t="n"/>
    </row>
    <row r="45" hidden="1" ht="15" customHeight="1" s="321">
      <c r="B45" s="664">
        <f>VeriGiris!B216</f>
        <v/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4" t="n"/>
      <c r="L45" s="660">
        <f>VeriGiris!L216</f>
        <v/>
      </c>
      <c r="M45" s="774" t="n"/>
      <c r="N45" s="665">
        <f>VeriGiris!N216</f>
        <v/>
      </c>
      <c r="O45" s="774" t="n"/>
      <c r="P45" s="660">
        <f>VeriGiris!P216</f>
        <v/>
      </c>
      <c r="Q45" s="774" t="n"/>
      <c r="R45" s="660">
        <f>VeriGiris!R216</f>
        <v/>
      </c>
      <c r="S45" s="773" t="n"/>
      <c r="T45" s="774" t="n"/>
      <c r="U45" s="662">
        <f>VeriGiris!U216</f>
        <v/>
      </c>
      <c r="V45" s="774" t="n"/>
      <c r="W45" s="662">
        <f>VeriGiris!W216</f>
        <v/>
      </c>
      <c r="X45" s="774" t="n"/>
      <c r="Y45" s="663">
        <f>VeriGiris!Y216</f>
        <v/>
      </c>
      <c r="Z45" s="774" t="n"/>
      <c r="AA45" s="96" t="n"/>
      <c r="AB45" s="96" t="n"/>
    </row>
    <row r="46" hidden="1" ht="15" customHeight="1" s="321">
      <c r="B46" s="664">
        <f>VeriGiris!B217</f>
        <v/>
      </c>
      <c r="C46" s="773" t="n"/>
      <c r="D46" s="773" t="n"/>
      <c r="E46" s="773" t="n"/>
      <c r="F46" s="773" t="n"/>
      <c r="G46" s="773" t="n"/>
      <c r="H46" s="773" t="n"/>
      <c r="I46" s="773" t="n"/>
      <c r="J46" s="773" t="n"/>
      <c r="K46" s="774" t="n"/>
      <c r="L46" s="660">
        <f>VeriGiris!L217</f>
        <v/>
      </c>
      <c r="M46" s="774" t="n"/>
      <c r="N46" s="665">
        <f>VeriGiris!N217</f>
        <v/>
      </c>
      <c r="O46" s="774" t="n"/>
      <c r="P46" s="660">
        <f>VeriGiris!P217</f>
        <v/>
      </c>
      <c r="Q46" s="774" t="n"/>
      <c r="R46" s="660">
        <f>VeriGiris!R217</f>
        <v/>
      </c>
      <c r="S46" s="773" t="n"/>
      <c r="T46" s="774" t="n"/>
      <c r="U46" s="662">
        <f>VeriGiris!U217</f>
        <v/>
      </c>
      <c r="V46" s="774" t="n"/>
      <c r="W46" s="662">
        <f>VeriGiris!W217</f>
        <v/>
      </c>
      <c r="X46" s="774" t="n"/>
      <c r="Y46" s="663">
        <f>VeriGiris!Y217</f>
        <v/>
      </c>
      <c r="Z46" s="774" t="n"/>
      <c r="AA46" s="96" t="n"/>
      <c r="AB46" s="96" t="n"/>
    </row>
    <row r="47" hidden="1" ht="15" customHeight="1" s="321">
      <c r="B47" s="664">
        <f>VeriGiris!B218</f>
        <v/>
      </c>
      <c r="C47" s="773" t="n"/>
      <c r="D47" s="773" t="n"/>
      <c r="E47" s="773" t="n"/>
      <c r="F47" s="773" t="n"/>
      <c r="G47" s="773" t="n"/>
      <c r="H47" s="773" t="n"/>
      <c r="I47" s="773" t="n"/>
      <c r="J47" s="773" t="n"/>
      <c r="K47" s="774" t="n"/>
      <c r="L47" s="660">
        <f>VeriGiris!L218</f>
        <v/>
      </c>
      <c r="M47" s="774" t="n"/>
      <c r="N47" s="665">
        <f>VeriGiris!N218</f>
        <v/>
      </c>
      <c r="O47" s="774" t="n"/>
      <c r="P47" s="660">
        <f>VeriGiris!P218</f>
        <v/>
      </c>
      <c r="Q47" s="774" t="n"/>
      <c r="R47" s="660">
        <f>VeriGiris!R218</f>
        <v/>
      </c>
      <c r="S47" s="773" t="n"/>
      <c r="T47" s="774" t="n"/>
      <c r="U47" s="662">
        <f>VeriGiris!U218</f>
        <v/>
      </c>
      <c r="V47" s="774" t="n"/>
      <c r="W47" s="662">
        <f>VeriGiris!W218</f>
        <v/>
      </c>
      <c r="X47" s="774" t="n"/>
      <c r="Y47" s="663">
        <f>VeriGiris!Y218</f>
        <v/>
      </c>
      <c r="Z47" s="774" t="n"/>
      <c r="AA47" s="96" t="n"/>
      <c r="AB47" s="96" t="n"/>
    </row>
    <row r="48" hidden="1" ht="15" customHeight="1" s="321">
      <c r="B48" s="664">
        <f>VeriGiris!B219</f>
        <v/>
      </c>
      <c r="C48" s="773" t="n"/>
      <c r="D48" s="773" t="n"/>
      <c r="E48" s="773" t="n"/>
      <c r="F48" s="773" t="n"/>
      <c r="G48" s="773" t="n"/>
      <c r="H48" s="773" t="n"/>
      <c r="I48" s="773" t="n"/>
      <c r="J48" s="773" t="n"/>
      <c r="K48" s="774" t="n"/>
      <c r="L48" s="660">
        <f>VeriGiris!L219</f>
        <v/>
      </c>
      <c r="M48" s="774" t="n"/>
      <c r="N48" s="665">
        <f>VeriGiris!N219</f>
        <v/>
      </c>
      <c r="O48" s="774" t="n"/>
      <c r="P48" s="660">
        <f>VeriGiris!P219</f>
        <v/>
      </c>
      <c r="Q48" s="774" t="n"/>
      <c r="R48" s="660">
        <f>VeriGiris!R219</f>
        <v/>
      </c>
      <c r="S48" s="773" t="n"/>
      <c r="T48" s="774" t="n"/>
      <c r="U48" s="662">
        <f>VeriGiris!U219</f>
        <v/>
      </c>
      <c r="V48" s="774" t="n"/>
      <c r="W48" s="662">
        <f>VeriGiris!W219</f>
        <v/>
      </c>
      <c r="X48" s="774" t="n"/>
      <c r="Y48" s="663">
        <f>VeriGiris!Y219</f>
        <v/>
      </c>
      <c r="Z48" s="774" t="n"/>
      <c r="AA48" s="96" t="n"/>
      <c r="AB48" s="96" t="n"/>
    </row>
    <row r="49" hidden="1" ht="15" customHeight="1" s="321">
      <c r="B49" s="664">
        <f>VeriGiris!B220</f>
        <v/>
      </c>
      <c r="C49" s="773" t="n"/>
      <c r="D49" s="773" t="n"/>
      <c r="E49" s="773" t="n"/>
      <c r="F49" s="773" t="n"/>
      <c r="G49" s="773" t="n"/>
      <c r="H49" s="773" t="n"/>
      <c r="I49" s="773" t="n"/>
      <c r="J49" s="773" t="n"/>
      <c r="K49" s="774" t="n"/>
      <c r="L49" s="660">
        <f>VeriGiris!L220</f>
        <v/>
      </c>
      <c r="M49" s="774" t="n"/>
      <c r="N49" s="665">
        <f>VeriGiris!N220</f>
        <v/>
      </c>
      <c r="O49" s="774" t="n"/>
      <c r="P49" s="660">
        <f>VeriGiris!P220</f>
        <v/>
      </c>
      <c r="Q49" s="774" t="n"/>
      <c r="R49" s="660">
        <f>VeriGiris!R220</f>
        <v/>
      </c>
      <c r="S49" s="773" t="n"/>
      <c r="T49" s="774" t="n"/>
      <c r="U49" s="662">
        <f>VeriGiris!U220</f>
        <v/>
      </c>
      <c r="V49" s="774" t="n"/>
      <c r="W49" s="662">
        <f>VeriGiris!W220</f>
        <v/>
      </c>
      <c r="X49" s="774" t="n"/>
      <c r="Y49" s="663">
        <f>VeriGiris!Y220</f>
        <v/>
      </c>
      <c r="Z49" s="774" t="n"/>
      <c r="AA49" s="96" t="n"/>
      <c r="AB49" s="96" t="n"/>
    </row>
    <row r="50" hidden="1" ht="15" customHeight="1" s="321">
      <c r="B50" s="664">
        <f>VeriGiris!B221</f>
        <v/>
      </c>
      <c r="C50" s="773" t="n"/>
      <c r="D50" s="773" t="n"/>
      <c r="E50" s="773" t="n"/>
      <c r="F50" s="773" t="n"/>
      <c r="G50" s="773" t="n"/>
      <c r="H50" s="773" t="n"/>
      <c r="I50" s="773" t="n"/>
      <c r="J50" s="773" t="n"/>
      <c r="K50" s="774" t="n"/>
      <c r="L50" s="660">
        <f>VeriGiris!L221</f>
        <v/>
      </c>
      <c r="M50" s="774" t="n"/>
      <c r="N50" s="665">
        <f>VeriGiris!N221</f>
        <v/>
      </c>
      <c r="O50" s="774" t="n"/>
      <c r="P50" s="660">
        <f>VeriGiris!P221</f>
        <v/>
      </c>
      <c r="Q50" s="774" t="n"/>
      <c r="R50" s="660">
        <f>VeriGiris!R221</f>
        <v/>
      </c>
      <c r="S50" s="773" t="n"/>
      <c r="T50" s="774" t="n"/>
      <c r="U50" s="662">
        <f>VeriGiris!U221</f>
        <v/>
      </c>
      <c r="V50" s="774" t="n"/>
      <c r="W50" s="662">
        <f>VeriGiris!W221</f>
        <v/>
      </c>
      <c r="X50" s="774" t="n"/>
      <c r="Y50" s="663">
        <f>VeriGiris!Y221</f>
        <v/>
      </c>
      <c r="Z50" s="774" t="n"/>
      <c r="AA50" s="96" t="n"/>
      <c r="AB50" s="96" t="n"/>
    </row>
    <row r="51" hidden="1" ht="15" customHeight="1" s="321">
      <c r="B51" s="664">
        <f>VeriGiris!B222</f>
        <v/>
      </c>
      <c r="C51" s="773" t="n"/>
      <c r="D51" s="773" t="n"/>
      <c r="E51" s="773" t="n"/>
      <c r="F51" s="773" t="n"/>
      <c r="G51" s="773" t="n"/>
      <c r="H51" s="773" t="n"/>
      <c r="I51" s="773" t="n"/>
      <c r="J51" s="773" t="n"/>
      <c r="K51" s="774" t="n"/>
      <c r="L51" s="660">
        <f>VeriGiris!L222</f>
        <v/>
      </c>
      <c r="M51" s="774" t="n"/>
      <c r="N51" s="665">
        <f>VeriGiris!N222</f>
        <v/>
      </c>
      <c r="O51" s="774" t="n"/>
      <c r="P51" s="660">
        <f>VeriGiris!P222</f>
        <v/>
      </c>
      <c r="Q51" s="774" t="n"/>
      <c r="R51" s="660">
        <f>VeriGiris!R222</f>
        <v/>
      </c>
      <c r="S51" s="773" t="n"/>
      <c r="T51" s="774" t="n"/>
      <c r="U51" s="662">
        <f>VeriGiris!U222</f>
        <v/>
      </c>
      <c r="V51" s="774" t="n"/>
      <c r="W51" s="662">
        <f>VeriGiris!W222</f>
        <v/>
      </c>
      <c r="X51" s="774" t="n"/>
      <c r="Y51" s="663">
        <f>VeriGiris!Y222</f>
        <v/>
      </c>
      <c r="Z51" s="774" t="n"/>
      <c r="AA51" s="96" t="n"/>
      <c r="AB51" s="96" t="n"/>
    </row>
    <row r="52" hidden="1" ht="15" customHeight="1" s="321">
      <c r="B52" s="664">
        <f>VeriGiris!B223</f>
        <v/>
      </c>
      <c r="C52" s="773" t="n"/>
      <c r="D52" s="773" t="n"/>
      <c r="E52" s="773" t="n"/>
      <c r="F52" s="773" t="n"/>
      <c r="G52" s="773" t="n"/>
      <c r="H52" s="773" t="n"/>
      <c r="I52" s="773" t="n"/>
      <c r="J52" s="773" t="n"/>
      <c r="K52" s="774" t="n"/>
      <c r="L52" s="660">
        <f>VeriGiris!L223</f>
        <v/>
      </c>
      <c r="M52" s="774" t="n"/>
      <c r="N52" s="665">
        <f>VeriGiris!N223</f>
        <v/>
      </c>
      <c r="O52" s="774" t="n"/>
      <c r="P52" s="660">
        <f>VeriGiris!P223</f>
        <v/>
      </c>
      <c r="Q52" s="774" t="n"/>
      <c r="R52" s="660">
        <f>VeriGiris!R223</f>
        <v/>
      </c>
      <c r="S52" s="773" t="n"/>
      <c r="T52" s="774" t="n"/>
      <c r="U52" s="662">
        <f>VeriGiris!U223</f>
        <v/>
      </c>
      <c r="V52" s="774" t="n"/>
      <c r="W52" s="662">
        <f>VeriGiris!W223</f>
        <v/>
      </c>
      <c r="X52" s="774" t="n"/>
      <c r="Y52" s="663">
        <f>VeriGiris!Y223</f>
        <v/>
      </c>
      <c r="Z52" s="774" t="n"/>
      <c r="AA52" s="96" t="n"/>
      <c r="AB52" s="96" t="n"/>
    </row>
    <row r="53" hidden="1" ht="15" customHeight="1" s="321">
      <c r="B53" s="664">
        <f>VeriGiris!B224</f>
        <v/>
      </c>
      <c r="C53" s="773" t="n"/>
      <c r="D53" s="773" t="n"/>
      <c r="E53" s="773" t="n"/>
      <c r="F53" s="773" t="n"/>
      <c r="G53" s="773" t="n"/>
      <c r="H53" s="773" t="n"/>
      <c r="I53" s="773" t="n"/>
      <c r="J53" s="773" t="n"/>
      <c r="K53" s="774" t="n"/>
      <c r="L53" s="660">
        <f>VeriGiris!L224</f>
        <v/>
      </c>
      <c r="M53" s="774" t="n"/>
      <c r="N53" s="665">
        <f>VeriGiris!N224</f>
        <v/>
      </c>
      <c r="O53" s="774" t="n"/>
      <c r="P53" s="660">
        <f>VeriGiris!P224</f>
        <v/>
      </c>
      <c r="Q53" s="774" t="n"/>
      <c r="R53" s="660">
        <f>VeriGiris!R224</f>
        <v/>
      </c>
      <c r="S53" s="773" t="n"/>
      <c r="T53" s="774" t="n"/>
      <c r="U53" s="662">
        <f>VeriGiris!U224</f>
        <v/>
      </c>
      <c r="V53" s="774" t="n"/>
      <c r="W53" s="662">
        <f>VeriGiris!W224</f>
        <v/>
      </c>
      <c r="X53" s="774" t="n"/>
      <c r="Y53" s="663">
        <f>VeriGiris!Y224</f>
        <v/>
      </c>
      <c r="Z53" s="774" t="n"/>
      <c r="AA53" s="96" t="n"/>
      <c r="AB53" s="96" t="n"/>
    </row>
    <row r="54" hidden="1" ht="15" customHeight="1" s="321">
      <c r="B54" s="664">
        <f>VeriGiris!B225</f>
        <v/>
      </c>
      <c r="C54" s="773" t="n"/>
      <c r="D54" s="773" t="n"/>
      <c r="E54" s="773" t="n"/>
      <c r="F54" s="773" t="n"/>
      <c r="G54" s="773" t="n"/>
      <c r="H54" s="773" t="n"/>
      <c r="I54" s="773" t="n"/>
      <c r="J54" s="773" t="n"/>
      <c r="K54" s="774" t="n"/>
      <c r="L54" s="660">
        <f>VeriGiris!L225</f>
        <v/>
      </c>
      <c r="M54" s="774" t="n"/>
      <c r="N54" s="665">
        <f>VeriGiris!N225</f>
        <v/>
      </c>
      <c r="O54" s="774" t="n"/>
      <c r="P54" s="660">
        <f>VeriGiris!P225</f>
        <v/>
      </c>
      <c r="Q54" s="774" t="n"/>
      <c r="R54" s="660">
        <f>VeriGiris!R225</f>
        <v/>
      </c>
      <c r="S54" s="773" t="n"/>
      <c r="T54" s="774" t="n"/>
      <c r="U54" s="662">
        <f>VeriGiris!U225</f>
        <v/>
      </c>
      <c r="V54" s="774" t="n"/>
      <c r="W54" s="662">
        <f>VeriGiris!W225</f>
        <v/>
      </c>
      <c r="X54" s="774" t="n"/>
      <c r="Y54" s="663">
        <f>VeriGiris!Y225</f>
        <v/>
      </c>
      <c r="Z54" s="774" t="n"/>
      <c r="AA54" s="96" t="n"/>
      <c r="AB54" s="96" t="n"/>
    </row>
    <row r="55">
      <c r="B55" s="687">
        <f>VeriGiris!B226</f>
        <v/>
      </c>
      <c r="C55" s="773" t="n"/>
      <c r="D55" s="773" t="n"/>
      <c r="E55" s="773" t="n"/>
      <c r="F55" s="773" t="n"/>
      <c r="G55" s="773" t="n"/>
      <c r="H55" s="773" t="n"/>
      <c r="I55" s="773" t="n"/>
      <c r="J55" s="773" t="n"/>
      <c r="K55" s="774" t="n"/>
      <c r="L55" s="688" t="n"/>
      <c r="M55" s="774" t="n"/>
      <c r="N55" s="689" t="n"/>
      <c r="O55" s="774" t="n"/>
      <c r="P55" s="688" t="n"/>
      <c r="Q55" s="774" t="n"/>
      <c r="R55" s="690">
        <f>VeriGiris!R226</f>
        <v/>
      </c>
      <c r="S55" s="773" t="n"/>
      <c r="T55" s="774" t="n"/>
      <c r="U55" s="691" t="n"/>
      <c r="V55" s="774" t="n"/>
      <c r="W55" s="691" t="n"/>
      <c r="X55" s="774" t="n"/>
      <c r="Y55" s="663">
        <f>VeriGiris!Y226</f>
        <v/>
      </c>
      <c r="Z55" s="774" t="n"/>
      <c r="AA55" s="96" t="n"/>
      <c r="AB55" s="96" t="n"/>
    </row>
    <row r="56">
      <c r="B56" s="664">
        <f>VeriGiris!B227</f>
        <v/>
      </c>
      <c r="C56" s="773" t="n"/>
      <c r="D56" s="773" t="n"/>
      <c r="E56" s="773" t="n"/>
      <c r="F56" s="773" t="n"/>
      <c r="G56" s="773" t="n"/>
      <c r="H56" s="773" t="n"/>
      <c r="I56" s="773" t="n"/>
      <c r="J56" s="773" t="n"/>
      <c r="K56" s="774" t="n"/>
      <c r="L56" s="660">
        <f>VeriGiris!L227</f>
        <v/>
      </c>
      <c r="M56" s="774" t="n"/>
      <c r="N56" s="665">
        <f>VeriGiris!N227</f>
        <v/>
      </c>
      <c r="O56" s="774" t="n"/>
      <c r="P56" s="660">
        <f>VeriGiris!P227</f>
        <v/>
      </c>
      <c r="Q56" s="774" t="n"/>
      <c r="R56" s="660">
        <f>VeriGiris!R227</f>
        <v/>
      </c>
      <c r="S56" s="773" t="n"/>
      <c r="T56" s="774" t="n"/>
      <c r="U56" s="662">
        <f>VeriGiris!U227</f>
        <v/>
      </c>
      <c r="V56" s="774" t="n"/>
      <c r="W56" s="662">
        <f>VeriGiris!W227</f>
        <v/>
      </c>
      <c r="X56" s="774" t="n"/>
      <c r="Y56" s="663">
        <f>VeriGiris!Y227</f>
        <v/>
      </c>
      <c r="Z56" s="774" t="n"/>
      <c r="AA56" s="96" t="n"/>
      <c r="AB56" s="96" t="n"/>
    </row>
    <row r="57" hidden="1" ht="15" customHeight="1" s="321">
      <c r="B57" s="664">
        <f>VeriGiris!B228</f>
        <v/>
      </c>
      <c r="C57" s="773" t="n"/>
      <c r="D57" s="773" t="n"/>
      <c r="E57" s="773" t="n"/>
      <c r="F57" s="773" t="n"/>
      <c r="G57" s="773" t="n"/>
      <c r="H57" s="773" t="n"/>
      <c r="I57" s="773" t="n"/>
      <c r="J57" s="773" t="n"/>
      <c r="K57" s="774" t="n"/>
      <c r="L57" s="660">
        <f>VeriGiris!L228</f>
        <v/>
      </c>
      <c r="M57" s="774" t="n"/>
      <c r="N57" s="665">
        <f>VeriGiris!N228</f>
        <v/>
      </c>
      <c r="O57" s="774" t="n"/>
      <c r="P57" s="660">
        <f>VeriGiris!P228</f>
        <v/>
      </c>
      <c r="Q57" s="774" t="n"/>
      <c r="R57" s="660">
        <f>VeriGiris!R228</f>
        <v/>
      </c>
      <c r="S57" s="773" t="n"/>
      <c r="T57" s="774" t="n"/>
      <c r="U57" s="662">
        <f>VeriGiris!U228</f>
        <v/>
      </c>
      <c r="V57" s="774" t="n"/>
      <c r="W57" s="662">
        <f>VeriGiris!W228</f>
        <v/>
      </c>
      <c r="X57" s="774" t="n"/>
      <c r="Y57" s="663">
        <f>VeriGiris!Y228</f>
        <v/>
      </c>
      <c r="Z57" s="774" t="n"/>
      <c r="AA57" s="96" t="n"/>
      <c r="AB57" s="96" t="n"/>
    </row>
    <row r="58" hidden="1" ht="15" customHeight="1" s="321">
      <c r="B58" s="664">
        <f>VeriGiris!B229</f>
        <v/>
      </c>
      <c r="C58" s="773" t="n"/>
      <c r="D58" s="773" t="n"/>
      <c r="E58" s="773" t="n"/>
      <c r="F58" s="773" t="n"/>
      <c r="G58" s="773" t="n"/>
      <c r="H58" s="773" t="n"/>
      <c r="I58" s="773" t="n"/>
      <c r="J58" s="773" t="n"/>
      <c r="K58" s="774" t="n"/>
      <c r="L58" s="660">
        <f>VeriGiris!L229</f>
        <v/>
      </c>
      <c r="M58" s="774" t="n"/>
      <c r="N58" s="665">
        <f>VeriGiris!N229</f>
        <v/>
      </c>
      <c r="O58" s="774" t="n"/>
      <c r="P58" s="660">
        <f>VeriGiris!P229</f>
        <v/>
      </c>
      <c r="Q58" s="774" t="n"/>
      <c r="R58" s="660">
        <f>VeriGiris!R229</f>
        <v/>
      </c>
      <c r="S58" s="773" t="n"/>
      <c r="T58" s="774" t="n"/>
      <c r="U58" s="662">
        <f>VeriGiris!U229</f>
        <v/>
      </c>
      <c r="V58" s="774" t="n"/>
      <c r="W58" s="662">
        <f>VeriGiris!W229</f>
        <v/>
      </c>
      <c r="X58" s="774" t="n"/>
      <c r="Y58" s="663">
        <f>VeriGiris!Y229</f>
        <v/>
      </c>
      <c r="Z58" s="774" t="n"/>
      <c r="AA58" s="96" t="n"/>
      <c r="AB58" s="96" t="n"/>
    </row>
    <row r="59" hidden="1" ht="15" customHeight="1" s="321">
      <c r="B59" s="664">
        <f>VeriGiris!B230</f>
        <v/>
      </c>
      <c r="C59" s="773" t="n"/>
      <c r="D59" s="773" t="n"/>
      <c r="E59" s="773" t="n"/>
      <c r="F59" s="773" t="n"/>
      <c r="G59" s="773" t="n"/>
      <c r="H59" s="773" t="n"/>
      <c r="I59" s="773" t="n"/>
      <c r="J59" s="773" t="n"/>
      <c r="K59" s="774" t="n"/>
      <c r="L59" s="660">
        <f>VeriGiris!L230</f>
        <v/>
      </c>
      <c r="M59" s="774" t="n"/>
      <c r="N59" s="665">
        <f>VeriGiris!N230</f>
        <v/>
      </c>
      <c r="O59" s="774" t="n"/>
      <c r="P59" s="660">
        <f>VeriGiris!P230</f>
        <v/>
      </c>
      <c r="Q59" s="774" t="n"/>
      <c r="R59" s="660">
        <f>VeriGiris!R230</f>
        <v/>
      </c>
      <c r="S59" s="773" t="n"/>
      <c r="T59" s="774" t="n"/>
      <c r="U59" s="662">
        <f>VeriGiris!U230</f>
        <v/>
      </c>
      <c r="V59" s="774" t="n"/>
      <c r="W59" s="662">
        <f>VeriGiris!W230</f>
        <v/>
      </c>
      <c r="X59" s="774" t="n"/>
      <c r="Y59" s="663">
        <f>VeriGiris!Y230</f>
        <v/>
      </c>
      <c r="Z59" s="774" t="n"/>
      <c r="AA59" s="96" t="n"/>
      <c r="AB59" s="96" t="n"/>
    </row>
    <row r="60" hidden="1" ht="15" customHeight="1" s="321">
      <c r="B60" s="664">
        <f>VeriGiris!B231</f>
        <v/>
      </c>
      <c r="C60" s="773" t="n"/>
      <c r="D60" s="773" t="n"/>
      <c r="E60" s="773" t="n"/>
      <c r="F60" s="773" t="n"/>
      <c r="G60" s="773" t="n"/>
      <c r="H60" s="773" t="n"/>
      <c r="I60" s="773" t="n"/>
      <c r="J60" s="773" t="n"/>
      <c r="K60" s="774" t="n"/>
      <c r="L60" s="660">
        <f>VeriGiris!L231</f>
        <v/>
      </c>
      <c r="M60" s="774" t="n"/>
      <c r="N60" s="665">
        <f>VeriGiris!N231</f>
        <v/>
      </c>
      <c r="O60" s="774" t="n"/>
      <c r="P60" s="660">
        <f>VeriGiris!P231</f>
        <v/>
      </c>
      <c r="Q60" s="774" t="n"/>
      <c r="R60" s="660">
        <f>VeriGiris!R231</f>
        <v/>
      </c>
      <c r="S60" s="773" t="n"/>
      <c r="T60" s="774" t="n"/>
      <c r="U60" s="662">
        <f>VeriGiris!U231</f>
        <v/>
      </c>
      <c r="V60" s="774" t="n"/>
      <c r="W60" s="662">
        <f>VeriGiris!W231</f>
        <v/>
      </c>
      <c r="X60" s="774" t="n"/>
      <c r="Y60" s="663">
        <f>VeriGiris!Y231</f>
        <v/>
      </c>
      <c r="Z60" s="774" t="n"/>
      <c r="AA60" s="96" t="n"/>
      <c r="AB60" s="96" t="n"/>
    </row>
    <row r="61" hidden="1" ht="15" customHeight="1" s="321">
      <c r="B61" s="664">
        <f>VeriGiris!B232</f>
        <v/>
      </c>
      <c r="C61" s="773" t="n"/>
      <c r="D61" s="773" t="n"/>
      <c r="E61" s="773" t="n"/>
      <c r="F61" s="773" t="n"/>
      <c r="G61" s="773" t="n"/>
      <c r="H61" s="773" t="n"/>
      <c r="I61" s="773" t="n"/>
      <c r="J61" s="773" t="n"/>
      <c r="K61" s="774" t="n"/>
      <c r="L61" s="660">
        <f>VeriGiris!L232</f>
        <v/>
      </c>
      <c r="M61" s="774" t="n"/>
      <c r="N61" s="665">
        <f>VeriGiris!N232</f>
        <v/>
      </c>
      <c r="O61" s="774" t="n"/>
      <c r="P61" s="660">
        <f>VeriGiris!P232</f>
        <v/>
      </c>
      <c r="Q61" s="774" t="n"/>
      <c r="R61" s="660">
        <f>VeriGiris!R232</f>
        <v/>
      </c>
      <c r="S61" s="773" t="n"/>
      <c r="T61" s="774" t="n"/>
      <c r="U61" s="662">
        <f>VeriGiris!U232</f>
        <v/>
      </c>
      <c r="V61" s="774" t="n"/>
      <c r="W61" s="662">
        <f>VeriGiris!W232</f>
        <v/>
      </c>
      <c r="X61" s="774" t="n"/>
      <c r="Y61" s="663">
        <f>VeriGiris!Y232</f>
        <v/>
      </c>
      <c r="Z61" s="774" t="n"/>
      <c r="AA61" s="96" t="n"/>
      <c r="AB61" s="96" t="n"/>
    </row>
    <row r="62" hidden="1" ht="15" customHeight="1" s="321">
      <c r="B62" s="664">
        <f>VeriGiris!B233</f>
        <v/>
      </c>
      <c r="C62" s="773" t="n"/>
      <c r="D62" s="773" t="n"/>
      <c r="E62" s="773" t="n"/>
      <c r="F62" s="773" t="n"/>
      <c r="G62" s="773" t="n"/>
      <c r="H62" s="773" t="n"/>
      <c r="I62" s="773" t="n"/>
      <c r="J62" s="773" t="n"/>
      <c r="K62" s="774" t="n"/>
      <c r="L62" s="660">
        <f>VeriGiris!L233</f>
        <v/>
      </c>
      <c r="M62" s="774" t="n"/>
      <c r="N62" s="665">
        <f>VeriGiris!N233</f>
        <v/>
      </c>
      <c r="O62" s="774" t="n"/>
      <c r="P62" s="660">
        <f>VeriGiris!P233</f>
        <v/>
      </c>
      <c r="Q62" s="774" t="n"/>
      <c r="R62" s="660">
        <f>VeriGiris!R233</f>
        <v/>
      </c>
      <c r="S62" s="773" t="n"/>
      <c r="T62" s="774" t="n"/>
      <c r="U62" s="662">
        <f>VeriGiris!U233</f>
        <v/>
      </c>
      <c r="V62" s="774" t="n"/>
      <c r="W62" s="662">
        <f>VeriGiris!W233</f>
        <v/>
      </c>
      <c r="X62" s="774" t="n"/>
      <c r="Y62" s="663">
        <f>VeriGiris!Y233</f>
        <v/>
      </c>
      <c r="Z62" s="774" t="n"/>
      <c r="AA62" s="96" t="n"/>
      <c r="AB62" s="96" t="n"/>
    </row>
    <row r="63" hidden="1" ht="15" customHeight="1" s="321">
      <c r="B63" s="664">
        <f>VeriGiris!B234</f>
        <v/>
      </c>
      <c r="C63" s="773" t="n"/>
      <c r="D63" s="773" t="n"/>
      <c r="E63" s="773" t="n"/>
      <c r="F63" s="773" t="n"/>
      <c r="G63" s="773" t="n"/>
      <c r="H63" s="773" t="n"/>
      <c r="I63" s="773" t="n"/>
      <c r="J63" s="773" t="n"/>
      <c r="K63" s="774" t="n"/>
      <c r="L63" s="660">
        <f>VeriGiris!L234</f>
        <v/>
      </c>
      <c r="M63" s="774" t="n"/>
      <c r="N63" s="665">
        <f>VeriGiris!N234</f>
        <v/>
      </c>
      <c r="O63" s="774" t="n"/>
      <c r="P63" s="660">
        <f>VeriGiris!P234</f>
        <v/>
      </c>
      <c r="Q63" s="774" t="n"/>
      <c r="R63" s="660">
        <f>VeriGiris!R234</f>
        <v/>
      </c>
      <c r="S63" s="773" t="n"/>
      <c r="T63" s="774" t="n"/>
      <c r="U63" s="662">
        <f>VeriGiris!U234</f>
        <v/>
      </c>
      <c r="V63" s="774" t="n"/>
      <c r="W63" s="662">
        <f>VeriGiris!W234</f>
        <v/>
      </c>
      <c r="X63" s="774" t="n"/>
      <c r="Y63" s="663">
        <f>VeriGiris!Y234</f>
        <v/>
      </c>
      <c r="Z63" s="774" t="n"/>
      <c r="AA63" s="96" t="n"/>
      <c r="AB63" s="96" t="n"/>
    </row>
    <row r="64" hidden="1" ht="15" customHeight="1" s="321">
      <c r="B64" s="664">
        <f>VeriGiris!B235</f>
        <v/>
      </c>
      <c r="C64" s="773" t="n"/>
      <c r="D64" s="773" t="n"/>
      <c r="E64" s="773" t="n"/>
      <c r="F64" s="773" t="n"/>
      <c r="G64" s="773" t="n"/>
      <c r="H64" s="773" t="n"/>
      <c r="I64" s="773" t="n"/>
      <c r="J64" s="773" t="n"/>
      <c r="K64" s="774" t="n"/>
      <c r="L64" s="660">
        <f>VeriGiris!L235</f>
        <v/>
      </c>
      <c r="M64" s="774" t="n"/>
      <c r="N64" s="665">
        <f>VeriGiris!N235</f>
        <v/>
      </c>
      <c r="O64" s="774" t="n"/>
      <c r="P64" s="660">
        <f>VeriGiris!P235</f>
        <v/>
      </c>
      <c r="Q64" s="774" t="n"/>
      <c r="R64" s="660">
        <f>VeriGiris!R235</f>
        <v/>
      </c>
      <c r="S64" s="773" t="n"/>
      <c r="T64" s="774" t="n"/>
      <c r="U64" s="662">
        <f>VeriGiris!U235</f>
        <v/>
      </c>
      <c r="V64" s="774" t="n"/>
      <c r="W64" s="662">
        <f>VeriGiris!W235</f>
        <v/>
      </c>
      <c r="X64" s="774" t="n"/>
      <c r="Y64" s="663">
        <f>VeriGiris!Y235</f>
        <v/>
      </c>
      <c r="Z64" s="774" t="n"/>
      <c r="AA64" s="96" t="n"/>
      <c r="AB64" s="96" t="n"/>
    </row>
    <row r="65" hidden="1" ht="15" customHeight="1" s="321">
      <c r="B65" s="664">
        <f>VeriGiris!B236</f>
        <v/>
      </c>
      <c r="C65" s="773" t="n"/>
      <c r="D65" s="773" t="n"/>
      <c r="E65" s="773" t="n"/>
      <c r="F65" s="773" t="n"/>
      <c r="G65" s="773" t="n"/>
      <c r="H65" s="773" t="n"/>
      <c r="I65" s="773" t="n"/>
      <c r="J65" s="773" t="n"/>
      <c r="K65" s="774" t="n"/>
      <c r="L65" s="660">
        <f>VeriGiris!L236</f>
        <v/>
      </c>
      <c r="M65" s="774" t="n"/>
      <c r="N65" s="665">
        <f>VeriGiris!N236</f>
        <v/>
      </c>
      <c r="O65" s="774" t="n"/>
      <c r="P65" s="660">
        <f>VeriGiris!P236</f>
        <v/>
      </c>
      <c r="Q65" s="774" t="n"/>
      <c r="R65" s="660">
        <f>VeriGiris!R236</f>
        <v/>
      </c>
      <c r="S65" s="773" t="n"/>
      <c r="T65" s="774" t="n"/>
      <c r="U65" s="662">
        <f>VeriGiris!U236</f>
        <v/>
      </c>
      <c r="V65" s="774" t="n"/>
      <c r="W65" s="662">
        <f>VeriGiris!W236</f>
        <v/>
      </c>
      <c r="X65" s="774" t="n"/>
      <c r="Y65" s="663">
        <f>VeriGiris!Y236</f>
        <v/>
      </c>
      <c r="Z65" s="774" t="n"/>
      <c r="AA65" s="96" t="n"/>
      <c r="AB65" s="96" t="n"/>
    </row>
    <row r="66" hidden="1" ht="15" customHeight="1" s="321">
      <c r="B66" s="664">
        <f>VeriGiris!B237</f>
        <v/>
      </c>
      <c r="C66" s="773" t="n"/>
      <c r="D66" s="773" t="n"/>
      <c r="E66" s="773" t="n"/>
      <c r="F66" s="773" t="n"/>
      <c r="G66" s="773" t="n"/>
      <c r="H66" s="773" t="n"/>
      <c r="I66" s="773" t="n"/>
      <c r="J66" s="773" t="n"/>
      <c r="K66" s="774" t="n"/>
      <c r="L66" s="660">
        <f>VeriGiris!L237</f>
        <v/>
      </c>
      <c r="M66" s="774" t="n"/>
      <c r="N66" s="665">
        <f>VeriGiris!N237</f>
        <v/>
      </c>
      <c r="O66" s="774" t="n"/>
      <c r="P66" s="660">
        <f>VeriGiris!P237</f>
        <v/>
      </c>
      <c r="Q66" s="774" t="n"/>
      <c r="R66" s="660">
        <f>VeriGiris!R237</f>
        <v/>
      </c>
      <c r="S66" s="773" t="n"/>
      <c r="T66" s="774" t="n"/>
      <c r="U66" s="662">
        <f>VeriGiris!U237</f>
        <v/>
      </c>
      <c r="V66" s="774" t="n"/>
      <c r="W66" s="662">
        <f>VeriGiris!W237</f>
        <v/>
      </c>
      <c r="X66" s="774" t="n"/>
      <c r="Y66" s="663">
        <f>VeriGiris!Y237</f>
        <v/>
      </c>
      <c r="Z66" s="774" t="n"/>
      <c r="AA66" s="96" t="n"/>
      <c r="AB66" s="96" t="n"/>
    </row>
    <row r="67" hidden="1" ht="15" customHeight="1" s="321">
      <c r="B67" s="664">
        <f>VeriGiris!B238</f>
        <v/>
      </c>
      <c r="C67" s="773" t="n"/>
      <c r="D67" s="773" t="n"/>
      <c r="E67" s="773" t="n"/>
      <c r="F67" s="773" t="n"/>
      <c r="G67" s="773" t="n"/>
      <c r="H67" s="773" t="n"/>
      <c r="I67" s="773" t="n"/>
      <c r="J67" s="773" t="n"/>
      <c r="K67" s="774" t="n"/>
      <c r="L67" s="660">
        <f>VeriGiris!L238</f>
        <v/>
      </c>
      <c r="M67" s="774" t="n"/>
      <c r="N67" s="665">
        <f>VeriGiris!N238</f>
        <v/>
      </c>
      <c r="O67" s="774" t="n"/>
      <c r="P67" s="660">
        <f>VeriGiris!P238</f>
        <v/>
      </c>
      <c r="Q67" s="774" t="n"/>
      <c r="R67" s="660">
        <f>VeriGiris!R238</f>
        <v/>
      </c>
      <c r="S67" s="773" t="n"/>
      <c r="T67" s="774" t="n"/>
      <c r="U67" s="662">
        <f>VeriGiris!U238</f>
        <v/>
      </c>
      <c r="V67" s="774" t="n"/>
      <c r="W67" s="662">
        <f>VeriGiris!W238</f>
        <v/>
      </c>
      <c r="X67" s="774" t="n"/>
      <c r="Y67" s="663">
        <f>VeriGiris!Y238</f>
        <v/>
      </c>
      <c r="Z67" s="774" t="n"/>
      <c r="AA67" s="96" t="n"/>
      <c r="AB67" s="96" t="n"/>
    </row>
    <row r="68" hidden="1" ht="15" customHeight="1" s="321">
      <c r="B68" s="664">
        <f>VeriGiris!B239</f>
        <v/>
      </c>
      <c r="C68" s="773" t="n"/>
      <c r="D68" s="773" t="n"/>
      <c r="E68" s="773" t="n"/>
      <c r="F68" s="773" t="n"/>
      <c r="G68" s="773" t="n"/>
      <c r="H68" s="773" t="n"/>
      <c r="I68" s="773" t="n"/>
      <c r="J68" s="773" t="n"/>
      <c r="K68" s="774" t="n"/>
      <c r="L68" s="660">
        <f>VeriGiris!L239</f>
        <v/>
      </c>
      <c r="M68" s="774" t="n"/>
      <c r="N68" s="665">
        <f>VeriGiris!N239</f>
        <v/>
      </c>
      <c r="O68" s="774" t="n"/>
      <c r="P68" s="660">
        <f>VeriGiris!P239</f>
        <v/>
      </c>
      <c r="Q68" s="774" t="n"/>
      <c r="R68" s="660">
        <f>VeriGiris!R239</f>
        <v/>
      </c>
      <c r="S68" s="773" t="n"/>
      <c r="T68" s="774" t="n"/>
      <c r="U68" s="662">
        <f>VeriGiris!U239</f>
        <v/>
      </c>
      <c r="V68" s="774" t="n"/>
      <c r="W68" s="662">
        <f>VeriGiris!W239</f>
        <v/>
      </c>
      <c r="X68" s="774" t="n"/>
      <c r="Y68" s="663">
        <f>VeriGiris!Y239</f>
        <v/>
      </c>
      <c r="Z68" s="774" t="n"/>
      <c r="AA68" s="96" t="n"/>
      <c r="AB68" s="96" t="n"/>
    </row>
    <row r="69" hidden="1" ht="15" customHeight="1" s="321">
      <c r="B69" s="664">
        <f>VeriGiris!B240</f>
        <v/>
      </c>
      <c r="C69" s="773" t="n"/>
      <c r="D69" s="773" t="n"/>
      <c r="E69" s="773" t="n"/>
      <c r="F69" s="773" t="n"/>
      <c r="G69" s="773" t="n"/>
      <c r="H69" s="773" t="n"/>
      <c r="I69" s="773" t="n"/>
      <c r="J69" s="773" t="n"/>
      <c r="K69" s="774" t="n"/>
      <c r="L69" s="660">
        <f>VeriGiris!L240</f>
        <v/>
      </c>
      <c r="M69" s="774" t="n"/>
      <c r="N69" s="665">
        <f>VeriGiris!N240</f>
        <v/>
      </c>
      <c r="O69" s="774" t="n"/>
      <c r="P69" s="660">
        <f>VeriGiris!P240</f>
        <v/>
      </c>
      <c r="Q69" s="774" t="n"/>
      <c r="R69" s="660">
        <f>VeriGiris!R240</f>
        <v/>
      </c>
      <c r="S69" s="773" t="n"/>
      <c r="T69" s="774" t="n"/>
      <c r="U69" s="662">
        <f>VeriGiris!U240</f>
        <v/>
      </c>
      <c r="V69" s="774" t="n"/>
      <c r="W69" s="662">
        <f>VeriGiris!W240</f>
        <v/>
      </c>
      <c r="X69" s="774" t="n"/>
      <c r="Y69" s="663">
        <f>VeriGiris!Y240</f>
        <v/>
      </c>
      <c r="Z69" s="774" t="n"/>
      <c r="AA69" s="96" t="n"/>
      <c r="AB69" s="96" t="n"/>
    </row>
    <row r="70" hidden="1" ht="15" customHeight="1" s="321">
      <c r="B70" s="664">
        <f>VeriGiris!B241</f>
        <v/>
      </c>
      <c r="C70" s="773" t="n"/>
      <c r="D70" s="773" t="n"/>
      <c r="E70" s="773" t="n"/>
      <c r="F70" s="773" t="n"/>
      <c r="G70" s="773" t="n"/>
      <c r="H70" s="773" t="n"/>
      <c r="I70" s="773" t="n"/>
      <c r="J70" s="773" t="n"/>
      <c r="K70" s="774" t="n"/>
      <c r="L70" s="660">
        <f>VeriGiris!L241</f>
        <v/>
      </c>
      <c r="M70" s="774" t="n"/>
      <c r="N70" s="665">
        <f>VeriGiris!N241</f>
        <v/>
      </c>
      <c r="O70" s="774" t="n"/>
      <c r="P70" s="660">
        <f>VeriGiris!P241</f>
        <v/>
      </c>
      <c r="Q70" s="774" t="n"/>
      <c r="R70" s="660">
        <f>VeriGiris!R241</f>
        <v/>
      </c>
      <c r="S70" s="773" t="n"/>
      <c r="T70" s="774" t="n"/>
      <c r="U70" s="662">
        <f>VeriGiris!U241</f>
        <v/>
      </c>
      <c r="V70" s="774" t="n"/>
      <c r="W70" s="662">
        <f>VeriGiris!W241</f>
        <v/>
      </c>
      <c r="X70" s="774" t="n"/>
      <c r="Y70" s="663">
        <f>VeriGiris!Y241</f>
        <v/>
      </c>
      <c r="Z70" s="774" t="n"/>
      <c r="AA70" s="96" t="n"/>
      <c r="AB70" s="96" t="n"/>
    </row>
    <row r="71" hidden="1" ht="15" customHeight="1" s="321">
      <c r="B71" s="664">
        <f>VeriGiris!B242</f>
        <v/>
      </c>
      <c r="C71" s="773" t="n"/>
      <c r="D71" s="773" t="n"/>
      <c r="E71" s="773" t="n"/>
      <c r="F71" s="773" t="n"/>
      <c r="G71" s="773" t="n"/>
      <c r="H71" s="773" t="n"/>
      <c r="I71" s="773" t="n"/>
      <c r="J71" s="773" t="n"/>
      <c r="K71" s="774" t="n"/>
      <c r="L71" s="660">
        <f>VeriGiris!L242</f>
        <v/>
      </c>
      <c r="M71" s="774" t="n"/>
      <c r="N71" s="665">
        <f>VeriGiris!N242</f>
        <v/>
      </c>
      <c r="O71" s="774" t="n"/>
      <c r="P71" s="660">
        <f>VeriGiris!P242</f>
        <v/>
      </c>
      <c r="Q71" s="774" t="n"/>
      <c r="R71" s="660">
        <f>VeriGiris!R242</f>
        <v/>
      </c>
      <c r="S71" s="773" t="n"/>
      <c r="T71" s="774" t="n"/>
      <c r="U71" s="662">
        <f>VeriGiris!U242</f>
        <v/>
      </c>
      <c r="V71" s="774" t="n"/>
      <c r="W71" s="662">
        <f>VeriGiris!W242</f>
        <v/>
      </c>
      <c r="X71" s="774" t="n"/>
      <c r="Y71" s="663">
        <f>VeriGiris!Y242</f>
        <v/>
      </c>
      <c r="Z71" s="774" t="n"/>
      <c r="AA71" s="96" t="n"/>
      <c r="AB71" s="96" t="n"/>
    </row>
    <row r="72" hidden="1" ht="15" customHeight="1" s="321">
      <c r="B72" s="664">
        <f>VeriGiris!B243</f>
        <v/>
      </c>
      <c r="C72" s="773" t="n"/>
      <c r="D72" s="773" t="n"/>
      <c r="E72" s="773" t="n"/>
      <c r="F72" s="773" t="n"/>
      <c r="G72" s="773" t="n"/>
      <c r="H72" s="773" t="n"/>
      <c r="I72" s="773" t="n"/>
      <c r="J72" s="773" t="n"/>
      <c r="K72" s="774" t="n"/>
      <c r="L72" s="660">
        <f>VeriGiris!L243</f>
        <v/>
      </c>
      <c r="M72" s="774" t="n"/>
      <c r="N72" s="665">
        <f>VeriGiris!N243</f>
        <v/>
      </c>
      <c r="O72" s="774" t="n"/>
      <c r="P72" s="660">
        <f>VeriGiris!P243</f>
        <v/>
      </c>
      <c r="Q72" s="774" t="n"/>
      <c r="R72" s="660">
        <f>VeriGiris!R243</f>
        <v/>
      </c>
      <c r="S72" s="773" t="n"/>
      <c r="T72" s="774" t="n"/>
      <c r="U72" s="662">
        <f>VeriGiris!U243</f>
        <v/>
      </c>
      <c r="V72" s="774" t="n"/>
      <c r="W72" s="662">
        <f>VeriGiris!W243</f>
        <v/>
      </c>
      <c r="X72" s="774" t="n"/>
      <c r="Y72" s="663">
        <f>VeriGiris!Y243</f>
        <v/>
      </c>
      <c r="Z72" s="774" t="n"/>
      <c r="AA72" s="96" t="n"/>
      <c r="AB72" s="96" t="n"/>
    </row>
    <row r="73" hidden="1" ht="15" customHeight="1" s="321">
      <c r="B73" s="664">
        <f>VeriGiris!B244</f>
        <v/>
      </c>
      <c r="C73" s="773" t="n"/>
      <c r="D73" s="773" t="n"/>
      <c r="E73" s="773" t="n"/>
      <c r="F73" s="773" t="n"/>
      <c r="G73" s="773" t="n"/>
      <c r="H73" s="773" t="n"/>
      <c r="I73" s="773" t="n"/>
      <c r="J73" s="773" t="n"/>
      <c r="K73" s="774" t="n"/>
      <c r="L73" s="660">
        <f>VeriGiris!L244</f>
        <v/>
      </c>
      <c r="M73" s="774" t="n"/>
      <c r="N73" s="665">
        <f>VeriGiris!N244</f>
        <v/>
      </c>
      <c r="O73" s="774" t="n"/>
      <c r="P73" s="660">
        <f>VeriGiris!P244</f>
        <v/>
      </c>
      <c r="Q73" s="774" t="n"/>
      <c r="R73" s="660">
        <f>VeriGiris!R244</f>
        <v/>
      </c>
      <c r="S73" s="773" t="n"/>
      <c r="T73" s="774" t="n"/>
      <c r="U73" s="662">
        <f>VeriGiris!U244</f>
        <v/>
      </c>
      <c r="V73" s="774" t="n"/>
      <c r="W73" s="662">
        <f>VeriGiris!W244</f>
        <v/>
      </c>
      <c r="X73" s="774" t="n"/>
      <c r="Y73" s="663">
        <f>VeriGiris!Y244</f>
        <v/>
      </c>
      <c r="Z73" s="774" t="n"/>
      <c r="AA73" s="96" t="n"/>
      <c r="AB73" s="96" t="n"/>
    </row>
    <row r="74" hidden="1" ht="15" customHeight="1" s="321">
      <c r="B74" s="664">
        <f>VeriGiris!B245</f>
        <v/>
      </c>
      <c r="C74" s="773" t="n"/>
      <c r="D74" s="773" t="n"/>
      <c r="E74" s="773" t="n"/>
      <c r="F74" s="773" t="n"/>
      <c r="G74" s="773" t="n"/>
      <c r="H74" s="773" t="n"/>
      <c r="I74" s="773" t="n"/>
      <c r="J74" s="773" t="n"/>
      <c r="K74" s="774" t="n"/>
      <c r="L74" s="660">
        <f>VeriGiris!L245</f>
        <v/>
      </c>
      <c r="M74" s="774" t="n"/>
      <c r="N74" s="665">
        <f>VeriGiris!N245</f>
        <v/>
      </c>
      <c r="O74" s="774" t="n"/>
      <c r="P74" s="660">
        <f>VeriGiris!P245</f>
        <v/>
      </c>
      <c r="Q74" s="774" t="n"/>
      <c r="R74" s="660">
        <f>VeriGiris!R245</f>
        <v/>
      </c>
      <c r="S74" s="773" t="n"/>
      <c r="T74" s="774" t="n"/>
      <c r="U74" s="662">
        <f>VeriGiris!U245</f>
        <v/>
      </c>
      <c r="V74" s="774" t="n"/>
      <c r="W74" s="662">
        <f>VeriGiris!W245</f>
        <v/>
      </c>
      <c r="X74" s="774" t="n"/>
      <c r="Y74" s="663">
        <f>VeriGiris!Y245</f>
        <v/>
      </c>
      <c r="Z74" s="774" t="n"/>
      <c r="AA74" s="96" t="n"/>
      <c r="AB74" s="96" t="n"/>
    </row>
    <row r="75" hidden="1" ht="15" customHeight="1" s="321">
      <c r="B75" s="664">
        <f>VeriGiris!B246</f>
        <v/>
      </c>
      <c r="C75" s="773" t="n"/>
      <c r="D75" s="773" t="n"/>
      <c r="E75" s="773" t="n"/>
      <c r="F75" s="773" t="n"/>
      <c r="G75" s="773" t="n"/>
      <c r="H75" s="773" t="n"/>
      <c r="I75" s="773" t="n"/>
      <c r="J75" s="773" t="n"/>
      <c r="K75" s="774" t="n"/>
      <c r="L75" s="660">
        <f>VeriGiris!L246</f>
        <v/>
      </c>
      <c r="M75" s="774" t="n"/>
      <c r="N75" s="665">
        <f>VeriGiris!N246</f>
        <v/>
      </c>
      <c r="O75" s="774" t="n"/>
      <c r="P75" s="660">
        <f>VeriGiris!P246</f>
        <v/>
      </c>
      <c r="Q75" s="774" t="n"/>
      <c r="R75" s="660">
        <f>VeriGiris!R246</f>
        <v/>
      </c>
      <c r="S75" s="773" t="n"/>
      <c r="T75" s="774" t="n"/>
      <c r="U75" s="662">
        <f>VeriGiris!U246</f>
        <v/>
      </c>
      <c r="V75" s="774" t="n"/>
      <c r="W75" s="662">
        <f>VeriGiris!W246</f>
        <v/>
      </c>
      <c r="X75" s="774" t="n"/>
      <c r="Y75" s="663">
        <f>VeriGiris!Y246</f>
        <v/>
      </c>
      <c r="Z75" s="774" t="n"/>
      <c r="AA75" s="96" t="n"/>
      <c r="AB75" s="96" t="n"/>
    </row>
    <row r="76" hidden="1" ht="15" customHeight="1" s="321">
      <c r="B76" s="664">
        <f>VeriGiris!B247</f>
        <v/>
      </c>
      <c r="C76" s="773" t="n"/>
      <c r="D76" s="773" t="n"/>
      <c r="E76" s="773" t="n"/>
      <c r="F76" s="773" t="n"/>
      <c r="G76" s="773" t="n"/>
      <c r="H76" s="773" t="n"/>
      <c r="I76" s="773" t="n"/>
      <c r="J76" s="773" t="n"/>
      <c r="K76" s="774" t="n"/>
      <c r="L76" s="660">
        <f>VeriGiris!L247</f>
        <v/>
      </c>
      <c r="M76" s="774" t="n"/>
      <c r="N76" s="665">
        <f>VeriGiris!N247</f>
        <v/>
      </c>
      <c r="O76" s="774" t="n"/>
      <c r="P76" s="660">
        <f>VeriGiris!P247</f>
        <v/>
      </c>
      <c r="Q76" s="774" t="n"/>
      <c r="R76" s="660">
        <f>VeriGiris!R247</f>
        <v/>
      </c>
      <c r="S76" s="773" t="n"/>
      <c r="T76" s="774" t="n"/>
      <c r="U76" s="662">
        <f>VeriGiris!U247</f>
        <v/>
      </c>
      <c r="V76" s="774" t="n"/>
      <c r="W76" s="662">
        <f>VeriGiris!W247</f>
        <v/>
      </c>
      <c r="X76" s="774" t="n"/>
      <c r="Y76" s="663">
        <f>VeriGiris!Y247</f>
        <v/>
      </c>
      <c r="Z76" s="774" t="n"/>
      <c r="AA76" s="96" t="n"/>
      <c r="AB76" s="96" t="n"/>
    </row>
    <row r="77" hidden="1" ht="15" customHeight="1" s="321">
      <c r="B77" s="664">
        <f>VeriGiris!B248</f>
        <v/>
      </c>
      <c r="C77" s="773" t="n"/>
      <c r="D77" s="773" t="n"/>
      <c r="E77" s="773" t="n"/>
      <c r="F77" s="773" t="n"/>
      <c r="G77" s="773" t="n"/>
      <c r="H77" s="773" t="n"/>
      <c r="I77" s="773" t="n"/>
      <c r="J77" s="773" t="n"/>
      <c r="K77" s="774" t="n"/>
      <c r="L77" s="660">
        <f>VeriGiris!L248</f>
        <v/>
      </c>
      <c r="M77" s="774" t="n"/>
      <c r="N77" s="665">
        <f>VeriGiris!N248</f>
        <v/>
      </c>
      <c r="O77" s="774" t="n"/>
      <c r="P77" s="660">
        <f>VeriGiris!P248</f>
        <v/>
      </c>
      <c r="Q77" s="774" t="n"/>
      <c r="R77" s="660">
        <f>VeriGiris!R248</f>
        <v/>
      </c>
      <c r="S77" s="773" t="n"/>
      <c r="T77" s="774" t="n"/>
      <c r="U77" s="662">
        <f>VeriGiris!U248</f>
        <v/>
      </c>
      <c r="V77" s="774" t="n"/>
      <c r="W77" s="662">
        <f>VeriGiris!W248</f>
        <v/>
      </c>
      <c r="X77" s="774" t="n"/>
      <c r="Y77" s="663">
        <f>VeriGiris!Y248</f>
        <v/>
      </c>
      <c r="Z77" s="774" t="n"/>
      <c r="AA77" s="96" t="n"/>
      <c r="AB77" s="96" t="n"/>
    </row>
    <row r="78" hidden="1" ht="15" customHeight="1" s="321">
      <c r="B78" s="664">
        <f>VeriGiris!B249</f>
        <v/>
      </c>
      <c r="C78" s="773" t="n"/>
      <c r="D78" s="773" t="n"/>
      <c r="E78" s="773" t="n"/>
      <c r="F78" s="773" t="n"/>
      <c r="G78" s="773" t="n"/>
      <c r="H78" s="773" t="n"/>
      <c r="I78" s="773" t="n"/>
      <c r="J78" s="773" t="n"/>
      <c r="K78" s="774" t="n"/>
      <c r="L78" s="660">
        <f>VeriGiris!L249</f>
        <v/>
      </c>
      <c r="M78" s="774" t="n"/>
      <c r="N78" s="665">
        <f>VeriGiris!N249</f>
        <v/>
      </c>
      <c r="O78" s="774" t="n"/>
      <c r="P78" s="660">
        <f>VeriGiris!P249</f>
        <v/>
      </c>
      <c r="Q78" s="774" t="n"/>
      <c r="R78" s="660">
        <f>VeriGiris!R249</f>
        <v/>
      </c>
      <c r="S78" s="773" t="n"/>
      <c r="T78" s="774" t="n"/>
      <c r="U78" s="662">
        <f>VeriGiris!U249</f>
        <v/>
      </c>
      <c r="V78" s="774" t="n"/>
      <c r="W78" s="662">
        <f>VeriGiris!W249</f>
        <v/>
      </c>
      <c r="X78" s="774" t="n"/>
      <c r="Y78" s="663">
        <f>VeriGiris!Y249</f>
        <v/>
      </c>
      <c r="Z78" s="774" t="n"/>
      <c r="AA78" s="96" t="n"/>
      <c r="AB78" s="96" t="n"/>
    </row>
    <row r="79" hidden="1" ht="15" customHeight="1" s="321">
      <c r="B79" s="664">
        <f>VeriGiris!B250</f>
        <v/>
      </c>
      <c r="C79" s="773" t="n"/>
      <c r="D79" s="773" t="n"/>
      <c r="E79" s="773" t="n"/>
      <c r="F79" s="773" t="n"/>
      <c r="G79" s="773" t="n"/>
      <c r="H79" s="773" t="n"/>
      <c r="I79" s="773" t="n"/>
      <c r="J79" s="773" t="n"/>
      <c r="K79" s="774" t="n"/>
      <c r="L79" s="660">
        <f>VeriGiris!L250</f>
        <v/>
      </c>
      <c r="M79" s="774" t="n"/>
      <c r="N79" s="665">
        <f>VeriGiris!N250</f>
        <v/>
      </c>
      <c r="O79" s="774" t="n"/>
      <c r="P79" s="660">
        <f>VeriGiris!P250</f>
        <v/>
      </c>
      <c r="Q79" s="774" t="n"/>
      <c r="R79" s="660">
        <f>VeriGiris!R250</f>
        <v/>
      </c>
      <c r="S79" s="773" t="n"/>
      <c r="T79" s="774" t="n"/>
      <c r="U79" s="662">
        <f>VeriGiris!U250</f>
        <v/>
      </c>
      <c r="V79" s="774" t="n"/>
      <c r="W79" s="662">
        <f>VeriGiris!W250</f>
        <v/>
      </c>
      <c r="X79" s="774" t="n"/>
      <c r="Y79" s="663">
        <f>VeriGiris!Y250</f>
        <v/>
      </c>
      <c r="Z79" s="774" t="n"/>
      <c r="AA79" s="96" t="n"/>
      <c r="AB79" s="96" t="n"/>
    </row>
    <row r="80" hidden="1" ht="15" customHeight="1" s="321">
      <c r="B80" s="664">
        <f>VeriGiris!B251</f>
        <v/>
      </c>
      <c r="C80" s="773" t="n"/>
      <c r="D80" s="773" t="n"/>
      <c r="E80" s="773" t="n"/>
      <c r="F80" s="773" t="n"/>
      <c r="G80" s="773" t="n"/>
      <c r="H80" s="773" t="n"/>
      <c r="I80" s="773" t="n"/>
      <c r="J80" s="773" t="n"/>
      <c r="K80" s="774" t="n"/>
      <c r="L80" s="660">
        <f>VeriGiris!L251</f>
        <v/>
      </c>
      <c r="M80" s="774" t="n"/>
      <c r="N80" s="665">
        <f>VeriGiris!N251</f>
        <v/>
      </c>
      <c r="O80" s="774" t="n"/>
      <c r="P80" s="660">
        <f>VeriGiris!P251</f>
        <v/>
      </c>
      <c r="Q80" s="774" t="n"/>
      <c r="R80" s="660">
        <f>VeriGiris!R251</f>
        <v/>
      </c>
      <c r="S80" s="773" t="n"/>
      <c r="T80" s="774" t="n"/>
      <c r="U80" s="662">
        <f>VeriGiris!U251</f>
        <v/>
      </c>
      <c r="V80" s="774" t="n"/>
      <c r="W80" s="662">
        <f>VeriGiris!W251</f>
        <v/>
      </c>
      <c r="X80" s="774" t="n"/>
      <c r="Y80" s="663">
        <f>VeriGiris!Y251</f>
        <v/>
      </c>
      <c r="Z80" s="774" t="n"/>
      <c r="AA80" s="96" t="n"/>
      <c r="AB80" s="96" t="n"/>
    </row>
    <row r="81">
      <c r="B81" s="687">
        <f>VeriGiris!B252</f>
        <v/>
      </c>
      <c r="C81" s="773" t="n"/>
      <c r="D81" s="773" t="n"/>
      <c r="E81" s="773" t="n"/>
      <c r="F81" s="773" t="n"/>
      <c r="G81" s="773" t="n"/>
      <c r="H81" s="773" t="n"/>
      <c r="I81" s="773" t="n"/>
      <c r="J81" s="773" t="n"/>
      <c r="K81" s="774" t="n"/>
      <c r="L81" s="688" t="n"/>
      <c r="M81" s="774" t="n"/>
      <c r="N81" s="689" t="n"/>
      <c r="O81" s="774" t="n"/>
      <c r="P81" s="688" t="n"/>
      <c r="Q81" s="774" t="n"/>
      <c r="R81" s="690">
        <f>VeriGiris!R252</f>
        <v/>
      </c>
      <c r="S81" s="773" t="n"/>
      <c r="T81" s="774" t="n"/>
      <c r="U81" s="691" t="n"/>
      <c r="V81" s="774" t="n"/>
      <c r="W81" s="691" t="n"/>
      <c r="X81" s="774" t="n"/>
      <c r="Y81" s="663">
        <f>VeriGiris!Y252</f>
        <v/>
      </c>
      <c r="Z81" s="774" t="n"/>
      <c r="AA81" s="96" t="n"/>
      <c r="AB81" s="96" t="n"/>
    </row>
    <row r="82">
      <c r="B82" s="664">
        <f>VeriGiris!B253</f>
        <v/>
      </c>
      <c r="C82" s="773" t="n"/>
      <c r="D82" s="773" t="n"/>
      <c r="E82" s="773" t="n"/>
      <c r="F82" s="773" t="n"/>
      <c r="G82" s="773" t="n"/>
      <c r="H82" s="773" t="n"/>
      <c r="I82" s="773" t="n"/>
      <c r="J82" s="773" t="n"/>
      <c r="K82" s="774" t="n"/>
      <c r="L82" s="660">
        <f>VeriGiris!L253</f>
        <v/>
      </c>
      <c r="M82" s="774" t="n"/>
      <c r="N82" s="665">
        <f>VeriGiris!N253</f>
        <v/>
      </c>
      <c r="O82" s="774" t="n"/>
      <c r="P82" s="660">
        <f>VeriGiris!P253</f>
        <v/>
      </c>
      <c r="Q82" s="774" t="n"/>
      <c r="R82" s="660">
        <f>VeriGiris!R253</f>
        <v/>
      </c>
      <c r="S82" s="773" t="n"/>
      <c r="T82" s="774" t="n"/>
      <c r="U82" s="662">
        <f>VeriGiris!U253</f>
        <v/>
      </c>
      <c r="V82" s="774" t="n"/>
      <c r="W82" s="662">
        <f>VeriGiris!W253</f>
        <v/>
      </c>
      <c r="X82" s="774" t="n"/>
      <c r="Y82" s="663">
        <f>VeriGiris!Y253</f>
        <v/>
      </c>
      <c r="Z82" s="774" t="n"/>
      <c r="AA82" s="96" t="n"/>
      <c r="AB82" s="96" t="n"/>
    </row>
    <row r="83" hidden="1" ht="15" customHeight="1" s="321">
      <c r="B83" s="664">
        <f>VeriGiris!B254</f>
        <v/>
      </c>
      <c r="C83" s="773" t="n"/>
      <c r="D83" s="773" t="n"/>
      <c r="E83" s="773" t="n"/>
      <c r="F83" s="773" t="n"/>
      <c r="G83" s="773" t="n"/>
      <c r="H83" s="773" t="n"/>
      <c r="I83" s="773" t="n"/>
      <c r="J83" s="773" t="n"/>
      <c r="K83" s="774" t="n"/>
      <c r="L83" s="660">
        <f>VeriGiris!L254</f>
        <v/>
      </c>
      <c r="M83" s="774" t="n"/>
      <c r="N83" s="665">
        <f>VeriGiris!N254</f>
        <v/>
      </c>
      <c r="O83" s="774" t="n"/>
      <c r="P83" s="660">
        <f>VeriGiris!P254</f>
        <v/>
      </c>
      <c r="Q83" s="774" t="n"/>
      <c r="R83" s="660">
        <f>VeriGiris!R254</f>
        <v/>
      </c>
      <c r="S83" s="773" t="n"/>
      <c r="T83" s="774" t="n"/>
      <c r="U83" s="662">
        <f>VeriGiris!U254</f>
        <v/>
      </c>
      <c r="V83" s="774" t="n"/>
      <c r="W83" s="662">
        <f>VeriGiris!W254</f>
        <v/>
      </c>
      <c r="X83" s="774" t="n"/>
      <c r="Y83" s="663">
        <f>VeriGiris!Y254</f>
        <v/>
      </c>
      <c r="Z83" s="774" t="n"/>
      <c r="AA83" s="96" t="n"/>
      <c r="AB83" s="96" t="n"/>
    </row>
    <row r="84" hidden="1" ht="15" customHeight="1" s="321">
      <c r="B84" s="664">
        <f>VeriGiris!B255</f>
        <v/>
      </c>
      <c r="C84" s="773" t="n"/>
      <c r="D84" s="773" t="n"/>
      <c r="E84" s="773" t="n"/>
      <c r="F84" s="773" t="n"/>
      <c r="G84" s="773" t="n"/>
      <c r="H84" s="773" t="n"/>
      <c r="I84" s="773" t="n"/>
      <c r="J84" s="773" t="n"/>
      <c r="K84" s="774" t="n"/>
      <c r="L84" s="660">
        <f>VeriGiris!L255</f>
        <v/>
      </c>
      <c r="M84" s="774" t="n"/>
      <c r="N84" s="665">
        <f>VeriGiris!N255</f>
        <v/>
      </c>
      <c r="O84" s="774" t="n"/>
      <c r="P84" s="660">
        <f>VeriGiris!P255</f>
        <v/>
      </c>
      <c r="Q84" s="774" t="n"/>
      <c r="R84" s="660">
        <f>VeriGiris!R255</f>
        <v/>
      </c>
      <c r="S84" s="773" t="n"/>
      <c r="T84" s="774" t="n"/>
      <c r="U84" s="662">
        <f>VeriGiris!U255</f>
        <v/>
      </c>
      <c r="V84" s="774" t="n"/>
      <c r="W84" s="662">
        <f>VeriGiris!W255</f>
        <v/>
      </c>
      <c r="X84" s="774" t="n"/>
      <c r="Y84" s="663">
        <f>VeriGiris!Y255</f>
        <v/>
      </c>
      <c r="Z84" s="774" t="n"/>
      <c r="AA84" s="96" t="n"/>
      <c r="AB84" s="96" t="n"/>
    </row>
    <row r="85" hidden="1" ht="15" customHeight="1" s="321">
      <c r="B85" s="664">
        <f>VeriGiris!B256</f>
        <v/>
      </c>
      <c r="C85" s="773" t="n"/>
      <c r="D85" s="773" t="n"/>
      <c r="E85" s="773" t="n"/>
      <c r="F85" s="773" t="n"/>
      <c r="G85" s="773" t="n"/>
      <c r="H85" s="773" t="n"/>
      <c r="I85" s="773" t="n"/>
      <c r="J85" s="773" t="n"/>
      <c r="K85" s="774" t="n"/>
      <c r="L85" s="660">
        <f>VeriGiris!L256</f>
        <v/>
      </c>
      <c r="M85" s="774" t="n"/>
      <c r="N85" s="665">
        <f>VeriGiris!N256</f>
        <v/>
      </c>
      <c r="O85" s="774" t="n"/>
      <c r="P85" s="660">
        <f>VeriGiris!P256</f>
        <v/>
      </c>
      <c r="Q85" s="774" t="n"/>
      <c r="R85" s="660">
        <f>VeriGiris!R256</f>
        <v/>
      </c>
      <c r="S85" s="773" t="n"/>
      <c r="T85" s="774" t="n"/>
      <c r="U85" s="662">
        <f>VeriGiris!U256</f>
        <v/>
      </c>
      <c r="V85" s="774" t="n"/>
      <c r="W85" s="662">
        <f>VeriGiris!W256</f>
        <v/>
      </c>
      <c r="X85" s="774" t="n"/>
      <c r="Y85" s="663">
        <f>VeriGiris!Y256</f>
        <v/>
      </c>
      <c r="Z85" s="774" t="n"/>
      <c r="AA85" s="96" t="n"/>
      <c r="AB85" s="96" t="n"/>
    </row>
    <row r="86" hidden="1" ht="15" customHeight="1" s="321">
      <c r="B86" s="664">
        <f>VeriGiris!B257</f>
        <v/>
      </c>
      <c r="C86" s="773" t="n"/>
      <c r="D86" s="773" t="n"/>
      <c r="E86" s="773" t="n"/>
      <c r="F86" s="773" t="n"/>
      <c r="G86" s="773" t="n"/>
      <c r="H86" s="773" t="n"/>
      <c r="I86" s="773" t="n"/>
      <c r="J86" s="773" t="n"/>
      <c r="K86" s="774" t="n"/>
      <c r="L86" s="660">
        <f>VeriGiris!L257</f>
        <v/>
      </c>
      <c r="M86" s="774" t="n"/>
      <c r="N86" s="665">
        <f>VeriGiris!N257</f>
        <v/>
      </c>
      <c r="O86" s="774" t="n"/>
      <c r="P86" s="660">
        <f>VeriGiris!P257</f>
        <v/>
      </c>
      <c r="Q86" s="774" t="n"/>
      <c r="R86" s="660">
        <f>VeriGiris!R257</f>
        <v/>
      </c>
      <c r="S86" s="773" t="n"/>
      <c r="T86" s="774" t="n"/>
      <c r="U86" s="662">
        <f>VeriGiris!U257</f>
        <v/>
      </c>
      <c r="V86" s="774" t="n"/>
      <c r="W86" s="662">
        <f>VeriGiris!W257</f>
        <v/>
      </c>
      <c r="X86" s="774" t="n"/>
      <c r="Y86" s="663">
        <f>VeriGiris!Y257</f>
        <v/>
      </c>
      <c r="Z86" s="774" t="n"/>
      <c r="AA86" s="96" t="n"/>
      <c r="AB86" s="96" t="n"/>
    </row>
    <row r="87" hidden="1" ht="15" customHeight="1" s="321">
      <c r="B87" s="664">
        <f>VeriGiris!B258</f>
        <v/>
      </c>
      <c r="C87" s="773" t="n"/>
      <c r="D87" s="773" t="n"/>
      <c r="E87" s="773" t="n"/>
      <c r="F87" s="773" t="n"/>
      <c r="G87" s="773" t="n"/>
      <c r="H87" s="773" t="n"/>
      <c r="I87" s="773" t="n"/>
      <c r="J87" s="773" t="n"/>
      <c r="K87" s="774" t="n"/>
      <c r="L87" s="660">
        <f>VeriGiris!L258</f>
        <v/>
      </c>
      <c r="M87" s="774" t="n"/>
      <c r="N87" s="665">
        <f>VeriGiris!N258</f>
        <v/>
      </c>
      <c r="O87" s="774" t="n"/>
      <c r="P87" s="660">
        <f>VeriGiris!P258</f>
        <v/>
      </c>
      <c r="Q87" s="774" t="n"/>
      <c r="R87" s="660">
        <f>VeriGiris!R258</f>
        <v/>
      </c>
      <c r="S87" s="773" t="n"/>
      <c r="T87" s="774" t="n"/>
      <c r="U87" s="662">
        <f>VeriGiris!U258</f>
        <v/>
      </c>
      <c r="V87" s="774" t="n"/>
      <c r="W87" s="662">
        <f>VeriGiris!W258</f>
        <v/>
      </c>
      <c r="X87" s="774" t="n"/>
      <c r="Y87" s="663">
        <f>VeriGiris!Y258</f>
        <v/>
      </c>
      <c r="Z87" s="774" t="n"/>
      <c r="AA87" s="96" t="n"/>
      <c r="AB87" s="96" t="n"/>
    </row>
    <row r="88" hidden="1" ht="15" customHeight="1" s="321">
      <c r="B88" s="664">
        <f>VeriGiris!B259</f>
        <v/>
      </c>
      <c r="C88" s="773" t="n"/>
      <c r="D88" s="773" t="n"/>
      <c r="E88" s="773" t="n"/>
      <c r="F88" s="773" t="n"/>
      <c r="G88" s="773" t="n"/>
      <c r="H88" s="773" t="n"/>
      <c r="I88" s="773" t="n"/>
      <c r="J88" s="773" t="n"/>
      <c r="K88" s="774" t="n"/>
      <c r="L88" s="660">
        <f>VeriGiris!L259</f>
        <v/>
      </c>
      <c r="M88" s="774" t="n"/>
      <c r="N88" s="665">
        <f>VeriGiris!N259</f>
        <v/>
      </c>
      <c r="O88" s="774" t="n"/>
      <c r="P88" s="660">
        <f>VeriGiris!P259</f>
        <v/>
      </c>
      <c r="Q88" s="774" t="n"/>
      <c r="R88" s="660">
        <f>VeriGiris!R259</f>
        <v/>
      </c>
      <c r="S88" s="773" t="n"/>
      <c r="T88" s="774" t="n"/>
      <c r="U88" s="662">
        <f>VeriGiris!U259</f>
        <v/>
      </c>
      <c r="V88" s="774" t="n"/>
      <c r="W88" s="662">
        <f>VeriGiris!W259</f>
        <v/>
      </c>
      <c r="X88" s="774" t="n"/>
      <c r="Y88" s="663">
        <f>VeriGiris!Y259</f>
        <v/>
      </c>
      <c r="Z88" s="774" t="n"/>
      <c r="AA88" s="96" t="n"/>
      <c r="AB88" s="96" t="n"/>
    </row>
    <row r="89" hidden="1" ht="15" customHeight="1" s="321">
      <c r="B89" s="664">
        <f>VeriGiris!B260</f>
        <v/>
      </c>
      <c r="C89" s="773" t="n"/>
      <c r="D89" s="773" t="n"/>
      <c r="E89" s="773" t="n"/>
      <c r="F89" s="773" t="n"/>
      <c r="G89" s="773" t="n"/>
      <c r="H89" s="773" t="n"/>
      <c r="I89" s="773" t="n"/>
      <c r="J89" s="773" t="n"/>
      <c r="K89" s="774" t="n"/>
      <c r="L89" s="660">
        <f>VeriGiris!L260</f>
        <v/>
      </c>
      <c r="M89" s="774" t="n"/>
      <c r="N89" s="665">
        <f>VeriGiris!N260</f>
        <v/>
      </c>
      <c r="O89" s="774" t="n"/>
      <c r="P89" s="660">
        <f>VeriGiris!P260</f>
        <v/>
      </c>
      <c r="Q89" s="774" t="n"/>
      <c r="R89" s="660">
        <f>VeriGiris!R260</f>
        <v/>
      </c>
      <c r="S89" s="773" t="n"/>
      <c r="T89" s="774" t="n"/>
      <c r="U89" s="662">
        <f>VeriGiris!U260</f>
        <v/>
      </c>
      <c r="V89" s="774" t="n"/>
      <c r="W89" s="662">
        <f>VeriGiris!W260</f>
        <v/>
      </c>
      <c r="X89" s="774" t="n"/>
      <c r="Y89" s="663">
        <f>VeriGiris!Y260</f>
        <v/>
      </c>
      <c r="Z89" s="774" t="n"/>
      <c r="AA89" s="96" t="n"/>
      <c r="AB89" s="96" t="n"/>
    </row>
    <row r="90" hidden="1" ht="15" customHeight="1" s="321">
      <c r="B90" s="664">
        <f>VeriGiris!B261</f>
        <v/>
      </c>
      <c r="C90" s="773" t="n"/>
      <c r="D90" s="773" t="n"/>
      <c r="E90" s="773" t="n"/>
      <c r="F90" s="773" t="n"/>
      <c r="G90" s="773" t="n"/>
      <c r="H90" s="773" t="n"/>
      <c r="I90" s="773" t="n"/>
      <c r="J90" s="773" t="n"/>
      <c r="K90" s="774" t="n"/>
      <c r="L90" s="660">
        <f>VeriGiris!L261</f>
        <v/>
      </c>
      <c r="M90" s="774" t="n"/>
      <c r="N90" s="665">
        <f>VeriGiris!N261</f>
        <v/>
      </c>
      <c r="O90" s="774" t="n"/>
      <c r="P90" s="660">
        <f>VeriGiris!P261</f>
        <v/>
      </c>
      <c r="Q90" s="774" t="n"/>
      <c r="R90" s="660">
        <f>VeriGiris!R261</f>
        <v/>
      </c>
      <c r="S90" s="773" t="n"/>
      <c r="T90" s="774" t="n"/>
      <c r="U90" s="662">
        <f>VeriGiris!U261</f>
        <v/>
      </c>
      <c r="V90" s="774" t="n"/>
      <c r="W90" s="662">
        <f>VeriGiris!W261</f>
        <v/>
      </c>
      <c r="X90" s="774" t="n"/>
      <c r="Y90" s="663">
        <f>VeriGiris!Y261</f>
        <v/>
      </c>
      <c r="Z90" s="774" t="n"/>
      <c r="AA90" s="96" t="n"/>
      <c r="AB90" s="96" t="n"/>
    </row>
    <row r="91" hidden="1" ht="15" customHeight="1" s="321">
      <c r="B91" s="664">
        <f>VeriGiris!B262</f>
        <v/>
      </c>
      <c r="C91" s="773" t="n"/>
      <c r="D91" s="773" t="n"/>
      <c r="E91" s="773" t="n"/>
      <c r="F91" s="773" t="n"/>
      <c r="G91" s="773" t="n"/>
      <c r="H91" s="773" t="n"/>
      <c r="I91" s="773" t="n"/>
      <c r="J91" s="773" t="n"/>
      <c r="K91" s="774" t="n"/>
      <c r="L91" s="660">
        <f>VeriGiris!L262</f>
        <v/>
      </c>
      <c r="M91" s="774" t="n"/>
      <c r="N91" s="665">
        <f>VeriGiris!N262</f>
        <v/>
      </c>
      <c r="O91" s="774" t="n"/>
      <c r="P91" s="660">
        <f>VeriGiris!P262</f>
        <v/>
      </c>
      <c r="Q91" s="774" t="n"/>
      <c r="R91" s="660">
        <f>VeriGiris!R262</f>
        <v/>
      </c>
      <c r="S91" s="773" t="n"/>
      <c r="T91" s="774" t="n"/>
      <c r="U91" s="662">
        <f>VeriGiris!U262</f>
        <v/>
      </c>
      <c r="V91" s="774" t="n"/>
      <c r="W91" s="662">
        <f>VeriGiris!W262</f>
        <v/>
      </c>
      <c r="X91" s="774" t="n"/>
      <c r="Y91" s="663">
        <f>VeriGiris!Y262</f>
        <v/>
      </c>
      <c r="Z91" s="774" t="n"/>
      <c r="AA91" s="96" t="n"/>
      <c r="AB91" s="96" t="n"/>
    </row>
    <row r="92" hidden="1" ht="15" customHeight="1" s="321">
      <c r="B92" s="664">
        <f>VeriGiris!B263</f>
        <v/>
      </c>
      <c r="C92" s="773" t="n"/>
      <c r="D92" s="773" t="n"/>
      <c r="E92" s="773" t="n"/>
      <c r="F92" s="773" t="n"/>
      <c r="G92" s="773" t="n"/>
      <c r="H92" s="773" t="n"/>
      <c r="I92" s="773" t="n"/>
      <c r="J92" s="773" t="n"/>
      <c r="K92" s="774" t="n"/>
      <c r="L92" s="660">
        <f>VeriGiris!L263</f>
        <v/>
      </c>
      <c r="M92" s="774" t="n"/>
      <c r="N92" s="665">
        <f>VeriGiris!N263</f>
        <v/>
      </c>
      <c r="O92" s="774" t="n"/>
      <c r="P92" s="660">
        <f>VeriGiris!P263</f>
        <v/>
      </c>
      <c r="Q92" s="774" t="n"/>
      <c r="R92" s="660">
        <f>VeriGiris!R263</f>
        <v/>
      </c>
      <c r="S92" s="773" t="n"/>
      <c r="T92" s="774" t="n"/>
      <c r="U92" s="662">
        <f>VeriGiris!U263</f>
        <v/>
      </c>
      <c r="V92" s="774" t="n"/>
      <c r="W92" s="662">
        <f>VeriGiris!W263</f>
        <v/>
      </c>
      <c r="X92" s="774" t="n"/>
      <c r="Y92" s="663">
        <f>VeriGiris!Y263</f>
        <v/>
      </c>
      <c r="Z92" s="774" t="n"/>
      <c r="AA92" s="96" t="n"/>
      <c r="AB92" s="96" t="n"/>
    </row>
    <row r="93" hidden="1" ht="15" customHeight="1" s="321">
      <c r="B93" s="664">
        <f>VeriGiris!B264</f>
        <v/>
      </c>
      <c r="C93" s="773" t="n"/>
      <c r="D93" s="773" t="n"/>
      <c r="E93" s="773" t="n"/>
      <c r="F93" s="773" t="n"/>
      <c r="G93" s="773" t="n"/>
      <c r="H93" s="773" t="n"/>
      <c r="I93" s="773" t="n"/>
      <c r="J93" s="773" t="n"/>
      <c r="K93" s="774" t="n"/>
      <c r="L93" s="660">
        <f>VeriGiris!L264</f>
        <v/>
      </c>
      <c r="M93" s="774" t="n"/>
      <c r="N93" s="665">
        <f>VeriGiris!N264</f>
        <v/>
      </c>
      <c r="O93" s="774" t="n"/>
      <c r="P93" s="660">
        <f>VeriGiris!P264</f>
        <v/>
      </c>
      <c r="Q93" s="774" t="n"/>
      <c r="R93" s="660">
        <f>VeriGiris!R264</f>
        <v/>
      </c>
      <c r="S93" s="773" t="n"/>
      <c r="T93" s="774" t="n"/>
      <c r="U93" s="662">
        <f>VeriGiris!U264</f>
        <v/>
      </c>
      <c r="V93" s="774" t="n"/>
      <c r="W93" s="662">
        <f>VeriGiris!W264</f>
        <v/>
      </c>
      <c r="X93" s="774" t="n"/>
      <c r="Y93" s="663">
        <f>VeriGiris!Y264</f>
        <v/>
      </c>
      <c r="Z93" s="774" t="n"/>
      <c r="AA93" s="96" t="n"/>
      <c r="AB93" s="96" t="n"/>
    </row>
    <row r="94" hidden="1" ht="15" customHeight="1" s="321">
      <c r="B94" s="664">
        <f>VeriGiris!B265</f>
        <v/>
      </c>
      <c r="C94" s="773" t="n"/>
      <c r="D94" s="773" t="n"/>
      <c r="E94" s="773" t="n"/>
      <c r="F94" s="773" t="n"/>
      <c r="G94" s="773" t="n"/>
      <c r="H94" s="773" t="n"/>
      <c r="I94" s="773" t="n"/>
      <c r="J94" s="773" t="n"/>
      <c r="K94" s="774" t="n"/>
      <c r="L94" s="660">
        <f>VeriGiris!L265</f>
        <v/>
      </c>
      <c r="M94" s="774" t="n"/>
      <c r="N94" s="665">
        <f>VeriGiris!N265</f>
        <v/>
      </c>
      <c r="O94" s="774" t="n"/>
      <c r="P94" s="660">
        <f>VeriGiris!P265</f>
        <v/>
      </c>
      <c r="Q94" s="774" t="n"/>
      <c r="R94" s="660">
        <f>VeriGiris!R265</f>
        <v/>
      </c>
      <c r="S94" s="773" t="n"/>
      <c r="T94" s="774" t="n"/>
      <c r="U94" s="662">
        <f>VeriGiris!U265</f>
        <v/>
      </c>
      <c r="V94" s="774" t="n"/>
      <c r="W94" s="662">
        <f>VeriGiris!W265</f>
        <v/>
      </c>
      <c r="X94" s="774" t="n"/>
      <c r="Y94" s="663">
        <f>VeriGiris!Y265</f>
        <v/>
      </c>
      <c r="Z94" s="774" t="n"/>
      <c r="AA94" s="96" t="n"/>
      <c r="AB94" s="96" t="n"/>
    </row>
    <row r="95" hidden="1" ht="15" customHeight="1" s="321">
      <c r="B95" s="664">
        <f>VeriGiris!B266</f>
        <v/>
      </c>
      <c r="C95" s="773" t="n"/>
      <c r="D95" s="773" t="n"/>
      <c r="E95" s="773" t="n"/>
      <c r="F95" s="773" t="n"/>
      <c r="G95" s="773" t="n"/>
      <c r="H95" s="773" t="n"/>
      <c r="I95" s="773" t="n"/>
      <c r="J95" s="773" t="n"/>
      <c r="K95" s="774" t="n"/>
      <c r="L95" s="660">
        <f>VeriGiris!L266</f>
        <v/>
      </c>
      <c r="M95" s="774" t="n"/>
      <c r="N95" s="665">
        <f>VeriGiris!N266</f>
        <v/>
      </c>
      <c r="O95" s="774" t="n"/>
      <c r="P95" s="660">
        <f>VeriGiris!P266</f>
        <v/>
      </c>
      <c r="Q95" s="774" t="n"/>
      <c r="R95" s="660">
        <f>VeriGiris!R266</f>
        <v/>
      </c>
      <c r="S95" s="773" t="n"/>
      <c r="T95" s="774" t="n"/>
      <c r="U95" s="662">
        <f>VeriGiris!U266</f>
        <v/>
      </c>
      <c r="V95" s="774" t="n"/>
      <c r="W95" s="662">
        <f>VeriGiris!W266</f>
        <v/>
      </c>
      <c r="X95" s="774" t="n"/>
      <c r="Y95" s="663">
        <f>VeriGiris!Y266</f>
        <v/>
      </c>
      <c r="Z95" s="774" t="n"/>
      <c r="AA95" s="96" t="n"/>
      <c r="AB95" s="96" t="n"/>
    </row>
    <row r="96" hidden="1" ht="15" customHeight="1" s="321">
      <c r="B96" s="664">
        <f>VeriGiris!B267</f>
        <v/>
      </c>
      <c r="C96" s="773" t="n"/>
      <c r="D96" s="773" t="n"/>
      <c r="E96" s="773" t="n"/>
      <c r="F96" s="773" t="n"/>
      <c r="G96" s="773" t="n"/>
      <c r="H96" s="773" t="n"/>
      <c r="I96" s="773" t="n"/>
      <c r="J96" s="773" t="n"/>
      <c r="K96" s="774" t="n"/>
      <c r="L96" s="660">
        <f>VeriGiris!L267</f>
        <v/>
      </c>
      <c r="M96" s="774" t="n"/>
      <c r="N96" s="665">
        <f>VeriGiris!N267</f>
        <v/>
      </c>
      <c r="O96" s="774" t="n"/>
      <c r="P96" s="660">
        <f>VeriGiris!P267</f>
        <v/>
      </c>
      <c r="Q96" s="774" t="n"/>
      <c r="R96" s="660">
        <f>VeriGiris!R267</f>
        <v/>
      </c>
      <c r="S96" s="773" t="n"/>
      <c r="T96" s="774" t="n"/>
      <c r="U96" s="662">
        <f>VeriGiris!U267</f>
        <v/>
      </c>
      <c r="V96" s="774" t="n"/>
      <c r="W96" s="662">
        <f>VeriGiris!W267</f>
        <v/>
      </c>
      <c r="X96" s="774" t="n"/>
      <c r="Y96" s="663">
        <f>VeriGiris!Y267</f>
        <v/>
      </c>
      <c r="Z96" s="774" t="n"/>
      <c r="AA96" s="96" t="n"/>
      <c r="AB96" s="96" t="n"/>
    </row>
    <row r="97" hidden="1" ht="15" customHeight="1" s="321">
      <c r="B97" s="664">
        <f>VeriGiris!B268</f>
        <v/>
      </c>
      <c r="C97" s="773" t="n"/>
      <c r="D97" s="773" t="n"/>
      <c r="E97" s="773" t="n"/>
      <c r="F97" s="773" t="n"/>
      <c r="G97" s="773" t="n"/>
      <c r="H97" s="773" t="n"/>
      <c r="I97" s="773" t="n"/>
      <c r="J97" s="773" t="n"/>
      <c r="K97" s="774" t="n"/>
      <c r="L97" s="660">
        <f>VeriGiris!L268</f>
        <v/>
      </c>
      <c r="M97" s="774" t="n"/>
      <c r="N97" s="665">
        <f>VeriGiris!N268</f>
        <v/>
      </c>
      <c r="O97" s="774" t="n"/>
      <c r="P97" s="660">
        <f>VeriGiris!P268</f>
        <v/>
      </c>
      <c r="Q97" s="774" t="n"/>
      <c r="R97" s="660">
        <f>VeriGiris!R268</f>
        <v/>
      </c>
      <c r="S97" s="773" t="n"/>
      <c r="T97" s="774" t="n"/>
      <c r="U97" s="662">
        <f>VeriGiris!U268</f>
        <v/>
      </c>
      <c r="V97" s="774" t="n"/>
      <c r="W97" s="662">
        <f>VeriGiris!W268</f>
        <v/>
      </c>
      <c r="X97" s="774" t="n"/>
      <c r="Y97" s="663">
        <f>VeriGiris!Y268</f>
        <v/>
      </c>
      <c r="Z97" s="774" t="n"/>
      <c r="AA97" s="96" t="n"/>
      <c r="AB97" s="96" t="n"/>
    </row>
    <row r="98" hidden="1" ht="15" customHeight="1" s="321">
      <c r="B98" s="664">
        <f>VeriGiris!B269</f>
        <v/>
      </c>
      <c r="C98" s="773" t="n"/>
      <c r="D98" s="773" t="n"/>
      <c r="E98" s="773" t="n"/>
      <c r="F98" s="773" t="n"/>
      <c r="G98" s="773" t="n"/>
      <c r="H98" s="773" t="n"/>
      <c r="I98" s="773" t="n"/>
      <c r="J98" s="773" t="n"/>
      <c r="K98" s="774" t="n"/>
      <c r="L98" s="660">
        <f>VeriGiris!L269</f>
        <v/>
      </c>
      <c r="M98" s="774" t="n"/>
      <c r="N98" s="665">
        <f>VeriGiris!N269</f>
        <v/>
      </c>
      <c r="O98" s="774" t="n"/>
      <c r="P98" s="660">
        <f>VeriGiris!P269</f>
        <v/>
      </c>
      <c r="Q98" s="774" t="n"/>
      <c r="R98" s="660">
        <f>VeriGiris!R269</f>
        <v/>
      </c>
      <c r="S98" s="773" t="n"/>
      <c r="T98" s="774" t="n"/>
      <c r="U98" s="662">
        <f>VeriGiris!U269</f>
        <v/>
      </c>
      <c r="V98" s="774" t="n"/>
      <c r="W98" s="662">
        <f>VeriGiris!W269</f>
        <v/>
      </c>
      <c r="X98" s="774" t="n"/>
      <c r="Y98" s="663">
        <f>VeriGiris!Y269</f>
        <v/>
      </c>
      <c r="Z98" s="774" t="n"/>
      <c r="AA98" s="96" t="n"/>
      <c r="AB98" s="96" t="n"/>
    </row>
    <row r="99" hidden="1" ht="15" customHeight="1" s="321">
      <c r="B99" s="664">
        <f>VeriGiris!B270</f>
        <v/>
      </c>
      <c r="C99" s="773" t="n"/>
      <c r="D99" s="773" t="n"/>
      <c r="E99" s="773" t="n"/>
      <c r="F99" s="773" t="n"/>
      <c r="G99" s="773" t="n"/>
      <c r="H99" s="773" t="n"/>
      <c r="I99" s="773" t="n"/>
      <c r="J99" s="773" t="n"/>
      <c r="K99" s="774" t="n"/>
      <c r="L99" s="660">
        <f>VeriGiris!L270</f>
        <v/>
      </c>
      <c r="M99" s="774" t="n"/>
      <c r="N99" s="665">
        <f>VeriGiris!N270</f>
        <v/>
      </c>
      <c r="O99" s="774" t="n"/>
      <c r="P99" s="660">
        <f>VeriGiris!P270</f>
        <v/>
      </c>
      <c r="Q99" s="774" t="n"/>
      <c r="R99" s="660">
        <f>VeriGiris!R270</f>
        <v/>
      </c>
      <c r="S99" s="773" t="n"/>
      <c r="T99" s="774" t="n"/>
      <c r="U99" s="662">
        <f>VeriGiris!U270</f>
        <v/>
      </c>
      <c r="V99" s="774" t="n"/>
      <c r="W99" s="662">
        <f>VeriGiris!W270</f>
        <v/>
      </c>
      <c r="X99" s="774" t="n"/>
      <c r="Y99" s="663">
        <f>VeriGiris!Y270</f>
        <v/>
      </c>
      <c r="Z99" s="774" t="n"/>
      <c r="AA99" s="96" t="n"/>
      <c r="AB99" s="96" t="n"/>
    </row>
    <row r="100" hidden="1" ht="15" customHeight="1" s="321">
      <c r="B100" s="664">
        <f>VeriGiris!B271</f>
        <v/>
      </c>
      <c r="C100" s="773" t="n"/>
      <c r="D100" s="773" t="n"/>
      <c r="E100" s="773" t="n"/>
      <c r="F100" s="773" t="n"/>
      <c r="G100" s="773" t="n"/>
      <c r="H100" s="773" t="n"/>
      <c r="I100" s="773" t="n"/>
      <c r="J100" s="773" t="n"/>
      <c r="K100" s="774" t="n"/>
      <c r="L100" s="660">
        <f>VeriGiris!L271</f>
        <v/>
      </c>
      <c r="M100" s="774" t="n"/>
      <c r="N100" s="665">
        <f>VeriGiris!N271</f>
        <v/>
      </c>
      <c r="O100" s="774" t="n"/>
      <c r="P100" s="660">
        <f>VeriGiris!P271</f>
        <v/>
      </c>
      <c r="Q100" s="774" t="n"/>
      <c r="R100" s="660">
        <f>VeriGiris!R271</f>
        <v/>
      </c>
      <c r="S100" s="773" t="n"/>
      <c r="T100" s="774" t="n"/>
      <c r="U100" s="662">
        <f>VeriGiris!U271</f>
        <v/>
      </c>
      <c r="V100" s="774" t="n"/>
      <c r="W100" s="662">
        <f>VeriGiris!W271</f>
        <v/>
      </c>
      <c r="X100" s="774" t="n"/>
      <c r="Y100" s="663">
        <f>VeriGiris!Y271</f>
        <v/>
      </c>
      <c r="Z100" s="774" t="n"/>
      <c r="AA100" s="96" t="n"/>
      <c r="AB100" s="96" t="n"/>
    </row>
    <row r="101" hidden="1" ht="15" customHeight="1" s="321">
      <c r="B101" s="664">
        <f>VeriGiris!B272</f>
        <v/>
      </c>
      <c r="C101" s="773" t="n"/>
      <c r="D101" s="773" t="n"/>
      <c r="E101" s="773" t="n"/>
      <c r="F101" s="773" t="n"/>
      <c r="G101" s="773" t="n"/>
      <c r="H101" s="773" t="n"/>
      <c r="I101" s="773" t="n"/>
      <c r="J101" s="773" t="n"/>
      <c r="K101" s="774" t="n"/>
      <c r="L101" s="660">
        <f>VeriGiris!L272</f>
        <v/>
      </c>
      <c r="M101" s="774" t="n"/>
      <c r="N101" s="665">
        <f>VeriGiris!N272</f>
        <v/>
      </c>
      <c r="O101" s="774" t="n"/>
      <c r="P101" s="660">
        <f>VeriGiris!P272</f>
        <v/>
      </c>
      <c r="Q101" s="774" t="n"/>
      <c r="R101" s="660">
        <f>VeriGiris!R272</f>
        <v/>
      </c>
      <c r="S101" s="773" t="n"/>
      <c r="T101" s="774" t="n"/>
      <c r="U101" s="662">
        <f>VeriGiris!U272</f>
        <v/>
      </c>
      <c r="V101" s="774" t="n"/>
      <c r="W101" s="662">
        <f>VeriGiris!W272</f>
        <v/>
      </c>
      <c r="X101" s="774" t="n"/>
      <c r="Y101" s="663">
        <f>VeriGiris!Y272</f>
        <v/>
      </c>
      <c r="Z101" s="774" t="n"/>
      <c r="AA101" s="96" t="n"/>
      <c r="AB101" s="96" t="n"/>
    </row>
    <row r="102" hidden="1" ht="15" customHeight="1" s="321">
      <c r="B102" s="664">
        <f>VeriGiris!B273</f>
        <v/>
      </c>
      <c r="C102" s="773" t="n"/>
      <c r="D102" s="773" t="n"/>
      <c r="E102" s="773" t="n"/>
      <c r="F102" s="773" t="n"/>
      <c r="G102" s="773" t="n"/>
      <c r="H102" s="773" t="n"/>
      <c r="I102" s="773" t="n"/>
      <c r="J102" s="773" t="n"/>
      <c r="K102" s="774" t="n"/>
      <c r="L102" s="660">
        <f>VeriGiris!L273</f>
        <v/>
      </c>
      <c r="M102" s="774" t="n"/>
      <c r="N102" s="665">
        <f>VeriGiris!N273</f>
        <v/>
      </c>
      <c r="O102" s="774" t="n"/>
      <c r="P102" s="660">
        <f>VeriGiris!P273</f>
        <v/>
      </c>
      <c r="Q102" s="774" t="n"/>
      <c r="R102" s="660">
        <f>VeriGiris!R273</f>
        <v/>
      </c>
      <c r="S102" s="773" t="n"/>
      <c r="T102" s="774" t="n"/>
      <c r="U102" s="662">
        <f>VeriGiris!U273</f>
        <v/>
      </c>
      <c r="V102" s="774" t="n"/>
      <c r="W102" s="662">
        <f>VeriGiris!W273</f>
        <v/>
      </c>
      <c r="X102" s="774" t="n"/>
      <c r="Y102" s="663">
        <f>VeriGiris!Y273</f>
        <v/>
      </c>
      <c r="Z102" s="774" t="n"/>
      <c r="AA102" s="96" t="n"/>
      <c r="AB102" s="96" t="n"/>
    </row>
    <row r="103" hidden="1" ht="15" customHeight="1" s="321">
      <c r="B103" s="664">
        <f>VeriGiris!B274</f>
        <v/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4" t="n"/>
      <c r="L103" s="660">
        <f>VeriGiris!L274</f>
        <v/>
      </c>
      <c r="M103" s="774" t="n"/>
      <c r="N103" s="665">
        <f>VeriGiris!N274</f>
        <v/>
      </c>
      <c r="O103" s="774" t="n"/>
      <c r="P103" s="660">
        <f>VeriGiris!P274</f>
        <v/>
      </c>
      <c r="Q103" s="774" t="n"/>
      <c r="R103" s="660">
        <f>VeriGiris!R274</f>
        <v/>
      </c>
      <c r="S103" s="773" t="n"/>
      <c r="T103" s="774" t="n"/>
      <c r="U103" s="662">
        <f>VeriGiris!U274</f>
        <v/>
      </c>
      <c r="V103" s="774" t="n"/>
      <c r="W103" s="662">
        <f>VeriGiris!W274</f>
        <v/>
      </c>
      <c r="X103" s="774" t="n"/>
      <c r="Y103" s="663">
        <f>VeriGiris!Y274</f>
        <v/>
      </c>
      <c r="Z103" s="774" t="n"/>
      <c r="AA103" s="96" t="n"/>
      <c r="AB103" s="96" t="n"/>
    </row>
    <row r="104" hidden="1" ht="15" customHeight="1" s="321">
      <c r="B104" s="664">
        <f>VeriGiris!B275</f>
        <v/>
      </c>
      <c r="C104" s="773" t="n"/>
      <c r="D104" s="773" t="n"/>
      <c r="E104" s="773" t="n"/>
      <c r="F104" s="773" t="n"/>
      <c r="G104" s="773" t="n"/>
      <c r="H104" s="773" t="n"/>
      <c r="I104" s="773" t="n"/>
      <c r="J104" s="773" t="n"/>
      <c r="K104" s="774" t="n"/>
      <c r="L104" s="660">
        <f>VeriGiris!L275</f>
        <v/>
      </c>
      <c r="M104" s="774" t="n"/>
      <c r="N104" s="665">
        <f>VeriGiris!N275</f>
        <v/>
      </c>
      <c r="O104" s="774" t="n"/>
      <c r="P104" s="660">
        <f>VeriGiris!P275</f>
        <v/>
      </c>
      <c r="Q104" s="774" t="n"/>
      <c r="R104" s="660">
        <f>VeriGiris!R275</f>
        <v/>
      </c>
      <c r="S104" s="773" t="n"/>
      <c r="T104" s="774" t="n"/>
      <c r="U104" s="662">
        <f>VeriGiris!U275</f>
        <v/>
      </c>
      <c r="V104" s="774" t="n"/>
      <c r="W104" s="662">
        <f>VeriGiris!W275</f>
        <v/>
      </c>
      <c r="X104" s="774" t="n"/>
      <c r="Y104" s="663">
        <f>VeriGiris!Y275</f>
        <v/>
      </c>
      <c r="Z104" s="774" t="n"/>
      <c r="AA104" s="96" t="n"/>
      <c r="AB104" s="96" t="n"/>
    </row>
    <row r="105" hidden="1" ht="15" customHeight="1" s="321">
      <c r="B105" s="664">
        <f>VeriGiris!B276</f>
        <v/>
      </c>
      <c r="C105" s="773" t="n"/>
      <c r="D105" s="773" t="n"/>
      <c r="E105" s="773" t="n"/>
      <c r="F105" s="773" t="n"/>
      <c r="G105" s="773" t="n"/>
      <c r="H105" s="773" t="n"/>
      <c r="I105" s="773" t="n"/>
      <c r="J105" s="773" t="n"/>
      <c r="K105" s="774" t="n"/>
      <c r="L105" s="660">
        <f>VeriGiris!L276</f>
        <v/>
      </c>
      <c r="M105" s="774" t="n"/>
      <c r="N105" s="665">
        <f>VeriGiris!N276</f>
        <v/>
      </c>
      <c r="O105" s="774" t="n"/>
      <c r="P105" s="660">
        <f>VeriGiris!P276</f>
        <v/>
      </c>
      <c r="Q105" s="774" t="n"/>
      <c r="R105" s="660">
        <f>VeriGiris!R276</f>
        <v/>
      </c>
      <c r="S105" s="773" t="n"/>
      <c r="T105" s="774" t="n"/>
      <c r="U105" s="662">
        <f>VeriGiris!U276</f>
        <v/>
      </c>
      <c r="V105" s="774" t="n"/>
      <c r="W105" s="662">
        <f>VeriGiris!W276</f>
        <v/>
      </c>
      <c r="X105" s="774" t="n"/>
      <c r="Y105" s="663">
        <f>VeriGiris!Y276</f>
        <v/>
      </c>
      <c r="Z105" s="774" t="n"/>
      <c r="AA105" s="96" t="n"/>
      <c r="AB105" s="96" t="n"/>
    </row>
    <row r="106" hidden="1" ht="15" customHeight="1" s="321">
      <c r="B106" s="664">
        <f>VeriGiris!B277</f>
        <v/>
      </c>
      <c r="C106" s="773" t="n"/>
      <c r="D106" s="773" t="n"/>
      <c r="E106" s="773" t="n"/>
      <c r="F106" s="773" t="n"/>
      <c r="G106" s="773" t="n"/>
      <c r="H106" s="773" t="n"/>
      <c r="I106" s="773" t="n"/>
      <c r="J106" s="773" t="n"/>
      <c r="K106" s="774" t="n"/>
      <c r="L106" s="660">
        <f>VeriGiris!L277</f>
        <v/>
      </c>
      <c r="M106" s="774" t="n"/>
      <c r="N106" s="665">
        <f>VeriGiris!N277</f>
        <v/>
      </c>
      <c r="O106" s="774" t="n"/>
      <c r="P106" s="660">
        <f>VeriGiris!P277</f>
        <v/>
      </c>
      <c r="Q106" s="774" t="n"/>
      <c r="R106" s="660">
        <f>VeriGiris!R277</f>
        <v/>
      </c>
      <c r="S106" s="773" t="n"/>
      <c r="T106" s="774" t="n"/>
      <c r="U106" s="662">
        <f>VeriGiris!U277</f>
        <v/>
      </c>
      <c r="V106" s="774" t="n"/>
      <c r="W106" s="662">
        <f>VeriGiris!W277</f>
        <v/>
      </c>
      <c r="X106" s="774" t="n"/>
      <c r="Y106" s="663">
        <f>VeriGiris!Y277</f>
        <v/>
      </c>
      <c r="Z106" s="774" t="n"/>
      <c r="AA106" s="96" t="n"/>
      <c r="AB106" s="96" t="n"/>
    </row>
    <row r="107">
      <c r="B107" s="692">
        <f>VeriGiris!B278</f>
        <v/>
      </c>
      <c r="C107" s="773" t="n"/>
      <c r="D107" s="773" t="n"/>
      <c r="E107" s="773" t="n"/>
      <c r="F107" s="773" t="n"/>
      <c r="G107" s="773" t="n"/>
      <c r="H107" s="773" t="n"/>
      <c r="I107" s="773" t="n"/>
      <c r="J107" s="773" t="n"/>
      <c r="K107" s="774" t="n"/>
      <c r="L107" s="693" t="n"/>
      <c r="M107" s="774" t="n"/>
      <c r="N107" s="694" t="n"/>
      <c r="O107" s="774" t="n"/>
      <c r="P107" s="693" t="n"/>
      <c r="Q107" s="774" t="n"/>
      <c r="R107" s="695">
        <f>VeriGiris!R278</f>
        <v/>
      </c>
      <c r="S107" s="773" t="n"/>
      <c r="T107" s="774" t="n"/>
      <c r="U107" s="696" t="n"/>
      <c r="V107" s="774" t="n"/>
      <c r="W107" s="696" t="n"/>
      <c r="X107" s="774" t="n"/>
      <c r="Y107" s="697">
        <f>VeriGiris!Y278</f>
        <v/>
      </c>
      <c r="Z107" s="774" t="n"/>
      <c r="AA107" s="96" t="n"/>
      <c r="AB107" s="96" t="n"/>
    </row>
    <row r="108">
      <c r="B108" s="664">
        <f>VeriGiris!B279</f>
        <v/>
      </c>
      <c r="C108" s="773" t="n"/>
      <c r="D108" s="773" t="n"/>
      <c r="E108" s="773" t="n"/>
      <c r="F108" s="773" t="n"/>
      <c r="G108" s="773" t="n"/>
      <c r="H108" s="773" t="n"/>
      <c r="I108" s="773" t="n"/>
      <c r="J108" s="773" t="n"/>
      <c r="K108" s="774" t="n"/>
      <c r="L108" s="660">
        <f>VeriGiris!L279</f>
        <v/>
      </c>
      <c r="M108" s="774" t="n"/>
      <c r="N108" s="665">
        <f>VeriGiris!N279</f>
        <v/>
      </c>
      <c r="O108" s="774" t="n"/>
      <c r="P108" s="660">
        <f>VeriGiris!P279</f>
        <v/>
      </c>
      <c r="Q108" s="774" t="n"/>
      <c r="R108" s="660">
        <f>VeriGiris!R279</f>
        <v/>
      </c>
      <c r="S108" s="773" t="n"/>
      <c r="T108" s="774" t="n"/>
      <c r="U108" s="662">
        <f>VeriGiris!U279</f>
        <v/>
      </c>
      <c r="V108" s="774" t="n"/>
      <c r="W108" s="662">
        <f>VeriGiris!W279</f>
        <v/>
      </c>
      <c r="X108" s="774" t="n"/>
      <c r="Y108" s="663">
        <f>VeriGiris!Y279</f>
        <v/>
      </c>
      <c r="Z108" s="774" t="n"/>
      <c r="AA108" s="96" t="n"/>
      <c r="AB108" s="96" t="n"/>
    </row>
    <row r="109" hidden="1" ht="15" customHeight="1" s="321">
      <c r="B109" s="664">
        <f>VeriGiris!B280</f>
        <v/>
      </c>
      <c r="C109" s="773" t="n"/>
      <c r="D109" s="773" t="n"/>
      <c r="E109" s="773" t="n"/>
      <c r="F109" s="773" t="n"/>
      <c r="G109" s="773" t="n"/>
      <c r="H109" s="773" t="n"/>
      <c r="I109" s="773" t="n"/>
      <c r="J109" s="773" t="n"/>
      <c r="K109" s="774" t="n"/>
      <c r="L109" s="660">
        <f>VeriGiris!L280</f>
        <v/>
      </c>
      <c r="M109" s="774" t="n"/>
      <c r="N109" s="665">
        <f>VeriGiris!N280</f>
        <v/>
      </c>
      <c r="O109" s="774" t="n"/>
      <c r="P109" s="660">
        <f>VeriGiris!P280</f>
        <v/>
      </c>
      <c r="Q109" s="774" t="n"/>
      <c r="R109" s="660">
        <f>VeriGiris!R280</f>
        <v/>
      </c>
      <c r="S109" s="773" t="n"/>
      <c r="T109" s="774" t="n"/>
      <c r="U109" s="662">
        <f>VeriGiris!U280</f>
        <v/>
      </c>
      <c r="V109" s="774" t="n"/>
      <c r="W109" s="662">
        <f>VeriGiris!W280</f>
        <v/>
      </c>
      <c r="X109" s="774" t="n"/>
      <c r="Y109" s="663">
        <f>VeriGiris!Y280</f>
        <v/>
      </c>
      <c r="Z109" s="774" t="n"/>
      <c r="AA109" s="96" t="n"/>
      <c r="AB109" s="96" t="n"/>
    </row>
    <row r="110" hidden="1" ht="15" customHeight="1" s="321">
      <c r="B110" s="664">
        <f>VeriGiris!B281</f>
        <v/>
      </c>
      <c r="C110" s="773" t="n"/>
      <c r="D110" s="773" t="n"/>
      <c r="E110" s="773" t="n"/>
      <c r="F110" s="773" t="n"/>
      <c r="G110" s="773" t="n"/>
      <c r="H110" s="773" t="n"/>
      <c r="I110" s="773" t="n"/>
      <c r="J110" s="773" t="n"/>
      <c r="K110" s="774" t="n"/>
      <c r="L110" s="660">
        <f>VeriGiris!L281</f>
        <v/>
      </c>
      <c r="M110" s="774" t="n"/>
      <c r="N110" s="665">
        <f>VeriGiris!N281</f>
        <v/>
      </c>
      <c r="O110" s="774" t="n"/>
      <c r="P110" s="660">
        <f>VeriGiris!P281</f>
        <v/>
      </c>
      <c r="Q110" s="774" t="n"/>
      <c r="R110" s="660">
        <f>VeriGiris!R281</f>
        <v/>
      </c>
      <c r="S110" s="773" t="n"/>
      <c r="T110" s="774" t="n"/>
      <c r="U110" s="662">
        <f>VeriGiris!U281</f>
        <v/>
      </c>
      <c r="V110" s="774" t="n"/>
      <c r="W110" s="662">
        <f>VeriGiris!W281</f>
        <v/>
      </c>
      <c r="X110" s="774" t="n"/>
      <c r="Y110" s="663">
        <f>VeriGiris!Y281</f>
        <v/>
      </c>
      <c r="Z110" s="774" t="n"/>
      <c r="AA110" s="96" t="n"/>
      <c r="AB110" s="96" t="n"/>
    </row>
    <row r="111" hidden="1" ht="15" customHeight="1" s="321">
      <c r="B111" s="664">
        <f>VeriGiris!B282</f>
        <v/>
      </c>
      <c r="C111" s="773" t="n"/>
      <c r="D111" s="773" t="n"/>
      <c r="E111" s="773" t="n"/>
      <c r="F111" s="773" t="n"/>
      <c r="G111" s="773" t="n"/>
      <c r="H111" s="773" t="n"/>
      <c r="I111" s="773" t="n"/>
      <c r="J111" s="773" t="n"/>
      <c r="K111" s="774" t="n"/>
      <c r="L111" s="660">
        <f>VeriGiris!L282</f>
        <v/>
      </c>
      <c r="M111" s="774" t="n"/>
      <c r="N111" s="665">
        <f>VeriGiris!N282</f>
        <v/>
      </c>
      <c r="O111" s="774" t="n"/>
      <c r="P111" s="660">
        <f>VeriGiris!P282</f>
        <v/>
      </c>
      <c r="Q111" s="774" t="n"/>
      <c r="R111" s="660">
        <f>VeriGiris!R282</f>
        <v/>
      </c>
      <c r="S111" s="773" t="n"/>
      <c r="T111" s="774" t="n"/>
      <c r="U111" s="662">
        <f>VeriGiris!U282</f>
        <v/>
      </c>
      <c r="V111" s="774" t="n"/>
      <c r="W111" s="662">
        <f>VeriGiris!W282</f>
        <v/>
      </c>
      <c r="X111" s="774" t="n"/>
      <c r="Y111" s="663">
        <f>VeriGiris!Y282</f>
        <v/>
      </c>
      <c r="Z111" s="774" t="n"/>
      <c r="AA111" s="96" t="n"/>
      <c r="AB111" s="96" t="n"/>
    </row>
    <row r="112" hidden="1" ht="15" customHeight="1" s="321">
      <c r="B112" s="664">
        <f>VeriGiris!B283</f>
        <v/>
      </c>
      <c r="C112" s="773" t="n"/>
      <c r="D112" s="773" t="n"/>
      <c r="E112" s="773" t="n"/>
      <c r="F112" s="773" t="n"/>
      <c r="G112" s="773" t="n"/>
      <c r="H112" s="773" t="n"/>
      <c r="I112" s="773" t="n"/>
      <c r="J112" s="773" t="n"/>
      <c r="K112" s="774" t="n"/>
      <c r="L112" s="660">
        <f>VeriGiris!L283</f>
        <v/>
      </c>
      <c r="M112" s="774" t="n"/>
      <c r="N112" s="665">
        <f>VeriGiris!N283</f>
        <v/>
      </c>
      <c r="O112" s="774" t="n"/>
      <c r="P112" s="660">
        <f>VeriGiris!P283</f>
        <v/>
      </c>
      <c r="Q112" s="774" t="n"/>
      <c r="R112" s="660">
        <f>VeriGiris!R283</f>
        <v/>
      </c>
      <c r="S112" s="773" t="n"/>
      <c r="T112" s="774" t="n"/>
      <c r="U112" s="662">
        <f>VeriGiris!U283</f>
        <v/>
      </c>
      <c r="V112" s="774" t="n"/>
      <c r="W112" s="662">
        <f>VeriGiris!W283</f>
        <v/>
      </c>
      <c r="X112" s="774" t="n"/>
      <c r="Y112" s="663">
        <f>VeriGiris!Y283</f>
        <v/>
      </c>
      <c r="Z112" s="774" t="n"/>
      <c r="AA112" s="96" t="n"/>
      <c r="AB112" s="96" t="n"/>
    </row>
    <row r="113" hidden="1" ht="15" customHeight="1" s="321">
      <c r="B113" s="664">
        <f>VeriGiris!B284</f>
        <v/>
      </c>
      <c r="C113" s="773" t="n"/>
      <c r="D113" s="773" t="n"/>
      <c r="E113" s="773" t="n"/>
      <c r="F113" s="773" t="n"/>
      <c r="G113" s="773" t="n"/>
      <c r="H113" s="773" t="n"/>
      <c r="I113" s="773" t="n"/>
      <c r="J113" s="773" t="n"/>
      <c r="K113" s="774" t="n"/>
      <c r="L113" s="660">
        <f>VeriGiris!L284</f>
        <v/>
      </c>
      <c r="M113" s="774" t="n"/>
      <c r="N113" s="665">
        <f>VeriGiris!N284</f>
        <v/>
      </c>
      <c r="O113" s="774" t="n"/>
      <c r="P113" s="660">
        <f>VeriGiris!P284</f>
        <v/>
      </c>
      <c r="Q113" s="774" t="n"/>
      <c r="R113" s="660">
        <f>VeriGiris!R284</f>
        <v/>
      </c>
      <c r="S113" s="773" t="n"/>
      <c r="T113" s="774" t="n"/>
      <c r="U113" s="662">
        <f>VeriGiris!U284</f>
        <v/>
      </c>
      <c r="V113" s="774" t="n"/>
      <c r="W113" s="662">
        <f>VeriGiris!W284</f>
        <v/>
      </c>
      <c r="X113" s="774" t="n"/>
      <c r="Y113" s="663">
        <f>VeriGiris!Y284</f>
        <v/>
      </c>
      <c r="Z113" s="774" t="n"/>
      <c r="AA113" s="96" t="n"/>
      <c r="AB113" s="96" t="n"/>
    </row>
    <row r="114" hidden="1" ht="15" customHeight="1" s="321">
      <c r="B114" s="664">
        <f>VeriGiris!B285</f>
        <v/>
      </c>
      <c r="C114" s="773" t="n"/>
      <c r="D114" s="773" t="n"/>
      <c r="E114" s="773" t="n"/>
      <c r="F114" s="773" t="n"/>
      <c r="G114" s="773" t="n"/>
      <c r="H114" s="773" t="n"/>
      <c r="I114" s="773" t="n"/>
      <c r="J114" s="773" t="n"/>
      <c r="K114" s="774" t="n"/>
      <c r="L114" s="660">
        <f>VeriGiris!L285</f>
        <v/>
      </c>
      <c r="M114" s="774" t="n"/>
      <c r="N114" s="665">
        <f>VeriGiris!N285</f>
        <v/>
      </c>
      <c r="O114" s="774" t="n"/>
      <c r="P114" s="660">
        <f>VeriGiris!P285</f>
        <v/>
      </c>
      <c r="Q114" s="774" t="n"/>
      <c r="R114" s="660">
        <f>VeriGiris!R285</f>
        <v/>
      </c>
      <c r="S114" s="773" t="n"/>
      <c r="T114" s="774" t="n"/>
      <c r="U114" s="662">
        <f>VeriGiris!U285</f>
        <v/>
      </c>
      <c r="V114" s="774" t="n"/>
      <c r="W114" s="662">
        <f>VeriGiris!W285</f>
        <v/>
      </c>
      <c r="X114" s="774" t="n"/>
      <c r="Y114" s="663">
        <f>VeriGiris!Y285</f>
        <v/>
      </c>
      <c r="Z114" s="774" t="n"/>
      <c r="AA114" s="96" t="n"/>
      <c r="AB114" s="96" t="n"/>
    </row>
    <row r="115" hidden="1" ht="15" customHeight="1" s="321">
      <c r="B115" s="664">
        <f>VeriGiris!B286</f>
        <v/>
      </c>
      <c r="C115" s="773" t="n"/>
      <c r="D115" s="773" t="n"/>
      <c r="E115" s="773" t="n"/>
      <c r="F115" s="773" t="n"/>
      <c r="G115" s="773" t="n"/>
      <c r="H115" s="773" t="n"/>
      <c r="I115" s="773" t="n"/>
      <c r="J115" s="773" t="n"/>
      <c r="K115" s="774" t="n"/>
      <c r="L115" s="660">
        <f>VeriGiris!L286</f>
        <v/>
      </c>
      <c r="M115" s="774" t="n"/>
      <c r="N115" s="665">
        <f>VeriGiris!N286</f>
        <v/>
      </c>
      <c r="O115" s="774" t="n"/>
      <c r="P115" s="660">
        <f>VeriGiris!P286</f>
        <v/>
      </c>
      <c r="Q115" s="774" t="n"/>
      <c r="R115" s="660">
        <f>VeriGiris!R286</f>
        <v/>
      </c>
      <c r="S115" s="773" t="n"/>
      <c r="T115" s="774" t="n"/>
      <c r="U115" s="662">
        <f>VeriGiris!U286</f>
        <v/>
      </c>
      <c r="V115" s="774" t="n"/>
      <c r="W115" s="662">
        <f>VeriGiris!W286</f>
        <v/>
      </c>
      <c r="X115" s="774" t="n"/>
      <c r="Y115" s="663">
        <f>VeriGiris!Y286</f>
        <v/>
      </c>
      <c r="Z115" s="774" t="n"/>
      <c r="AA115" s="96" t="n"/>
      <c r="AB115" s="96" t="n"/>
    </row>
    <row r="116" hidden="1" ht="15" customHeight="1" s="321">
      <c r="B116" s="664">
        <f>VeriGiris!B287</f>
        <v/>
      </c>
      <c r="C116" s="773" t="n"/>
      <c r="D116" s="773" t="n"/>
      <c r="E116" s="773" t="n"/>
      <c r="F116" s="773" t="n"/>
      <c r="G116" s="773" t="n"/>
      <c r="H116" s="773" t="n"/>
      <c r="I116" s="773" t="n"/>
      <c r="J116" s="773" t="n"/>
      <c r="K116" s="774" t="n"/>
      <c r="L116" s="660">
        <f>VeriGiris!L287</f>
        <v/>
      </c>
      <c r="M116" s="774" t="n"/>
      <c r="N116" s="665">
        <f>VeriGiris!N287</f>
        <v/>
      </c>
      <c r="O116" s="774" t="n"/>
      <c r="P116" s="660">
        <f>VeriGiris!P287</f>
        <v/>
      </c>
      <c r="Q116" s="774" t="n"/>
      <c r="R116" s="660">
        <f>VeriGiris!R287</f>
        <v/>
      </c>
      <c r="S116" s="773" t="n"/>
      <c r="T116" s="774" t="n"/>
      <c r="U116" s="662">
        <f>VeriGiris!U287</f>
        <v/>
      </c>
      <c r="V116" s="774" t="n"/>
      <c r="W116" s="662">
        <f>VeriGiris!W287</f>
        <v/>
      </c>
      <c r="X116" s="774" t="n"/>
      <c r="Y116" s="663">
        <f>VeriGiris!Y287</f>
        <v/>
      </c>
      <c r="Z116" s="774" t="n"/>
      <c r="AA116" s="96" t="n"/>
      <c r="AB116" s="96" t="n"/>
    </row>
    <row r="117" hidden="1" ht="15" customHeight="1" s="321">
      <c r="B117" s="664">
        <f>VeriGiris!B288</f>
        <v/>
      </c>
      <c r="C117" s="773" t="n"/>
      <c r="D117" s="773" t="n"/>
      <c r="E117" s="773" t="n"/>
      <c r="F117" s="773" t="n"/>
      <c r="G117" s="773" t="n"/>
      <c r="H117" s="773" t="n"/>
      <c r="I117" s="773" t="n"/>
      <c r="J117" s="773" t="n"/>
      <c r="K117" s="774" t="n"/>
      <c r="L117" s="660">
        <f>VeriGiris!L288</f>
        <v/>
      </c>
      <c r="M117" s="774" t="n"/>
      <c r="N117" s="665">
        <f>VeriGiris!N288</f>
        <v/>
      </c>
      <c r="O117" s="774" t="n"/>
      <c r="P117" s="660">
        <f>VeriGiris!P288</f>
        <v/>
      </c>
      <c r="Q117" s="774" t="n"/>
      <c r="R117" s="660">
        <f>VeriGiris!R288</f>
        <v/>
      </c>
      <c r="S117" s="773" t="n"/>
      <c r="T117" s="774" t="n"/>
      <c r="U117" s="662">
        <f>VeriGiris!U288</f>
        <v/>
      </c>
      <c r="V117" s="774" t="n"/>
      <c r="W117" s="662">
        <f>VeriGiris!W288</f>
        <v/>
      </c>
      <c r="X117" s="774" t="n"/>
      <c r="Y117" s="663">
        <f>VeriGiris!Y288</f>
        <v/>
      </c>
      <c r="Z117" s="774" t="n"/>
      <c r="AA117" s="96" t="n"/>
      <c r="AB117" s="96" t="n"/>
    </row>
    <row r="118">
      <c r="B118" s="692">
        <f>VeriGiris!B289</f>
        <v/>
      </c>
      <c r="C118" s="773" t="n"/>
      <c r="D118" s="773" t="n"/>
      <c r="E118" s="773" t="n"/>
      <c r="F118" s="773" t="n"/>
      <c r="G118" s="773" t="n"/>
      <c r="H118" s="773" t="n"/>
      <c r="I118" s="773" t="n"/>
      <c r="J118" s="773" t="n"/>
      <c r="K118" s="774" t="n"/>
      <c r="L118" s="693" t="n"/>
      <c r="M118" s="774" t="n"/>
      <c r="N118" s="694" t="n"/>
      <c r="O118" s="774" t="n"/>
      <c r="P118" s="693" t="n"/>
      <c r="Q118" s="774" t="n"/>
      <c r="R118" s="695">
        <f>VeriGiris!R289</f>
        <v/>
      </c>
      <c r="S118" s="773" t="n"/>
      <c r="T118" s="774" t="n"/>
      <c r="U118" s="696" t="n"/>
      <c r="V118" s="774" t="n"/>
      <c r="W118" s="696" t="n"/>
      <c r="X118" s="774" t="n"/>
      <c r="Y118" s="697">
        <f>VeriGiris!Y289</f>
        <v/>
      </c>
      <c r="Z118" s="774" t="n"/>
      <c r="AA118" s="96" t="n"/>
      <c r="AB118" s="96" t="n"/>
    </row>
    <row r="119">
      <c r="B119" s="664">
        <f>VeriGiris!B290</f>
        <v/>
      </c>
      <c r="C119" s="773" t="n"/>
      <c r="D119" s="773" t="n"/>
      <c r="E119" s="773" t="n"/>
      <c r="F119" s="773" t="n"/>
      <c r="G119" s="773" t="n"/>
      <c r="H119" s="773" t="n"/>
      <c r="I119" s="773" t="n"/>
      <c r="J119" s="773" t="n"/>
      <c r="K119" s="774" t="n"/>
      <c r="L119" s="660">
        <f>VeriGiris!L290</f>
        <v/>
      </c>
      <c r="M119" s="774" t="n"/>
      <c r="N119" s="665">
        <f>VeriGiris!N290</f>
        <v/>
      </c>
      <c r="O119" s="774" t="n"/>
      <c r="P119" s="660">
        <f>VeriGiris!P290</f>
        <v/>
      </c>
      <c r="Q119" s="774" t="n"/>
      <c r="R119" s="660">
        <f>VeriGiris!R290</f>
        <v/>
      </c>
      <c r="S119" s="773" t="n"/>
      <c r="T119" s="774" t="n"/>
      <c r="U119" s="662">
        <f>VeriGiris!U290</f>
        <v/>
      </c>
      <c r="V119" s="774" t="n"/>
      <c r="W119" s="662">
        <f>VeriGiris!W290</f>
        <v/>
      </c>
      <c r="X119" s="774" t="n"/>
      <c r="Y119" s="663">
        <f>VeriGiris!Y290</f>
        <v/>
      </c>
      <c r="Z119" s="774" t="n"/>
      <c r="AA119" s="96" t="n"/>
      <c r="AB119" s="96" t="n"/>
    </row>
    <row r="120">
      <c r="B120" s="664">
        <f>VeriGiris!B291</f>
        <v/>
      </c>
      <c r="C120" s="773" t="n"/>
      <c r="D120" s="773" t="n"/>
      <c r="E120" s="773" t="n"/>
      <c r="F120" s="773" t="n"/>
      <c r="G120" s="773" t="n"/>
      <c r="H120" s="773" t="n"/>
      <c r="I120" s="773" t="n"/>
      <c r="J120" s="773" t="n"/>
      <c r="K120" s="774" t="n"/>
      <c r="L120" s="660">
        <f>VeriGiris!L291</f>
        <v/>
      </c>
      <c r="M120" s="774" t="n"/>
      <c r="N120" s="665">
        <f>VeriGiris!N291</f>
        <v/>
      </c>
      <c r="O120" s="774" t="n"/>
      <c r="P120" s="660">
        <f>VeriGiris!P291</f>
        <v/>
      </c>
      <c r="Q120" s="774" t="n"/>
      <c r="R120" s="660">
        <f>VeriGiris!R291</f>
        <v/>
      </c>
      <c r="S120" s="773" t="n"/>
      <c r="T120" s="774" t="n"/>
      <c r="U120" s="662">
        <f>VeriGiris!U291</f>
        <v/>
      </c>
      <c r="V120" s="774" t="n"/>
      <c r="W120" s="662">
        <f>VeriGiris!W291</f>
        <v/>
      </c>
      <c r="X120" s="774" t="n"/>
      <c r="Y120" s="663">
        <f>VeriGiris!Y291</f>
        <v/>
      </c>
      <c r="Z120" s="774" t="n"/>
      <c r="AA120" s="96" t="n"/>
      <c r="AB120" s="96" t="n"/>
    </row>
    <row r="121">
      <c r="B121" s="664">
        <f>VeriGiris!B292</f>
        <v/>
      </c>
      <c r="C121" s="773" t="n"/>
      <c r="D121" s="773" t="n"/>
      <c r="E121" s="773" t="n"/>
      <c r="F121" s="773" t="n"/>
      <c r="G121" s="773" t="n"/>
      <c r="H121" s="773" t="n"/>
      <c r="I121" s="773" t="n"/>
      <c r="J121" s="773" t="n"/>
      <c r="K121" s="774" t="n"/>
      <c r="L121" s="660">
        <f>VeriGiris!L292</f>
        <v/>
      </c>
      <c r="M121" s="774" t="n"/>
      <c r="N121" s="665">
        <f>VeriGiris!N292</f>
        <v/>
      </c>
      <c r="O121" s="774" t="n"/>
      <c r="P121" s="660">
        <f>VeriGiris!P292</f>
        <v/>
      </c>
      <c r="Q121" s="774" t="n"/>
      <c r="R121" s="660">
        <f>VeriGiris!R292</f>
        <v/>
      </c>
      <c r="S121" s="773" t="n"/>
      <c r="T121" s="774" t="n"/>
      <c r="U121" s="662">
        <f>VeriGiris!U292</f>
        <v/>
      </c>
      <c r="V121" s="774" t="n"/>
      <c r="W121" s="662">
        <f>VeriGiris!W292</f>
        <v/>
      </c>
      <c r="X121" s="774" t="n"/>
      <c r="Y121" s="663">
        <f>VeriGiris!Y292</f>
        <v/>
      </c>
      <c r="Z121" s="774" t="n"/>
      <c r="AA121" s="96" t="n"/>
      <c r="AB121" s="96" t="n"/>
    </row>
    <row r="122">
      <c r="B122" s="664">
        <f>VeriGiris!B293</f>
        <v/>
      </c>
      <c r="C122" s="773" t="n"/>
      <c r="D122" s="773" t="n"/>
      <c r="E122" s="773" t="n"/>
      <c r="F122" s="773" t="n"/>
      <c r="G122" s="773" t="n"/>
      <c r="H122" s="773" t="n"/>
      <c r="I122" s="773" t="n"/>
      <c r="J122" s="773" t="n"/>
      <c r="K122" s="774" t="n"/>
      <c r="L122" s="660">
        <f>VeriGiris!L293</f>
        <v/>
      </c>
      <c r="M122" s="774" t="n"/>
      <c r="N122" s="665">
        <f>VeriGiris!N293</f>
        <v/>
      </c>
      <c r="O122" s="774" t="n"/>
      <c r="P122" s="660">
        <f>VeriGiris!P293</f>
        <v/>
      </c>
      <c r="Q122" s="774" t="n"/>
      <c r="R122" s="660">
        <f>VeriGiris!R293</f>
        <v/>
      </c>
      <c r="S122" s="773" t="n"/>
      <c r="T122" s="774" t="n"/>
      <c r="U122" s="662">
        <f>VeriGiris!U293</f>
        <v/>
      </c>
      <c r="V122" s="774" t="n"/>
      <c r="W122" s="662">
        <f>VeriGiris!W293</f>
        <v/>
      </c>
      <c r="X122" s="774" t="n"/>
      <c r="Y122" s="663">
        <f>VeriGiris!Y293</f>
        <v/>
      </c>
      <c r="Z122" s="774" t="n"/>
      <c r="AA122" s="96" t="n"/>
      <c r="AB122" s="96" t="n"/>
    </row>
    <row r="123">
      <c r="B123" s="664">
        <f>VeriGiris!B294</f>
        <v/>
      </c>
      <c r="C123" s="773" t="n"/>
      <c r="D123" s="773" t="n"/>
      <c r="E123" s="773" t="n"/>
      <c r="F123" s="773" t="n"/>
      <c r="G123" s="773" t="n"/>
      <c r="H123" s="773" t="n"/>
      <c r="I123" s="773" t="n"/>
      <c r="J123" s="773" t="n"/>
      <c r="K123" s="774" t="n"/>
      <c r="L123" s="660">
        <f>VeriGiris!L294</f>
        <v/>
      </c>
      <c r="M123" s="774" t="n"/>
      <c r="N123" s="665">
        <f>VeriGiris!N294</f>
        <v/>
      </c>
      <c r="O123" s="774" t="n"/>
      <c r="P123" s="660">
        <f>VeriGiris!P294</f>
        <v/>
      </c>
      <c r="Q123" s="774" t="n"/>
      <c r="R123" s="660">
        <f>VeriGiris!R294</f>
        <v/>
      </c>
      <c r="S123" s="773" t="n"/>
      <c r="T123" s="774" t="n"/>
      <c r="U123" s="662">
        <f>VeriGiris!U294</f>
        <v/>
      </c>
      <c r="V123" s="774" t="n"/>
      <c r="W123" s="662">
        <f>VeriGiris!W294</f>
        <v/>
      </c>
      <c r="X123" s="774" t="n"/>
      <c r="Y123" s="663">
        <f>VeriGiris!Y294</f>
        <v/>
      </c>
      <c r="Z123" s="774" t="n"/>
      <c r="AA123" s="96" t="n"/>
      <c r="AB123" s="96" t="n"/>
    </row>
    <row r="124">
      <c r="B124" s="664">
        <f>VeriGiris!B295</f>
        <v/>
      </c>
      <c r="C124" s="773" t="n"/>
      <c r="D124" s="773" t="n"/>
      <c r="E124" s="773" t="n"/>
      <c r="F124" s="773" t="n"/>
      <c r="G124" s="773" t="n"/>
      <c r="H124" s="773" t="n"/>
      <c r="I124" s="773" t="n"/>
      <c r="J124" s="773" t="n"/>
      <c r="K124" s="774" t="n"/>
      <c r="L124" s="660">
        <f>VeriGiris!L295</f>
        <v/>
      </c>
      <c r="M124" s="774" t="n"/>
      <c r="N124" s="665">
        <f>VeriGiris!N295</f>
        <v/>
      </c>
      <c r="O124" s="774" t="n"/>
      <c r="P124" s="660">
        <f>VeriGiris!P295</f>
        <v/>
      </c>
      <c r="Q124" s="774" t="n"/>
      <c r="R124" s="660">
        <f>VeriGiris!R295</f>
        <v/>
      </c>
      <c r="S124" s="773" t="n"/>
      <c r="T124" s="774" t="n"/>
      <c r="U124" s="662">
        <f>VeriGiris!U295</f>
        <v/>
      </c>
      <c r="V124" s="774" t="n"/>
      <c r="W124" s="662">
        <f>VeriGiris!W295</f>
        <v/>
      </c>
      <c r="X124" s="774" t="n"/>
      <c r="Y124" s="663">
        <f>VeriGiris!Y295</f>
        <v/>
      </c>
      <c r="Z124" s="774" t="n"/>
      <c r="AA124" s="96" t="n"/>
      <c r="AB124" s="96" t="n"/>
    </row>
    <row r="125">
      <c r="B125" s="664">
        <f>VeriGiris!B296</f>
        <v/>
      </c>
      <c r="C125" s="773" t="n"/>
      <c r="D125" s="773" t="n"/>
      <c r="E125" s="773" t="n"/>
      <c r="F125" s="773" t="n"/>
      <c r="G125" s="773" t="n"/>
      <c r="H125" s="773" t="n"/>
      <c r="I125" s="773" t="n"/>
      <c r="J125" s="773" t="n"/>
      <c r="K125" s="774" t="n"/>
      <c r="L125" s="660">
        <f>VeriGiris!L296</f>
        <v/>
      </c>
      <c r="M125" s="774" t="n"/>
      <c r="N125" s="665">
        <f>VeriGiris!N296</f>
        <v/>
      </c>
      <c r="O125" s="774" t="n"/>
      <c r="P125" s="660">
        <f>VeriGiris!P296</f>
        <v/>
      </c>
      <c r="Q125" s="774" t="n"/>
      <c r="R125" s="660">
        <f>VeriGiris!R296</f>
        <v/>
      </c>
      <c r="S125" s="773" t="n"/>
      <c r="T125" s="774" t="n"/>
      <c r="U125" s="662">
        <f>VeriGiris!U296</f>
        <v/>
      </c>
      <c r="V125" s="774" t="n"/>
      <c r="W125" s="662">
        <f>VeriGiris!W296</f>
        <v/>
      </c>
      <c r="X125" s="774" t="n"/>
      <c r="Y125" s="663">
        <f>VeriGiris!Y296</f>
        <v/>
      </c>
      <c r="Z125" s="774" t="n"/>
      <c r="AA125" s="96" t="n"/>
      <c r="AB125" s="96" t="n"/>
    </row>
    <row r="126">
      <c r="B126" s="664">
        <f>VeriGiris!B297</f>
        <v/>
      </c>
      <c r="C126" s="773" t="n"/>
      <c r="D126" s="773" t="n"/>
      <c r="E126" s="773" t="n"/>
      <c r="F126" s="773" t="n"/>
      <c r="G126" s="773" t="n"/>
      <c r="H126" s="773" t="n"/>
      <c r="I126" s="773" t="n"/>
      <c r="J126" s="773" t="n"/>
      <c r="K126" s="774" t="n"/>
      <c r="L126" s="660">
        <f>VeriGiris!L297</f>
        <v/>
      </c>
      <c r="M126" s="774" t="n"/>
      <c r="N126" s="665">
        <f>VeriGiris!N297</f>
        <v/>
      </c>
      <c r="O126" s="774" t="n"/>
      <c r="P126" s="660">
        <f>VeriGiris!P297</f>
        <v/>
      </c>
      <c r="Q126" s="774" t="n"/>
      <c r="R126" s="660">
        <f>VeriGiris!R297</f>
        <v/>
      </c>
      <c r="S126" s="773" t="n"/>
      <c r="T126" s="774" t="n"/>
      <c r="U126" s="662">
        <f>VeriGiris!U297</f>
        <v/>
      </c>
      <c r="V126" s="774" t="n"/>
      <c r="W126" s="662">
        <f>VeriGiris!W297</f>
        <v/>
      </c>
      <c r="X126" s="774" t="n"/>
      <c r="Y126" s="663">
        <f>VeriGiris!Y297</f>
        <v/>
      </c>
      <c r="Z126" s="774" t="n"/>
      <c r="AA126" s="96" t="n"/>
      <c r="AB126" s="96" t="n"/>
    </row>
    <row r="127">
      <c r="B127" s="692">
        <f>VeriGiris!B298</f>
        <v/>
      </c>
      <c r="C127" s="773" t="n"/>
      <c r="D127" s="773" t="n"/>
      <c r="E127" s="773" t="n"/>
      <c r="F127" s="773" t="n"/>
      <c r="G127" s="773" t="n"/>
      <c r="H127" s="773" t="n"/>
      <c r="I127" s="773" t="n"/>
      <c r="J127" s="773" t="n"/>
      <c r="K127" s="774" t="n"/>
      <c r="L127" s="693" t="n"/>
      <c r="M127" s="774" t="n"/>
      <c r="N127" s="694" t="n"/>
      <c r="O127" s="774" t="n"/>
      <c r="P127" s="693" t="n"/>
      <c r="Q127" s="774" t="n"/>
      <c r="R127" s="695">
        <f>VeriGiris!R298</f>
        <v/>
      </c>
      <c r="S127" s="773" t="n"/>
      <c r="T127" s="774" t="n"/>
      <c r="U127" s="696" t="n"/>
      <c r="V127" s="774" t="n"/>
      <c r="W127" s="696" t="n"/>
      <c r="X127" s="774" t="n"/>
      <c r="Y127" s="697">
        <f>VeriGiris!Y298</f>
        <v/>
      </c>
      <c r="Z127" s="774" t="n"/>
      <c r="AA127" s="96" t="n"/>
      <c r="AB127" s="96" t="n"/>
    </row>
    <row r="128">
      <c r="B128" s="664">
        <f>VeriGiris!B299</f>
        <v/>
      </c>
      <c r="C128" s="773" t="n"/>
      <c r="D128" s="773" t="n"/>
      <c r="E128" s="773" t="n"/>
      <c r="F128" s="773" t="n"/>
      <c r="G128" s="773" t="n"/>
      <c r="H128" s="773" t="n"/>
      <c r="I128" s="773" t="n"/>
      <c r="J128" s="773" t="n"/>
      <c r="K128" s="774" t="n"/>
      <c r="L128" s="660">
        <f>VeriGiris!L299</f>
        <v/>
      </c>
      <c r="M128" s="774" t="n"/>
      <c r="N128" s="665">
        <f>VeriGiris!N299</f>
        <v/>
      </c>
      <c r="O128" s="774" t="n"/>
      <c r="P128" s="660">
        <f>VeriGiris!P299</f>
        <v/>
      </c>
      <c r="Q128" s="774" t="n"/>
      <c r="R128" s="660">
        <f>VeriGiris!R299</f>
        <v/>
      </c>
      <c r="S128" s="773" t="n"/>
      <c r="T128" s="774" t="n"/>
      <c r="U128" s="662">
        <f>VeriGiris!U299</f>
        <v/>
      </c>
      <c r="V128" s="774" t="n"/>
      <c r="W128" s="662">
        <f>VeriGiris!W299</f>
        <v/>
      </c>
      <c r="X128" s="774" t="n"/>
      <c r="Y128" s="663">
        <f>VeriGiris!Y299</f>
        <v/>
      </c>
      <c r="Z128" s="774" t="n"/>
      <c r="AA128" s="96" t="n"/>
      <c r="AB128" s="96" t="n"/>
    </row>
    <row r="129">
      <c r="B129" s="664">
        <f>VeriGiris!B300</f>
        <v/>
      </c>
      <c r="C129" s="773" t="n"/>
      <c r="D129" s="773" t="n"/>
      <c r="E129" s="773" t="n"/>
      <c r="F129" s="773" t="n"/>
      <c r="G129" s="773" t="n"/>
      <c r="H129" s="773" t="n"/>
      <c r="I129" s="773" t="n"/>
      <c r="J129" s="773" t="n"/>
      <c r="K129" s="774" t="n"/>
      <c r="L129" s="660">
        <f>VeriGiris!L300</f>
        <v/>
      </c>
      <c r="M129" s="774" t="n"/>
      <c r="N129" s="665">
        <f>VeriGiris!N300</f>
        <v/>
      </c>
      <c r="O129" s="774" t="n"/>
      <c r="P129" s="660">
        <f>VeriGiris!P300</f>
        <v/>
      </c>
      <c r="Q129" s="774" t="n"/>
      <c r="R129" s="660">
        <f>VeriGiris!R300</f>
        <v/>
      </c>
      <c r="S129" s="773" t="n"/>
      <c r="T129" s="774" t="n"/>
      <c r="U129" s="662">
        <f>VeriGiris!U300</f>
        <v/>
      </c>
      <c r="V129" s="774" t="n"/>
      <c r="W129" s="662">
        <f>VeriGiris!W300</f>
        <v/>
      </c>
      <c r="X129" s="774" t="n"/>
      <c r="Y129" s="663">
        <f>VeriGiris!Y300</f>
        <v/>
      </c>
      <c r="Z129" s="774" t="n"/>
      <c r="AA129" s="96" t="n"/>
      <c r="AB129" s="96" t="n"/>
    </row>
    <row r="130">
      <c r="B130" s="664">
        <f>VeriGiris!B301</f>
        <v/>
      </c>
      <c r="C130" s="773" t="n"/>
      <c r="D130" s="773" t="n"/>
      <c r="E130" s="773" t="n"/>
      <c r="F130" s="773" t="n"/>
      <c r="G130" s="773" t="n"/>
      <c r="H130" s="773" t="n"/>
      <c r="I130" s="773" t="n"/>
      <c r="J130" s="773" t="n"/>
      <c r="K130" s="774" t="n"/>
      <c r="L130" s="660">
        <f>VeriGiris!L301</f>
        <v/>
      </c>
      <c r="M130" s="774" t="n"/>
      <c r="N130" s="665">
        <f>VeriGiris!N301</f>
        <v/>
      </c>
      <c r="O130" s="774" t="n"/>
      <c r="P130" s="660">
        <f>VeriGiris!P301</f>
        <v/>
      </c>
      <c r="Q130" s="774" t="n"/>
      <c r="R130" s="660">
        <f>VeriGiris!R301</f>
        <v/>
      </c>
      <c r="S130" s="773" t="n"/>
      <c r="T130" s="774" t="n"/>
      <c r="U130" s="662">
        <f>VeriGiris!U301</f>
        <v/>
      </c>
      <c r="V130" s="774" t="n"/>
      <c r="W130" s="662">
        <f>VeriGiris!W301</f>
        <v/>
      </c>
      <c r="X130" s="774" t="n"/>
      <c r="Y130" s="663">
        <f>VeriGiris!Y301</f>
        <v/>
      </c>
      <c r="Z130" s="774" t="n"/>
      <c r="AA130" s="96" t="n"/>
      <c r="AB130" s="96" t="n"/>
    </row>
    <row r="131">
      <c r="B131" s="664">
        <f>VeriGiris!B302</f>
        <v/>
      </c>
      <c r="C131" s="773" t="n"/>
      <c r="D131" s="773" t="n"/>
      <c r="E131" s="773" t="n"/>
      <c r="F131" s="773" t="n"/>
      <c r="G131" s="773" t="n"/>
      <c r="H131" s="773" t="n"/>
      <c r="I131" s="773" t="n"/>
      <c r="J131" s="773" t="n"/>
      <c r="K131" s="774" t="n"/>
      <c r="L131" s="660">
        <f>VeriGiris!L302</f>
        <v/>
      </c>
      <c r="M131" s="774" t="n"/>
      <c r="N131" s="665">
        <f>VeriGiris!N302</f>
        <v/>
      </c>
      <c r="O131" s="774" t="n"/>
      <c r="P131" s="660">
        <f>VeriGiris!P302</f>
        <v/>
      </c>
      <c r="Q131" s="774" t="n"/>
      <c r="R131" s="660">
        <f>VeriGiris!R302</f>
        <v/>
      </c>
      <c r="S131" s="773" t="n"/>
      <c r="T131" s="774" t="n"/>
      <c r="U131" s="662">
        <f>VeriGiris!U302</f>
        <v/>
      </c>
      <c r="V131" s="774" t="n"/>
      <c r="W131" s="662">
        <f>VeriGiris!W302</f>
        <v/>
      </c>
      <c r="X131" s="774" t="n"/>
      <c r="Y131" s="663">
        <f>VeriGiris!Y302</f>
        <v/>
      </c>
      <c r="Z131" s="774" t="n"/>
      <c r="AA131" s="96" t="n"/>
      <c r="AB131" s="96" t="n"/>
    </row>
    <row r="132">
      <c r="B132" s="664">
        <f>VeriGiris!B303</f>
        <v/>
      </c>
      <c r="C132" s="773" t="n"/>
      <c r="D132" s="773" t="n"/>
      <c r="E132" s="773" t="n"/>
      <c r="F132" s="773" t="n"/>
      <c r="G132" s="773" t="n"/>
      <c r="H132" s="773" t="n"/>
      <c r="I132" s="773" t="n"/>
      <c r="J132" s="773" t="n"/>
      <c r="K132" s="774" t="n"/>
      <c r="L132" s="660">
        <f>VeriGiris!L303</f>
        <v/>
      </c>
      <c r="M132" s="774" t="n"/>
      <c r="N132" s="665">
        <f>VeriGiris!N303</f>
        <v/>
      </c>
      <c r="O132" s="774" t="n"/>
      <c r="P132" s="660">
        <f>VeriGiris!P303</f>
        <v/>
      </c>
      <c r="Q132" s="774" t="n"/>
      <c r="R132" s="660">
        <f>VeriGiris!R303</f>
        <v/>
      </c>
      <c r="S132" s="773" t="n"/>
      <c r="T132" s="774" t="n"/>
      <c r="U132" s="662">
        <f>VeriGiris!U303</f>
        <v/>
      </c>
      <c r="V132" s="774" t="n"/>
      <c r="W132" s="662">
        <f>VeriGiris!W303</f>
        <v/>
      </c>
      <c r="X132" s="774" t="n"/>
      <c r="Y132" s="663">
        <f>VeriGiris!Y303</f>
        <v/>
      </c>
      <c r="Z132" s="774" t="n"/>
      <c r="AA132" s="96" t="n"/>
      <c r="AB132" s="96" t="n"/>
    </row>
    <row r="133">
      <c r="B133" s="664">
        <f>VeriGiris!B304</f>
        <v/>
      </c>
      <c r="C133" s="773" t="n"/>
      <c r="D133" s="773" t="n"/>
      <c r="E133" s="773" t="n"/>
      <c r="F133" s="773" t="n"/>
      <c r="G133" s="773" t="n"/>
      <c r="H133" s="773" t="n"/>
      <c r="I133" s="773" t="n"/>
      <c r="J133" s="773" t="n"/>
      <c r="K133" s="774" t="n"/>
      <c r="L133" s="660">
        <f>VeriGiris!L304</f>
        <v/>
      </c>
      <c r="M133" s="774" t="n"/>
      <c r="N133" s="665">
        <f>VeriGiris!N304</f>
        <v/>
      </c>
      <c r="O133" s="774" t="n"/>
      <c r="P133" s="660">
        <f>VeriGiris!P304</f>
        <v/>
      </c>
      <c r="Q133" s="774" t="n"/>
      <c r="R133" s="660">
        <f>VeriGiris!R304</f>
        <v/>
      </c>
      <c r="S133" s="773" t="n"/>
      <c r="T133" s="774" t="n"/>
      <c r="U133" s="662">
        <f>VeriGiris!U304</f>
        <v/>
      </c>
      <c r="V133" s="774" t="n"/>
      <c r="W133" s="662">
        <f>VeriGiris!W304</f>
        <v/>
      </c>
      <c r="X133" s="774" t="n"/>
      <c r="Y133" s="663">
        <f>VeriGiris!Y304</f>
        <v/>
      </c>
      <c r="Z133" s="774" t="n"/>
      <c r="AA133" s="96" t="n"/>
      <c r="AB133" s="96" t="n"/>
    </row>
    <row r="134">
      <c r="B134" s="664">
        <f>VeriGiris!B305</f>
        <v/>
      </c>
      <c r="C134" s="773" t="n"/>
      <c r="D134" s="773" t="n"/>
      <c r="E134" s="773" t="n"/>
      <c r="F134" s="773" t="n"/>
      <c r="G134" s="773" t="n"/>
      <c r="H134" s="773" t="n"/>
      <c r="I134" s="773" t="n"/>
      <c r="J134" s="773" t="n"/>
      <c r="K134" s="774" t="n"/>
      <c r="L134" s="660">
        <f>VeriGiris!L305</f>
        <v/>
      </c>
      <c r="M134" s="774" t="n"/>
      <c r="N134" s="665">
        <f>VeriGiris!N305</f>
        <v/>
      </c>
      <c r="O134" s="774" t="n"/>
      <c r="P134" s="660">
        <f>VeriGiris!P305</f>
        <v/>
      </c>
      <c r="Q134" s="774" t="n"/>
      <c r="R134" s="660">
        <f>VeriGiris!R305</f>
        <v/>
      </c>
      <c r="S134" s="773" t="n"/>
      <c r="T134" s="774" t="n"/>
      <c r="U134" s="662">
        <f>VeriGiris!U305</f>
        <v/>
      </c>
      <c r="V134" s="774" t="n"/>
      <c r="W134" s="662">
        <f>VeriGiris!W305</f>
        <v/>
      </c>
      <c r="X134" s="774" t="n"/>
      <c r="Y134" s="663">
        <f>VeriGiris!Y305</f>
        <v/>
      </c>
      <c r="Z134" s="774" t="n"/>
      <c r="AA134" s="96" t="n"/>
      <c r="AB134" s="96" t="n"/>
    </row>
    <row r="135">
      <c r="B135" s="664">
        <f>VeriGiris!B306</f>
        <v/>
      </c>
      <c r="C135" s="773" t="n"/>
      <c r="D135" s="773" t="n"/>
      <c r="E135" s="773" t="n"/>
      <c r="F135" s="773" t="n"/>
      <c r="G135" s="773" t="n"/>
      <c r="H135" s="773" t="n"/>
      <c r="I135" s="773" t="n"/>
      <c r="J135" s="773" t="n"/>
      <c r="K135" s="774" t="n"/>
      <c r="L135" s="660">
        <f>VeriGiris!L306</f>
        <v/>
      </c>
      <c r="M135" s="774" t="n"/>
      <c r="N135" s="665">
        <f>VeriGiris!N306</f>
        <v/>
      </c>
      <c r="O135" s="774" t="n"/>
      <c r="P135" s="660">
        <f>VeriGiris!P306</f>
        <v/>
      </c>
      <c r="Q135" s="774" t="n"/>
      <c r="R135" s="660">
        <f>VeriGiris!R306</f>
        <v/>
      </c>
      <c r="S135" s="773" t="n"/>
      <c r="T135" s="774" t="n"/>
      <c r="U135" s="662">
        <f>VeriGiris!U306</f>
        <v/>
      </c>
      <c r="V135" s="774" t="n"/>
      <c r="W135" s="662">
        <f>VeriGiris!W306</f>
        <v/>
      </c>
      <c r="X135" s="774" t="n"/>
      <c r="Y135" s="663">
        <f>VeriGiris!Y306</f>
        <v/>
      </c>
      <c r="Z135" s="774" t="n"/>
      <c r="AA135" s="96" t="n"/>
      <c r="AB135" s="96" t="n"/>
    </row>
    <row r="136">
      <c r="B136" s="664">
        <f>VeriGiris!B307</f>
        <v/>
      </c>
      <c r="C136" s="773" t="n"/>
      <c r="D136" s="773" t="n"/>
      <c r="E136" s="773" t="n"/>
      <c r="F136" s="773" t="n"/>
      <c r="G136" s="773" t="n"/>
      <c r="H136" s="773" t="n"/>
      <c r="I136" s="773" t="n"/>
      <c r="J136" s="773" t="n"/>
      <c r="K136" s="774" t="n"/>
      <c r="L136" s="660">
        <f>VeriGiris!L307</f>
        <v/>
      </c>
      <c r="M136" s="774" t="n"/>
      <c r="N136" s="665">
        <f>VeriGiris!N307</f>
        <v/>
      </c>
      <c r="O136" s="774" t="n"/>
      <c r="P136" s="660">
        <f>VeriGiris!P307</f>
        <v/>
      </c>
      <c r="Q136" s="774" t="n"/>
      <c r="R136" s="660">
        <f>VeriGiris!R307</f>
        <v/>
      </c>
      <c r="S136" s="773" t="n"/>
      <c r="T136" s="774" t="n"/>
      <c r="U136" s="662">
        <f>VeriGiris!U307</f>
        <v/>
      </c>
      <c r="V136" s="774" t="n"/>
      <c r="W136" s="662">
        <f>VeriGiris!W307</f>
        <v/>
      </c>
      <c r="X136" s="774" t="n"/>
      <c r="Y136" s="663">
        <f>VeriGiris!Y307</f>
        <v/>
      </c>
      <c r="Z136" s="774" t="n"/>
      <c r="AA136" s="96" t="n"/>
      <c r="AB136" s="96" t="n"/>
    </row>
    <row r="137">
      <c r="B137" s="692">
        <f>VeriGiris!B308</f>
        <v/>
      </c>
      <c r="C137" s="773" t="n"/>
      <c r="D137" s="773" t="n"/>
      <c r="E137" s="773" t="n"/>
      <c r="F137" s="773" t="n"/>
      <c r="G137" s="773" t="n"/>
      <c r="H137" s="773" t="n"/>
      <c r="I137" s="773" t="n"/>
      <c r="J137" s="773" t="n"/>
      <c r="K137" s="774" t="n"/>
      <c r="L137" s="693" t="n"/>
      <c r="M137" s="774" t="n"/>
      <c r="N137" s="694" t="n"/>
      <c r="O137" s="774" t="n"/>
      <c r="P137" s="693" t="n"/>
      <c r="Q137" s="774" t="n"/>
      <c r="R137" s="695">
        <f>VeriGiris!R308</f>
        <v/>
      </c>
      <c r="S137" s="773" t="n"/>
      <c r="T137" s="774" t="n"/>
      <c r="U137" s="696" t="n"/>
      <c r="V137" s="774" t="n"/>
      <c r="W137" s="696" t="n"/>
      <c r="X137" s="774" t="n"/>
      <c r="Y137" s="697">
        <f>VeriGiris!Y308</f>
        <v/>
      </c>
      <c r="Z137" s="774" t="n"/>
      <c r="AA137" s="96" t="n"/>
      <c r="AB137" s="96" t="n"/>
    </row>
    <row r="138">
      <c r="B138" s="699">
        <f>VeriGiris!B309</f>
        <v/>
      </c>
      <c r="C138" s="773" t="n"/>
      <c r="D138" s="773" t="n"/>
      <c r="E138" s="773" t="n"/>
      <c r="F138" s="773" t="n"/>
      <c r="G138" s="773" t="n"/>
      <c r="H138" s="773" t="n"/>
      <c r="I138" s="773" t="n"/>
      <c r="J138" s="773" t="n"/>
      <c r="K138" s="774" t="n"/>
      <c r="L138" s="701" t="n"/>
      <c r="M138" s="774" t="n"/>
      <c r="N138" s="702" t="n"/>
      <c r="O138" s="774" t="n"/>
      <c r="P138" s="701" t="n"/>
      <c r="Q138" s="774" t="n"/>
      <c r="R138" s="701">
        <f>VeriGiris!R309</f>
        <v/>
      </c>
      <c r="S138" s="773" t="n"/>
      <c r="T138" s="774" t="n"/>
      <c r="U138" s="698" t="n"/>
      <c r="V138" s="774" t="n"/>
      <c r="W138" s="698" t="n"/>
      <c r="X138" s="774" t="n"/>
      <c r="Y138" s="641">
        <f>VeriGiris!Y309</f>
        <v/>
      </c>
      <c r="Z138" s="774" t="n"/>
      <c r="AA138" s="96" t="n"/>
      <c r="AB138" s="96" t="n"/>
    </row>
    <row r="139">
      <c r="B139" s="692">
        <f>VeriGiris!B310</f>
        <v/>
      </c>
      <c r="C139" s="773" t="n"/>
      <c r="D139" s="773" t="n"/>
      <c r="E139" s="773" t="n"/>
      <c r="F139" s="773" t="n"/>
      <c r="G139" s="773" t="n"/>
      <c r="H139" s="773" t="n"/>
      <c r="I139" s="773" t="n"/>
      <c r="J139" s="773" t="n"/>
      <c r="K139" s="774" t="n"/>
      <c r="L139" s="693" t="n"/>
      <c r="M139" s="774" t="n"/>
      <c r="N139" s="694" t="n"/>
      <c r="O139" s="774" t="n"/>
      <c r="P139" s="693" t="n"/>
      <c r="Q139" s="774" t="n"/>
      <c r="R139" s="695">
        <f>VeriGiris!R310</f>
        <v/>
      </c>
      <c r="S139" s="773" t="n"/>
      <c r="T139" s="774" t="n"/>
      <c r="U139" s="696" t="n"/>
      <c r="V139" s="774" t="n"/>
      <c r="W139" s="696" t="n"/>
      <c r="X139" s="774" t="n"/>
      <c r="Y139" s="697">
        <f>VeriGiris!Y310</f>
        <v/>
      </c>
      <c r="Z139" s="774" t="n"/>
      <c r="AA139" s="96" t="n"/>
      <c r="AB139" s="96" t="n"/>
    </row>
    <row r="140">
      <c r="B140" s="664">
        <f>VeriGiris!B311</f>
        <v/>
      </c>
      <c r="C140" s="773" t="n"/>
      <c r="D140" s="773" t="n"/>
      <c r="E140" s="773" t="n"/>
      <c r="F140" s="773" t="n"/>
      <c r="G140" s="773" t="n"/>
      <c r="H140" s="773" t="n"/>
      <c r="I140" s="773" t="n"/>
      <c r="J140" s="773" t="n"/>
      <c r="K140" s="774" t="n"/>
      <c r="L140" s="660">
        <f>VeriGiris!L311</f>
        <v/>
      </c>
      <c r="M140" s="774" t="n"/>
      <c r="N140" s="665">
        <f>VeriGiris!N311</f>
        <v/>
      </c>
      <c r="O140" s="774" t="n"/>
      <c r="P140" s="660">
        <f>VeriGiris!P311</f>
        <v/>
      </c>
      <c r="Q140" s="774" t="n"/>
      <c r="R140" s="660">
        <f>VeriGiris!R311</f>
        <v/>
      </c>
      <c r="S140" s="773" t="n"/>
      <c r="T140" s="774" t="n"/>
      <c r="U140" s="662">
        <f>VeriGiris!U311</f>
        <v/>
      </c>
      <c r="V140" s="774" t="n"/>
      <c r="W140" s="662">
        <f>VeriGiris!W311</f>
        <v/>
      </c>
      <c r="X140" s="774" t="n"/>
      <c r="Y140" s="663">
        <f>VeriGiris!Y311</f>
        <v/>
      </c>
      <c r="Z140" s="774" t="n"/>
      <c r="AA140" s="96" t="n"/>
      <c r="AB140" s="96" t="n"/>
    </row>
    <row r="141">
      <c r="B141" s="664">
        <f>VeriGiris!B312</f>
        <v/>
      </c>
      <c r="C141" s="773" t="n"/>
      <c r="D141" s="773" t="n"/>
      <c r="E141" s="773" t="n"/>
      <c r="F141" s="773" t="n"/>
      <c r="G141" s="773" t="n"/>
      <c r="H141" s="773" t="n"/>
      <c r="I141" s="773" t="n"/>
      <c r="J141" s="773" t="n"/>
      <c r="K141" s="774" t="n"/>
      <c r="L141" s="660">
        <f>VeriGiris!L312</f>
        <v/>
      </c>
      <c r="M141" s="774" t="n"/>
      <c r="N141" s="665">
        <f>VeriGiris!N312</f>
        <v/>
      </c>
      <c r="O141" s="774" t="n"/>
      <c r="P141" s="660">
        <f>VeriGiris!P312</f>
        <v/>
      </c>
      <c r="Q141" s="774" t="n"/>
      <c r="R141" s="660">
        <f>VeriGiris!R312</f>
        <v/>
      </c>
      <c r="S141" s="773" t="n"/>
      <c r="T141" s="774" t="n"/>
      <c r="U141" s="662">
        <f>VeriGiris!U312</f>
        <v/>
      </c>
      <c r="V141" s="774" t="n"/>
      <c r="W141" s="662">
        <f>VeriGiris!W312</f>
        <v/>
      </c>
      <c r="X141" s="774" t="n"/>
      <c r="Y141" s="663">
        <f>VeriGiris!Y312</f>
        <v/>
      </c>
      <c r="Z141" s="774" t="n"/>
      <c r="AA141" s="96" t="n"/>
      <c r="AB141" s="96" t="n"/>
    </row>
    <row r="142">
      <c r="B142" s="664">
        <f>VeriGiris!B313</f>
        <v/>
      </c>
      <c r="C142" s="773" t="n"/>
      <c r="D142" s="773" t="n"/>
      <c r="E142" s="773" t="n"/>
      <c r="F142" s="773" t="n"/>
      <c r="G142" s="773" t="n"/>
      <c r="H142" s="773" t="n"/>
      <c r="I142" s="773" t="n"/>
      <c r="J142" s="773" t="n"/>
      <c r="K142" s="774" t="n"/>
      <c r="L142" s="660">
        <f>VeriGiris!L313</f>
        <v/>
      </c>
      <c r="M142" s="774" t="n"/>
      <c r="N142" s="665">
        <f>VeriGiris!N313</f>
        <v/>
      </c>
      <c r="O142" s="774" t="n"/>
      <c r="P142" s="660">
        <f>VeriGiris!P313</f>
        <v/>
      </c>
      <c r="Q142" s="774" t="n"/>
      <c r="R142" s="660">
        <f>VeriGiris!R313</f>
        <v/>
      </c>
      <c r="S142" s="773" t="n"/>
      <c r="T142" s="774" t="n"/>
      <c r="U142" s="662">
        <f>VeriGiris!U313</f>
        <v/>
      </c>
      <c r="V142" s="774" t="n"/>
      <c r="W142" s="662">
        <f>VeriGiris!W313</f>
        <v/>
      </c>
      <c r="X142" s="774" t="n"/>
      <c r="Y142" s="663">
        <f>VeriGiris!Y313</f>
        <v/>
      </c>
      <c r="Z142" s="774" t="n"/>
      <c r="AA142" s="96" t="n"/>
      <c r="AB142" s="96" t="n"/>
    </row>
    <row r="143">
      <c r="B143" s="664">
        <f>VeriGiris!B314</f>
        <v/>
      </c>
      <c r="C143" s="773" t="n"/>
      <c r="D143" s="773" t="n"/>
      <c r="E143" s="773" t="n"/>
      <c r="F143" s="773" t="n"/>
      <c r="G143" s="773" t="n"/>
      <c r="H143" s="773" t="n"/>
      <c r="I143" s="773" t="n"/>
      <c r="J143" s="773" t="n"/>
      <c r="K143" s="774" t="n"/>
      <c r="L143" s="660">
        <f>VeriGiris!L314</f>
        <v/>
      </c>
      <c r="M143" s="774" t="n"/>
      <c r="N143" s="665">
        <f>VeriGiris!N314</f>
        <v/>
      </c>
      <c r="O143" s="774" t="n"/>
      <c r="P143" s="660">
        <f>VeriGiris!P314</f>
        <v/>
      </c>
      <c r="Q143" s="774" t="n"/>
      <c r="R143" s="660">
        <f>VeriGiris!R314</f>
        <v/>
      </c>
      <c r="S143" s="773" t="n"/>
      <c r="T143" s="774" t="n"/>
      <c r="U143" s="662">
        <f>VeriGiris!U314</f>
        <v/>
      </c>
      <c r="V143" s="774" t="n"/>
      <c r="W143" s="662">
        <f>VeriGiris!W314</f>
        <v/>
      </c>
      <c r="X143" s="774" t="n"/>
      <c r="Y143" s="663">
        <f>VeriGiris!Y314</f>
        <v/>
      </c>
      <c r="Z143" s="774" t="n"/>
      <c r="AA143" s="96" t="n"/>
      <c r="AB143" s="96" t="n"/>
    </row>
    <row r="144">
      <c r="B144" s="664">
        <f>VeriGiris!B315</f>
        <v/>
      </c>
      <c r="C144" s="773" t="n"/>
      <c r="D144" s="773" t="n"/>
      <c r="E144" s="773" t="n"/>
      <c r="F144" s="773" t="n"/>
      <c r="G144" s="773" t="n"/>
      <c r="H144" s="773" t="n"/>
      <c r="I144" s="773" t="n"/>
      <c r="J144" s="773" t="n"/>
      <c r="K144" s="774" t="n"/>
      <c r="L144" s="660">
        <f>VeriGiris!L315</f>
        <v/>
      </c>
      <c r="M144" s="774" t="n"/>
      <c r="N144" s="665">
        <f>VeriGiris!N315</f>
        <v/>
      </c>
      <c r="O144" s="774" t="n"/>
      <c r="P144" s="660">
        <f>VeriGiris!P315</f>
        <v/>
      </c>
      <c r="Q144" s="774" t="n"/>
      <c r="R144" s="660">
        <f>VeriGiris!R315</f>
        <v/>
      </c>
      <c r="S144" s="773" t="n"/>
      <c r="T144" s="774" t="n"/>
      <c r="U144" s="662">
        <f>VeriGiris!U315</f>
        <v/>
      </c>
      <c r="V144" s="774" t="n"/>
      <c r="W144" s="662">
        <f>VeriGiris!W315</f>
        <v/>
      </c>
      <c r="X144" s="774" t="n"/>
      <c r="Y144" s="663">
        <f>VeriGiris!Y315</f>
        <v/>
      </c>
      <c r="Z144" s="774" t="n"/>
      <c r="AA144" s="96" t="n"/>
      <c r="AB144" s="96" t="n"/>
    </row>
    <row r="145">
      <c r="B145" s="664">
        <f>VeriGiris!B316</f>
        <v/>
      </c>
      <c r="C145" s="773" t="n"/>
      <c r="D145" s="773" t="n"/>
      <c r="E145" s="773" t="n"/>
      <c r="F145" s="773" t="n"/>
      <c r="G145" s="773" t="n"/>
      <c r="H145" s="773" t="n"/>
      <c r="I145" s="773" t="n"/>
      <c r="J145" s="773" t="n"/>
      <c r="K145" s="774" t="n"/>
      <c r="L145" s="660">
        <f>VeriGiris!L316</f>
        <v/>
      </c>
      <c r="M145" s="774" t="n"/>
      <c r="N145" s="665">
        <f>VeriGiris!N316</f>
        <v/>
      </c>
      <c r="O145" s="774" t="n"/>
      <c r="P145" s="660">
        <f>VeriGiris!P316</f>
        <v/>
      </c>
      <c r="Q145" s="774" t="n"/>
      <c r="R145" s="660">
        <f>VeriGiris!R316</f>
        <v/>
      </c>
      <c r="S145" s="773" t="n"/>
      <c r="T145" s="774" t="n"/>
      <c r="U145" s="662">
        <f>VeriGiris!U316</f>
        <v/>
      </c>
      <c r="V145" s="774" t="n"/>
      <c r="W145" s="662">
        <f>VeriGiris!W316</f>
        <v/>
      </c>
      <c r="X145" s="774" t="n"/>
      <c r="Y145" s="663">
        <f>VeriGiris!Y316</f>
        <v/>
      </c>
      <c r="Z145" s="774" t="n"/>
      <c r="AA145" s="96" t="n"/>
      <c r="AB145" s="96" t="n"/>
    </row>
    <row r="146">
      <c r="B146" s="664">
        <f>VeriGiris!B317</f>
        <v/>
      </c>
      <c r="C146" s="773" t="n"/>
      <c r="D146" s="773" t="n"/>
      <c r="E146" s="773" t="n"/>
      <c r="F146" s="773" t="n"/>
      <c r="G146" s="773" t="n"/>
      <c r="H146" s="773" t="n"/>
      <c r="I146" s="773" t="n"/>
      <c r="J146" s="773" t="n"/>
      <c r="K146" s="774" t="n"/>
      <c r="L146" s="660">
        <f>VeriGiris!L317</f>
        <v/>
      </c>
      <c r="M146" s="774" t="n"/>
      <c r="N146" s="665">
        <f>VeriGiris!N317</f>
        <v/>
      </c>
      <c r="O146" s="774" t="n"/>
      <c r="P146" s="660">
        <f>VeriGiris!P317</f>
        <v/>
      </c>
      <c r="Q146" s="774" t="n"/>
      <c r="R146" s="660">
        <f>VeriGiris!R317</f>
        <v/>
      </c>
      <c r="S146" s="773" t="n"/>
      <c r="T146" s="774" t="n"/>
      <c r="U146" s="662">
        <f>VeriGiris!U317</f>
        <v/>
      </c>
      <c r="V146" s="774" t="n"/>
      <c r="W146" s="662">
        <f>VeriGiris!W317</f>
        <v/>
      </c>
      <c r="X146" s="774" t="n"/>
      <c r="Y146" s="663">
        <f>VeriGiris!Y317</f>
        <v/>
      </c>
      <c r="Z146" s="774" t="n"/>
      <c r="AA146" s="96" t="n"/>
      <c r="AB146" s="96" t="n"/>
    </row>
    <row r="147">
      <c r="B147" s="664">
        <f>VeriGiris!B318</f>
        <v/>
      </c>
      <c r="C147" s="773" t="n"/>
      <c r="D147" s="773" t="n"/>
      <c r="E147" s="773" t="n"/>
      <c r="F147" s="773" t="n"/>
      <c r="G147" s="773" t="n"/>
      <c r="H147" s="773" t="n"/>
      <c r="I147" s="773" t="n"/>
      <c r="J147" s="773" t="n"/>
      <c r="K147" s="774" t="n"/>
      <c r="L147" s="660">
        <f>VeriGiris!L318</f>
        <v/>
      </c>
      <c r="M147" s="774" t="n"/>
      <c r="N147" s="665">
        <f>VeriGiris!N318</f>
        <v/>
      </c>
      <c r="O147" s="774" t="n"/>
      <c r="P147" s="660">
        <f>VeriGiris!P318</f>
        <v/>
      </c>
      <c r="Q147" s="774" t="n"/>
      <c r="R147" s="660">
        <f>VeriGiris!R318</f>
        <v/>
      </c>
      <c r="S147" s="773" t="n"/>
      <c r="T147" s="774" t="n"/>
      <c r="U147" s="662">
        <f>VeriGiris!U318</f>
        <v/>
      </c>
      <c r="V147" s="774" t="n"/>
      <c r="W147" s="662">
        <f>VeriGiris!W318</f>
        <v/>
      </c>
      <c r="X147" s="774" t="n"/>
      <c r="Y147" s="663">
        <f>VeriGiris!Y318</f>
        <v/>
      </c>
      <c r="Z147" s="774" t="n"/>
      <c r="AA147" s="96" t="n"/>
      <c r="AB147" s="96" t="n"/>
    </row>
    <row r="148">
      <c r="B148" s="664">
        <f>VeriGiris!B319</f>
        <v/>
      </c>
      <c r="C148" s="773" t="n"/>
      <c r="D148" s="773" t="n"/>
      <c r="E148" s="773" t="n"/>
      <c r="F148" s="773" t="n"/>
      <c r="G148" s="773" t="n"/>
      <c r="H148" s="773" t="n"/>
      <c r="I148" s="773" t="n"/>
      <c r="J148" s="773" t="n"/>
      <c r="K148" s="774" t="n"/>
      <c r="L148" s="660">
        <f>VeriGiris!L319</f>
        <v/>
      </c>
      <c r="M148" s="774" t="n"/>
      <c r="N148" s="665">
        <f>VeriGiris!N319</f>
        <v/>
      </c>
      <c r="O148" s="774" t="n"/>
      <c r="P148" s="660">
        <f>VeriGiris!P319</f>
        <v/>
      </c>
      <c r="Q148" s="774" t="n"/>
      <c r="R148" s="660">
        <f>VeriGiris!R319</f>
        <v/>
      </c>
      <c r="S148" s="773" t="n"/>
      <c r="T148" s="774" t="n"/>
      <c r="U148" s="662">
        <f>VeriGiris!U319</f>
        <v/>
      </c>
      <c r="V148" s="774" t="n"/>
      <c r="W148" s="662">
        <f>VeriGiris!W319</f>
        <v/>
      </c>
      <c r="X148" s="774" t="n"/>
      <c r="Y148" s="663">
        <f>VeriGiris!Y319</f>
        <v/>
      </c>
      <c r="Z148" s="774" t="n"/>
      <c r="AA148" s="96" t="n"/>
      <c r="AB148" s="96" t="n"/>
    </row>
    <row r="149">
      <c r="B149" s="699">
        <f>VeriGiris!B320</f>
        <v/>
      </c>
      <c r="C149" s="773" t="n"/>
      <c r="D149" s="773" t="n"/>
      <c r="E149" s="773" t="n"/>
      <c r="F149" s="773" t="n"/>
      <c r="G149" s="773" t="n"/>
      <c r="H149" s="773" t="n"/>
      <c r="I149" s="773" t="n"/>
      <c r="J149" s="773" t="n"/>
      <c r="K149" s="774" t="n"/>
      <c r="L149" s="701" t="n"/>
      <c r="M149" s="774" t="n"/>
      <c r="N149" s="702" t="n"/>
      <c r="O149" s="774" t="n"/>
      <c r="P149" s="701" t="n"/>
      <c r="Q149" s="774" t="n"/>
      <c r="R149" s="701">
        <f>VeriGiris!R320</f>
        <v/>
      </c>
      <c r="S149" s="773" t="n"/>
      <c r="T149" s="774" t="n"/>
      <c r="U149" s="698" t="n"/>
      <c r="V149" s="774" t="n"/>
      <c r="W149" s="698" t="n"/>
      <c r="X149" s="774" t="n"/>
      <c r="Y149" s="641">
        <f>VeriGiris!Y320</f>
        <v/>
      </c>
      <c r="Z149" s="774" t="n"/>
      <c r="AA149" s="96" t="n"/>
      <c r="AB149" s="96" t="n"/>
    </row>
    <row r="150" ht="5.25" customHeight="1" s="321">
      <c r="B150" s="902" t="n"/>
      <c r="C150" s="804" t="n"/>
      <c r="D150" s="804" t="n"/>
      <c r="E150" s="804" t="n"/>
      <c r="F150" s="804" t="n"/>
      <c r="G150" s="804" t="n"/>
      <c r="H150" s="804" t="n"/>
      <c r="I150" s="804" t="n"/>
      <c r="J150" s="804" t="n"/>
      <c r="K150" s="805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  <c r="V150" s="52" t="n"/>
      <c r="W150" s="52" t="n"/>
      <c r="X150" s="52" t="n"/>
      <c r="Y150" s="52" t="n"/>
      <c r="Z150" s="52" t="n"/>
      <c r="AA150" s="52" t="n"/>
      <c r="AB150" s="52" t="n"/>
    </row>
    <row r="151" ht="16.9" customHeight="1" s="321">
      <c r="B151" s="903" t="inlineStr">
        <is>
          <t>TOPLAM ÜRETİM GİDERLERİ</t>
        </is>
      </c>
      <c r="K151" s="32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  <c r="V151" s="52" t="n"/>
      <c r="W151" s="52" t="n"/>
      <c r="X151" s="52" t="n"/>
      <c r="Y151" s="52" t="n"/>
      <c r="Z151" s="52" t="n"/>
      <c r="AA151" s="52" t="n"/>
      <c r="AB151" s="52" t="n"/>
    </row>
    <row r="152" ht="18.6" customHeight="1" s="321">
      <c r="B152" s="706" t="inlineStr">
        <is>
          <t xml:space="preserve">Sabit Giderler Toplamı    </t>
        </is>
      </c>
      <c r="G152" s="709" t="inlineStr">
        <is>
          <t>:</t>
        </is>
      </c>
      <c r="H152" s="904">
        <f>VeriGiris!AA309</f>
        <v/>
      </c>
      <c r="K152" s="32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  <c r="V152" s="52" t="n"/>
      <c r="W152" s="52" t="n"/>
      <c r="X152" s="52" t="n"/>
      <c r="Y152" s="52" t="n"/>
      <c r="Z152" s="52" t="n"/>
      <c r="AA152" s="52" t="n"/>
      <c r="AB152" s="52" t="n"/>
    </row>
    <row r="153" ht="18.6" customHeight="1" s="321">
      <c r="B153" s="706" t="inlineStr">
        <is>
          <t xml:space="preserve">Değişken Giderler Toplamı   </t>
        </is>
      </c>
      <c r="G153" s="709" t="inlineStr">
        <is>
          <t>:</t>
        </is>
      </c>
      <c r="H153" s="904">
        <f>VeriGiris!AC309</f>
        <v/>
      </c>
      <c r="K153" s="32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  <c r="V153" s="52" t="n"/>
      <c r="W153" s="52" t="n"/>
      <c r="X153" s="52" t="n"/>
      <c r="Y153" s="52" t="n"/>
      <c r="Z153" s="52" t="n"/>
      <c r="AA153" s="52" t="n"/>
      <c r="AB153" s="52" t="n"/>
    </row>
    <row r="154" ht="7.15" customHeight="1" s="321">
      <c r="B154" s="85" t="n"/>
      <c r="C154" s="86" t="n"/>
      <c r="D154" s="86" t="n"/>
      <c r="E154" s="86" t="n"/>
      <c r="F154" s="86" t="n"/>
      <c r="G154" s="87" t="n"/>
      <c r="H154" s="88" t="n"/>
      <c r="I154" s="87" t="n"/>
      <c r="J154" s="87" t="n"/>
      <c r="K154" s="89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  <c r="V154" s="52" t="n"/>
      <c r="W154" s="52" t="n"/>
      <c r="X154" s="52" t="n"/>
      <c r="Y154" s="52" t="n"/>
      <c r="Z154" s="52" t="n"/>
      <c r="AA154" s="52" t="n"/>
      <c r="AB154" s="52" t="n"/>
    </row>
    <row r="155" ht="7.15" customHeight="1" s="321">
      <c r="B155" s="90" t="n"/>
      <c r="C155" s="91" t="n"/>
      <c r="D155" s="91" t="n"/>
      <c r="E155" s="91" t="n"/>
      <c r="F155" s="91" t="n"/>
      <c r="G155" s="91" t="n"/>
      <c r="H155" s="91" t="n"/>
      <c r="I155" s="91" t="n"/>
      <c r="J155" s="91" t="n"/>
      <c r="K155" s="9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  <c r="V155" s="52" t="n"/>
      <c r="W155" s="52" t="n"/>
      <c r="X155" s="52" t="n"/>
      <c r="Y155" s="52" t="n"/>
      <c r="Z155" s="52" t="n"/>
      <c r="AA155" s="52" t="n"/>
      <c r="AB155" s="52" t="n"/>
    </row>
    <row r="156" ht="18.6" customHeight="1" s="321">
      <c r="B156" s="903" t="inlineStr">
        <is>
          <t>TOPLAM İŞLETME GİDERLERİ</t>
        </is>
      </c>
      <c r="K156" s="32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  <c r="V156" s="52" t="n"/>
      <c r="W156" s="52" t="n"/>
      <c r="X156" s="52" t="n"/>
      <c r="Y156" s="52" t="n"/>
      <c r="Z156" s="52" t="n"/>
      <c r="AA156" s="52" t="n"/>
      <c r="AB156" s="52" t="n"/>
    </row>
    <row r="157" ht="18.6" customHeight="1" s="321">
      <c r="B157" s="706" t="inlineStr">
        <is>
          <t xml:space="preserve">Sabit Giderler Toplamı    </t>
        </is>
      </c>
      <c r="G157" s="709" t="inlineStr">
        <is>
          <t>:</t>
        </is>
      </c>
      <c r="H157" s="904">
        <f>VeriGiris!AA320</f>
        <v/>
      </c>
      <c r="K157" s="32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  <c r="V157" s="52" t="n"/>
      <c r="W157" s="52" t="n"/>
      <c r="X157" s="52" t="n"/>
      <c r="Y157" s="52" t="n"/>
      <c r="Z157" s="52" t="n"/>
      <c r="AA157" s="52" t="n"/>
      <c r="AB157" s="52" t="n"/>
    </row>
    <row r="158" ht="18.6" customHeight="1" s="321">
      <c r="B158" s="706" t="inlineStr">
        <is>
          <t xml:space="preserve">Değişken Giderler Toplamı   </t>
        </is>
      </c>
      <c r="G158" s="709" t="inlineStr">
        <is>
          <t>:</t>
        </is>
      </c>
      <c r="H158" s="904">
        <f>VeriGiris!AC320</f>
        <v/>
      </c>
      <c r="K158" s="32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  <c r="V158" s="52" t="n"/>
      <c r="W158" s="52" t="n"/>
      <c r="X158" s="52" t="n"/>
      <c r="Y158" s="52" t="n"/>
      <c r="Z158" s="52" t="n"/>
      <c r="AA158" s="52" t="n"/>
      <c r="AB158" s="52" t="n"/>
    </row>
    <row r="159" ht="6.6" customHeight="1" s="321">
      <c r="B159" s="93" t="n"/>
      <c r="C159" s="94" t="n"/>
      <c r="D159" s="94" t="n"/>
      <c r="E159" s="94" t="n"/>
      <c r="F159" s="94" t="n"/>
      <c r="G159" s="94" t="n"/>
      <c r="H159" s="94" t="n"/>
      <c r="I159" s="94" t="n"/>
      <c r="J159" s="94" t="n"/>
      <c r="K159" s="95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  <c r="V159" s="52" t="n"/>
      <c r="W159" s="52" t="n"/>
      <c r="X159" s="52" t="n"/>
      <c r="Y159" s="52" t="n"/>
      <c r="Z159" s="52" t="n"/>
      <c r="AA159" s="52" t="n"/>
      <c r="AB159" s="52" t="n"/>
    </row>
    <row r="160" ht="6.75" customHeight="1" s="321"/>
    <row r="161" ht="6.75" customFormat="1" customHeight="1" s="8">
      <c r="A161" s="7" t="n"/>
    </row>
    <row r="162" ht="6.75" customFormat="1" customHeight="1" s="8">
      <c r="A162" s="7" t="n"/>
      <c r="B162" s="75" t="n"/>
      <c r="C162" s="75" t="n"/>
      <c r="D162" s="75" t="n"/>
      <c r="E162" s="75" t="n"/>
      <c r="F162" s="75" t="n"/>
      <c r="G162" s="75" t="n"/>
      <c r="H162" s="76" t="n"/>
      <c r="I162" s="76" t="n"/>
      <c r="J162" s="76" t="n"/>
      <c r="K162" s="76" t="n"/>
      <c r="L162" s="76" t="n"/>
      <c r="M162" s="76" t="n"/>
      <c r="N162" s="76" t="n"/>
      <c r="O162" s="76" t="n"/>
      <c r="P162" s="76" t="n"/>
      <c r="Q162" s="76" t="n"/>
      <c r="R162" s="76" t="n"/>
      <c r="S162" s="76" t="n"/>
      <c r="T162" s="76" t="n"/>
      <c r="U162" s="76" t="n"/>
      <c r="V162" s="76" t="n"/>
      <c r="W162" s="76" t="n"/>
      <c r="X162" s="76" t="n"/>
      <c r="Y162" s="76" t="n"/>
      <c r="Z162" s="76" t="n"/>
      <c r="AA162" s="76" t="n"/>
    </row>
    <row r="163" ht="6.75" customFormat="1" customHeight="1" s="8">
      <c r="A163" s="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  <c r="W163" s="77" t="n"/>
      <c r="X163" s="77" t="n"/>
      <c r="Y163" s="77" t="n"/>
      <c r="Z163" s="77" t="n"/>
      <c r="AA163" s="77" t="n"/>
    </row>
    <row r="164" ht="6.75" customFormat="1" customHeight="1" s="8">
      <c r="A164" s="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  <c r="W164" s="77" t="n"/>
      <c r="X164" s="48" t="n"/>
      <c r="Y164" s="48" t="n"/>
      <c r="Z164" s="48" t="n"/>
      <c r="AA164" s="48" t="n"/>
    </row>
    <row r="165" ht="6.75" customFormat="1" customHeight="1" s="8">
      <c r="A165" s="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  <c r="W165" s="77" t="n"/>
      <c r="X165" s="48" t="n"/>
      <c r="Y165" s="48" t="n"/>
      <c r="Z165" s="48" t="n"/>
      <c r="AA165" s="48" t="n"/>
    </row>
    <row r="166" ht="6.75" customFormat="1" customHeight="1" s="17">
      <c r="A166" s="13" t="n"/>
    </row>
    <row r="167" ht="6.75" customHeight="1" s="321">
      <c r="M167" s="5" t="n"/>
    </row>
    <row r="168" ht="17.45" customHeight="1" s="321">
      <c r="B168" s="621" t="inlineStr">
        <is>
          <t>Tablo 9 - Üretim Giderleri (TL)</t>
        </is>
      </c>
      <c r="C168" s="773" t="n"/>
      <c r="D168" s="773" t="n"/>
      <c r="E168" s="773" t="n"/>
      <c r="F168" s="773" t="n"/>
      <c r="G168" s="773" t="n"/>
      <c r="H168" s="773" t="n"/>
      <c r="I168" s="773" t="n"/>
      <c r="J168" s="773" t="n"/>
      <c r="K168" s="773" t="n"/>
      <c r="L168" s="773" t="n"/>
      <c r="M168" s="773" t="n"/>
      <c r="N168" s="773" t="n"/>
      <c r="O168" s="773" t="n"/>
      <c r="P168" s="773" t="n"/>
      <c r="Q168" s="773" t="n"/>
      <c r="R168" s="773" t="n"/>
      <c r="S168" s="773" t="n"/>
      <c r="T168" s="773" t="n"/>
      <c r="U168" s="773" t="n"/>
      <c r="V168" s="773" t="n"/>
      <c r="W168" s="773" t="n"/>
      <c r="X168" s="773" t="n"/>
      <c r="Y168" s="773" t="n"/>
      <c r="Z168" s="773" t="n"/>
      <c r="AA168" s="773" t="n"/>
      <c r="AB168" s="773" t="n"/>
      <c r="AC168" s="774" t="n"/>
      <c r="AD168" s="81" t="n"/>
      <c r="AE168" s="81" t="n"/>
    </row>
    <row r="169" ht="34.15" customHeight="1" s="321">
      <c r="B169" s="607" t="inlineStr">
        <is>
          <t>Üretim Giderleri</t>
        </is>
      </c>
      <c r="C169" s="773" t="n"/>
      <c r="D169" s="773" t="n"/>
      <c r="E169" s="773" t="n"/>
      <c r="F169" s="773" t="n"/>
      <c r="G169" s="774" t="n"/>
      <c r="H169" s="607">
        <f>VeriGiris!I35</f>
        <v/>
      </c>
      <c r="I169" s="774" t="n"/>
      <c r="J169" s="607">
        <f>VeriGiris!K35</f>
        <v/>
      </c>
      <c r="K169" s="774" t="n"/>
      <c r="L169" s="607">
        <f>VeriGiris!M35</f>
        <v/>
      </c>
      <c r="M169" s="774" t="n"/>
      <c r="N169" s="607">
        <f>VeriGiris!O35</f>
        <v/>
      </c>
      <c r="O169" s="774" t="n"/>
      <c r="P169" s="607">
        <f>VeriGiris!Q35</f>
        <v/>
      </c>
      <c r="Q169" s="774" t="n"/>
      <c r="R169" s="607">
        <f>VeriGiris!S35</f>
        <v/>
      </c>
      <c r="S169" s="774" t="n"/>
      <c r="T169" s="607">
        <f>VeriGiris!U35</f>
        <v/>
      </c>
      <c r="U169" s="774" t="n"/>
      <c r="V169" s="607">
        <f>VeriGiris!W35</f>
        <v/>
      </c>
      <c r="W169" s="774" t="n"/>
      <c r="X169" s="607">
        <f>VeriGiris!Y35</f>
        <v/>
      </c>
      <c r="Y169" s="774" t="n"/>
      <c r="Z169" s="607">
        <f>VeriGiris!AA35</f>
        <v/>
      </c>
      <c r="AA169" s="774" t="n"/>
      <c r="AB169" s="607">
        <f>VeriGiris!AC35</f>
        <v/>
      </c>
      <c r="AC169" s="774" t="n"/>
      <c r="AD169" s="82" t="n"/>
      <c r="AE169" s="82" t="n"/>
    </row>
    <row r="170" ht="18" customHeight="1" s="321">
      <c r="B170" s="659">
        <f>VeriGiris!B355</f>
        <v/>
      </c>
      <c r="C170" s="773" t="n"/>
      <c r="D170" s="773" t="n"/>
      <c r="E170" s="773" t="n"/>
      <c r="F170" s="773" t="n"/>
      <c r="G170" s="774" t="n"/>
      <c r="H170" s="905">
        <f>VeriGiris!J355</f>
        <v/>
      </c>
      <c r="I170" s="774" t="n"/>
      <c r="J170" s="905">
        <f>SUM(J171:K173)</f>
        <v/>
      </c>
      <c r="K170" s="774" t="n"/>
      <c r="L170" s="905">
        <f>SUM(L171:M173)</f>
        <v/>
      </c>
      <c r="M170" s="774" t="n"/>
      <c r="N170" s="905">
        <f>SUM(N171:O173)</f>
        <v/>
      </c>
      <c r="O170" s="774" t="n"/>
      <c r="P170" s="905">
        <f>SUM(P171:Q173)</f>
        <v/>
      </c>
      <c r="Q170" s="774" t="n"/>
      <c r="R170" s="905">
        <f>SUM(R171:S173)</f>
        <v/>
      </c>
      <c r="S170" s="774" t="n"/>
      <c r="T170" s="905">
        <f>SUM(T171:U173)</f>
        <v/>
      </c>
      <c r="U170" s="774" t="n"/>
      <c r="V170" s="905">
        <f>SUM(V171:W173)</f>
        <v/>
      </c>
      <c r="W170" s="774" t="n"/>
      <c r="X170" s="905">
        <f>SUM(X171:Y173)</f>
        <v/>
      </c>
      <c r="Y170" s="774" t="n"/>
      <c r="Z170" s="905">
        <f>SUM(Z171:AA173)</f>
        <v/>
      </c>
      <c r="AA170" s="774" t="n"/>
      <c r="AB170" s="905">
        <f>SUM(AB171:AC173)</f>
        <v/>
      </c>
      <c r="AC170" s="774" t="n"/>
      <c r="AD170" s="96" t="n"/>
      <c r="AE170" s="96" t="n"/>
    </row>
    <row r="171" ht="18" customHeight="1" s="321">
      <c r="B171" s="906">
        <f>VeriGiris!B356</f>
        <v/>
      </c>
      <c r="C171" s="773" t="n"/>
      <c r="D171" s="773" t="n"/>
      <c r="E171" s="773" t="n"/>
      <c r="F171" s="773" t="n"/>
      <c r="G171" s="774" t="n"/>
      <c r="H171" s="660">
        <f>VeriGiris!J356</f>
        <v/>
      </c>
      <c r="I171" s="774" t="n"/>
      <c r="J171" s="660">
        <f>IFERROR(VeriGiris!$AA$185+VeriGiris!$AC$185*Kapasite!K112,0)</f>
        <v/>
      </c>
      <c r="K171" s="774" t="n"/>
      <c r="L171" s="660">
        <f>IFERROR(VeriGiris!$AA$185+VeriGiris!$AC$185*Kapasite!M112,0)</f>
        <v/>
      </c>
      <c r="M171" s="774" t="n"/>
      <c r="N171" s="660">
        <f>IFERROR(VeriGiris!$AA$185+VeriGiris!$AC$185*Kapasite!O112,0)</f>
        <v/>
      </c>
      <c r="O171" s="774" t="n"/>
      <c r="P171" s="660">
        <f>IFERROR(VeriGiris!$AA$185+VeriGiris!$AC$185*Kapasite!Q112,0)</f>
        <v/>
      </c>
      <c r="Q171" s="774" t="n"/>
      <c r="R171" s="660">
        <f>IFERROR(VeriGiris!$AA$185+VeriGiris!$AC$185*Kapasite!S112,0)</f>
        <v/>
      </c>
      <c r="S171" s="774" t="n"/>
      <c r="T171" s="660">
        <f>IFERROR(VeriGiris!$AA$185+VeriGiris!$AC$185*Kapasite!U112,0)</f>
        <v/>
      </c>
      <c r="U171" s="774" t="n"/>
      <c r="V171" s="660">
        <f>IFERROR(VeriGiris!$AA$185+VeriGiris!$AC$185*Kapasite!W112,0)</f>
        <v/>
      </c>
      <c r="W171" s="774" t="n"/>
      <c r="X171" s="660">
        <f>IFERROR(VeriGiris!$AA$185+VeriGiris!$AC$185*Kapasite!Y112,0)</f>
        <v/>
      </c>
      <c r="Y171" s="774" t="n"/>
      <c r="Z171" s="660">
        <f>IFERROR(VeriGiris!$AA$185+VeriGiris!$AC$185*Kapasite!AA112,0)</f>
        <v/>
      </c>
      <c r="AA171" s="774" t="n"/>
      <c r="AB171" s="660">
        <f>IFERROR(VeriGiris!$AA$185+VeriGiris!$AC$185*Kapasite!AC112,0)</f>
        <v/>
      </c>
      <c r="AC171" s="774" t="n"/>
      <c r="AD171" s="96" t="n"/>
      <c r="AE171" s="96" t="n"/>
    </row>
    <row r="172" ht="18" customHeight="1" s="321">
      <c r="B172" s="906">
        <f>VeriGiris!B357</f>
        <v/>
      </c>
      <c r="C172" s="773" t="n"/>
      <c r="D172" s="773" t="n"/>
      <c r="E172" s="773" t="n"/>
      <c r="F172" s="773" t="n"/>
      <c r="G172" s="774" t="n"/>
      <c r="H172" s="660">
        <f>VeriGiris!J357</f>
        <v/>
      </c>
      <c r="I172" s="774" t="n"/>
      <c r="J172" s="660">
        <f>IFERROR(VeriGiris!$AA$226+VeriGiris!$AC$226*Kapasite!K112,0)</f>
        <v/>
      </c>
      <c r="K172" s="774" t="n"/>
      <c r="L172" s="660">
        <f>IFERROR(VeriGiris!$AA$226+VeriGiris!$AC$226*Kapasite!M112,0)</f>
        <v/>
      </c>
      <c r="M172" s="774" t="n"/>
      <c r="N172" s="660">
        <f>IFERROR(VeriGiris!$AA$226+VeriGiris!$AC$226*Kapasite!O112,0)</f>
        <v/>
      </c>
      <c r="O172" s="774" t="n"/>
      <c r="P172" s="660">
        <f>IFERROR(VeriGiris!$AA$226+VeriGiris!$AC$226*Kapasite!Q112,0)</f>
        <v/>
      </c>
      <c r="Q172" s="774" t="n"/>
      <c r="R172" s="660">
        <f>IFERROR(VeriGiris!$AA$226+VeriGiris!$AC$226*Kapasite!S112,0)</f>
        <v/>
      </c>
      <c r="S172" s="774" t="n"/>
      <c r="T172" s="660">
        <f>IFERROR(VeriGiris!$AA$226+VeriGiris!$AC$226*Kapasite!U112,0)</f>
        <v/>
      </c>
      <c r="U172" s="774" t="n"/>
      <c r="V172" s="660">
        <f>IFERROR(VeriGiris!$AA$226+VeriGiris!$AC$226*Kapasite!W112,0)</f>
        <v/>
      </c>
      <c r="W172" s="774" t="n"/>
      <c r="X172" s="660">
        <f>IFERROR(VeriGiris!$AA$226+VeriGiris!$AC$226*Kapasite!Y112,0)</f>
        <v/>
      </c>
      <c r="Y172" s="774" t="n"/>
      <c r="Z172" s="660">
        <f>IFERROR(VeriGiris!$AA$226+VeriGiris!$AC$226*Kapasite!AA112,0)</f>
        <v/>
      </c>
      <c r="AA172" s="774" t="n"/>
      <c r="AB172" s="660">
        <f>IFERROR(VeriGiris!$AA$226+VeriGiris!$AC$226*Kapasite!AC112,0)</f>
        <v/>
      </c>
      <c r="AC172" s="774" t="n"/>
      <c r="AD172" s="96" t="n"/>
      <c r="AE172" s="96" t="n"/>
    </row>
    <row r="173" ht="18" customHeight="1" s="321">
      <c r="B173" s="906">
        <f>VeriGiris!B358</f>
        <v/>
      </c>
      <c r="C173" s="773" t="n"/>
      <c r="D173" s="773" t="n"/>
      <c r="E173" s="773" t="n"/>
      <c r="F173" s="773" t="n"/>
      <c r="G173" s="774" t="n"/>
      <c r="H173" s="660">
        <f>VeriGiris!J358</f>
        <v/>
      </c>
      <c r="I173" s="774" t="n"/>
      <c r="J173" s="660">
        <f>IFERROR(VeriGiris!$AA$252+VeriGiris!$AC$252*Kapasite!K112,0)</f>
        <v/>
      </c>
      <c r="K173" s="774" t="n"/>
      <c r="L173" s="660">
        <f>IFERROR(VeriGiris!$AA$252+VeriGiris!$AC$252*Kapasite!M112,0)</f>
        <v/>
      </c>
      <c r="M173" s="774" t="n"/>
      <c r="N173" s="660">
        <f>IFERROR(VeriGiris!$AA$252+VeriGiris!$AC$252*Kapasite!O112,0)</f>
        <v/>
      </c>
      <c r="O173" s="774" t="n"/>
      <c r="P173" s="660">
        <f>IFERROR(VeriGiris!$AA$252+VeriGiris!$AC$252*Kapasite!Q112,0)</f>
        <v/>
      </c>
      <c r="Q173" s="774" t="n"/>
      <c r="R173" s="660">
        <f>IFERROR(VeriGiris!$AA$252+VeriGiris!$AC$252*Kapasite!S112,0)</f>
        <v/>
      </c>
      <c r="S173" s="774" t="n"/>
      <c r="T173" s="660">
        <f>IFERROR(VeriGiris!$AA$252+VeriGiris!$AC$252*Kapasite!U112,0)</f>
        <v/>
      </c>
      <c r="U173" s="774" t="n"/>
      <c r="V173" s="660">
        <f>IFERROR(VeriGiris!$AA$252+VeriGiris!$AC$252*Kapasite!W112,0)</f>
        <v/>
      </c>
      <c r="W173" s="774" t="n"/>
      <c r="X173" s="660">
        <f>IFERROR(VeriGiris!$AA$252+VeriGiris!$AC$252*Kapasite!Y112,0)</f>
        <v/>
      </c>
      <c r="Y173" s="774" t="n"/>
      <c r="Z173" s="660">
        <f>IFERROR(VeriGiris!$AA$252+VeriGiris!$AC$252*Kapasite!AA112,0)</f>
        <v/>
      </c>
      <c r="AA173" s="774" t="n"/>
      <c r="AB173" s="660">
        <f>IFERROR(VeriGiris!$AA$252+VeriGiris!$AC$252*Kapasite!AC112,0)</f>
        <v/>
      </c>
      <c r="AC173" s="774" t="n"/>
      <c r="AD173" s="96" t="n"/>
      <c r="AE173" s="96" t="n"/>
    </row>
    <row r="174" ht="18.75" customHeight="1" s="321">
      <c r="B174" s="659">
        <f>VeriGiris!B359</f>
        <v/>
      </c>
      <c r="C174" s="773" t="n"/>
      <c r="D174" s="773" t="n"/>
      <c r="E174" s="773" t="n"/>
      <c r="F174" s="773" t="n"/>
      <c r="G174" s="774" t="n"/>
      <c r="H174" s="905">
        <f>VeriGiris!J359</f>
        <v/>
      </c>
      <c r="I174" s="774" t="n"/>
      <c r="J174" s="905">
        <f>IFERROR(VeriGiris!$AA$278+VeriGiris!$AC$278*Kapasite!K112,0)</f>
        <v/>
      </c>
      <c r="K174" s="774" t="n"/>
      <c r="L174" s="905">
        <f>IFERROR(VeriGiris!$AA$278+VeriGiris!$AC$278*Kapasite!M112,0)</f>
        <v/>
      </c>
      <c r="M174" s="774" t="n"/>
      <c r="N174" s="905">
        <f>IFERROR(VeriGiris!$AA$278+VeriGiris!$AC$278*Kapasite!O112,0)</f>
        <v/>
      </c>
      <c r="O174" s="774" t="n"/>
      <c r="P174" s="905">
        <f>IFERROR(VeriGiris!$AA$278+VeriGiris!$AC$278*Kapasite!Q112,0)</f>
        <v/>
      </c>
      <c r="Q174" s="774" t="n"/>
      <c r="R174" s="905">
        <f>IFERROR(VeriGiris!$AA$278+VeriGiris!$AC$278*Kapasite!S112,0)</f>
        <v/>
      </c>
      <c r="S174" s="774" t="n"/>
      <c r="T174" s="905">
        <f>IFERROR(VeriGiris!$AA$278+VeriGiris!$AC$278*Kapasite!U112,0)</f>
        <v/>
      </c>
      <c r="U174" s="774" t="n"/>
      <c r="V174" s="905">
        <f>IFERROR(VeriGiris!$AA$278+VeriGiris!$AC$278*Kapasite!W112,0)</f>
        <v/>
      </c>
      <c r="W174" s="774" t="n"/>
      <c r="X174" s="905">
        <f>IFERROR(VeriGiris!$AA$278+VeriGiris!$AC$278*Kapasite!Y112,0)</f>
        <v/>
      </c>
      <c r="Y174" s="774" t="n"/>
      <c r="Z174" s="905">
        <f>IFERROR(VeriGiris!$AA$278+VeriGiris!$AC$278*Kapasite!AA112,0)</f>
        <v/>
      </c>
      <c r="AA174" s="774" t="n"/>
      <c r="AB174" s="905">
        <f>IFERROR(VeriGiris!$AA$278+VeriGiris!$AC$278*Kapasite!AC112,0)</f>
        <v/>
      </c>
      <c r="AC174" s="774" t="n"/>
      <c r="AD174" s="96" t="n"/>
      <c r="AE174" s="96" t="n"/>
    </row>
    <row r="175" ht="18" customHeight="1" s="321">
      <c r="B175" s="659">
        <f>VeriGiris!B360</f>
        <v/>
      </c>
      <c r="C175" s="773" t="n"/>
      <c r="D175" s="773" t="n"/>
      <c r="E175" s="773" t="n"/>
      <c r="F175" s="773" t="n"/>
      <c r="G175" s="774" t="n"/>
      <c r="H175" s="905">
        <f>VeriGiris!J360</f>
        <v/>
      </c>
      <c r="I175" s="774" t="n"/>
      <c r="J175" s="905">
        <f>SUM(J176:K183)</f>
        <v/>
      </c>
      <c r="K175" s="774" t="n"/>
      <c r="L175" s="905">
        <f>SUM(L176:M183)</f>
        <v/>
      </c>
      <c r="M175" s="774" t="n"/>
      <c r="N175" s="905">
        <f>SUM(N176:O183)</f>
        <v/>
      </c>
      <c r="O175" s="774" t="n"/>
      <c r="P175" s="905">
        <f>SUM(P176:Q183)</f>
        <v/>
      </c>
      <c r="Q175" s="774" t="n"/>
      <c r="R175" s="905">
        <f>SUM(R176:S183)</f>
        <v/>
      </c>
      <c r="S175" s="774" t="n"/>
      <c r="T175" s="905">
        <f>SUM(T176:U183)</f>
        <v/>
      </c>
      <c r="U175" s="774" t="n"/>
      <c r="V175" s="905">
        <f>SUM(V176:W183)</f>
        <v/>
      </c>
      <c r="W175" s="774" t="n"/>
      <c r="X175" s="905">
        <f>SUM(X176:Y183)</f>
        <v/>
      </c>
      <c r="Y175" s="774" t="n"/>
      <c r="Z175" s="905">
        <f>SUM(Z176:AA183)</f>
        <v/>
      </c>
      <c r="AA175" s="774" t="n"/>
      <c r="AB175" s="905">
        <f>SUM(AB176:AC183)</f>
        <v/>
      </c>
      <c r="AC175" s="774" t="n"/>
      <c r="AD175" s="96" t="n"/>
      <c r="AE175" s="96" t="n"/>
    </row>
    <row r="176" ht="18" customHeight="1" s="321">
      <c r="B176" s="906">
        <f>VeriGiris!B361</f>
        <v/>
      </c>
      <c r="C176" s="773" t="n"/>
      <c r="D176" s="773" t="n"/>
      <c r="E176" s="773" t="n"/>
      <c r="F176" s="773" t="n"/>
      <c r="G176" s="774" t="n"/>
      <c r="H176" s="660">
        <f>VeriGiris!J361</f>
        <v/>
      </c>
      <c r="I176" s="774" t="n"/>
      <c r="J176" s="660">
        <f>IFERROR(VeriGiris!$AA$290+VeriGiris!$AC$290*Kapasite!K112,0)</f>
        <v/>
      </c>
      <c r="K176" s="774" t="n"/>
      <c r="L176" s="660">
        <f>IFERROR(VeriGiris!$AA$290+VeriGiris!$AC$290*Kapasite!M112,0)</f>
        <v/>
      </c>
      <c r="M176" s="774" t="n"/>
      <c r="N176" s="660">
        <f>IFERROR(VeriGiris!$AA$290+VeriGiris!$AC$290*Kapasite!O112,0)</f>
        <v/>
      </c>
      <c r="O176" s="774" t="n"/>
      <c r="P176" s="660">
        <f>IFERROR(VeriGiris!$AA$290+VeriGiris!$AC$290*Kapasite!Q112,0)</f>
        <v/>
      </c>
      <c r="Q176" s="774" t="n"/>
      <c r="R176" s="660">
        <f>IFERROR(VeriGiris!$AA$290+VeriGiris!$AC$290*Kapasite!S112,0)</f>
        <v/>
      </c>
      <c r="S176" s="774" t="n"/>
      <c r="T176" s="660">
        <f>IFERROR(VeriGiris!$AA$290+VeriGiris!$AC$290*Kapasite!U112,0)</f>
        <v/>
      </c>
      <c r="U176" s="774" t="n"/>
      <c r="V176" s="660">
        <f>IFERROR(VeriGiris!$AA$290+VeriGiris!$AC$290*Kapasite!W112,0)</f>
        <v/>
      </c>
      <c r="W176" s="774" t="n"/>
      <c r="X176" s="660">
        <f>IFERROR(VeriGiris!$AA$290+VeriGiris!$AC$290*Kapasite!Y112,0)</f>
        <v/>
      </c>
      <c r="Y176" s="774" t="n"/>
      <c r="Z176" s="660">
        <f>IFERROR(VeriGiris!$AA$290+VeriGiris!$AC$290*Kapasite!AA112,0)</f>
        <v/>
      </c>
      <c r="AA176" s="774" t="n"/>
      <c r="AB176" s="660">
        <f>IFERROR(VeriGiris!$AA$290+VeriGiris!$AC$290*Kapasite!AC112,0)</f>
        <v/>
      </c>
      <c r="AC176" s="774" t="n"/>
      <c r="AD176" s="96" t="n"/>
      <c r="AE176" s="96" t="n"/>
    </row>
    <row r="177" ht="18" customHeight="1" s="321">
      <c r="B177" s="906">
        <f>VeriGiris!B362</f>
        <v/>
      </c>
      <c r="C177" s="773" t="n"/>
      <c r="D177" s="773" t="n"/>
      <c r="E177" s="773" t="n"/>
      <c r="F177" s="773" t="n"/>
      <c r="G177" s="774" t="n"/>
      <c r="H177" s="660">
        <f>VeriGiris!J362</f>
        <v/>
      </c>
      <c r="I177" s="774" t="n"/>
      <c r="J177" s="660">
        <f>IFERROR(VeriGiris!$AA$291+VeriGiris!$AC$291*Kapasite!K112,0)</f>
        <v/>
      </c>
      <c r="K177" s="774" t="n"/>
      <c r="L177" s="660">
        <f>IFERROR(VeriGiris!$AA$291+VeriGiris!$AC$291*Kapasite!M112,0)</f>
        <v/>
      </c>
      <c r="M177" s="774" t="n"/>
      <c r="N177" s="660">
        <f>IFERROR(VeriGiris!$AA$291+VeriGiris!$AC$291*Kapasite!O112,0)</f>
        <v/>
      </c>
      <c r="O177" s="774" t="n"/>
      <c r="P177" s="660">
        <f>IFERROR(VeriGiris!$AA$291+VeriGiris!$AC$291*Kapasite!Q112,0)</f>
        <v/>
      </c>
      <c r="Q177" s="774" t="n"/>
      <c r="R177" s="660">
        <f>IFERROR(VeriGiris!$AA$291+VeriGiris!$AC$291*Kapasite!S112,0)</f>
        <v/>
      </c>
      <c r="S177" s="774" t="n"/>
      <c r="T177" s="660">
        <f>IFERROR(VeriGiris!$AA$291+VeriGiris!$AC$291*Kapasite!U112,0)</f>
        <v/>
      </c>
      <c r="U177" s="774" t="n"/>
      <c r="V177" s="660">
        <f>IFERROR(VeriGiris!$AA$291+VeriGiris!$AC$291*Kapasite!W112,0)</f>
        <v/>
      </c>
      <c r="W177" s="774" t="n"/>
      <c r="X177" s="660">
        <f>IFERROR(VeriGiris!$AA$291+VeriGiris!$AC$291*Kapasite!Y112,0)</f>
        <v/>
      </c>
      <c r="Y177" s="774" t="n"/>
      <c r="Z177" s="660">
        <f>IFERROR(VeriGiris!$AA$291+VeriGiris!$AC$291*Kapasite!AA112,0)</f>
        <v/>
      </c>
      <c r="AA177" s="774" t="n"/>
      <c r="AB177" s="660">
        <f>IFERROR(VeriGiris!$AA$291+VeriGiris!$AC$291*Kapasite!AC112,0)</f>
        <v/>
      </c>
      <c r="AC177" s="774" t="n"/>
      <c r="AD177" s="96" t="n"/>
      <c r="AE177" s="96" t="n"/>
    </row>
    <row r="178" ht="18" customHeight="1" s="321">
      <c r="B178" s="906">
        <f>VeriGiris!B363</f>
        <v/>
      </c>
      <c r="C178" s="773" t="n"/>
      <c r="D178" s="773" t="n"/>
      <c r="E178" s="773" t="n"/>
      <c r="F178" s="773" t="n"/>
      <c r="G178" s="774" t="n"/>
      <c r="H178" s="660">
        <f>VeriGiris!J363</f>
        <v/>
      </c>
      <c r="I178" s="774" t="n"/>
      <c r="J178" s="660">
        <f>IFERROR(VeriGiris!$AA$292+VeriGiris!$AC$292*Kapasite!K112,0)</f>
        <v/>
      </c>
      <c r="K178" s="774" t="n"/>
      <c r="L178" s="660">
        <f>IFERROR(VeriGiris!$AA$292+VeriGiris!$AC$292*Kapasite!M112,0)</f>
        <v/>
      </c>
      <c r="M178" s="774" t="n"/>
      <c r="N178" s="660">
        <f>IFERROR(VeriGiris!$AA$292+VeriGiris!$AC$292*Kapasite!O112,0)</f>
        <v/>
      </c>
      <c r="O178" s="774" t="n"/>
      <c r="P178" s="660">
        <f>IFERROR(VeriGiris!$AA$292+VeriGiris!$AC$292*Kapasite!Q112,0)</f>
        <v/>
      </c>
      <c r="Q178" s="774" t="n"/>
      <c r="R178" s="660">
        <f>IFERROR(VeriGiris!$AA$292+VeriGiris!$AC$292*Kapasite!S112,0)</f>
        <v/>
      </c>
      <c r="S178" s="774" t="n"/>
      <c r="T178" s="660">
        <f>IFERROR(VeriGiris!$AA$292+VeriGiris!$AC$292*Kapasite!U112,0)</f>
        <v/>
      </c>
      <c r="U178" s="774" t="n"/>
      <c r="V178" s="660">
        <f>IFERROR(VeriGiris!$AA$292+VeriGiris!$AC$292*Kapasite!W112,0)</f>
        <v/>
      </c>
      <c r="W178" s="774" t="n"/>
      <c r="X178" s="660">
        <f>IFERROR(VeriGiris!$AA$292+VeriGiris!$AC$292*Kapasite!Y112,0)</f>
        <v/>
      </c>
      <c r="Y178" s="774" t="n"/>
      <c r="Z178" s="660">
        <f>IFERROR(VeriGiris!$AA$292+VeriGiris!$AC$292*Kapasite!AA112,0)</f>
        <v/>
      </c>
      <c r="AA178" s="774" t="n"/>
      <c r="AB178" s="660">
        <f>IFERROR(VeriGiris!$AA$292+VeriGiris!$AC$292*Kapasite!AC112,0)</f>
        <v/>
      </c>
      <c r="AC178" s="774" t="n"/>
      <c r="AD178" s="96" t="n"/>
      <c r="AE178" s="96" t="n"/>
    </row>
    <row r="179" ht="18" customHeight="1" s="321">
      <c r="B179" s="906">
        <f>VeriGiris!B364</f>
        <v/>
      </c>
      <c r="C179" s="773" t="n"/>
      <c r="D179" s="773" t="n"/>
      <c r="E179" s="773" t="n"/>
      <c r="F179" s="773" t="n"/>
      <c r="G179" s="774" t="n"/>
      <c r="H179" s="660">
        <f>VeriGiris!J364</f>
        <v/>
      </c>
      <c r="I179" s="774" t="n"/>
      <c r="J179" s="660">
        <f>IFERROR(VeriGiris!$AA$293+VeriGiris!$AC$293*Kapasite!K112,0)</f>
        <v/>
      </c>
      <c r="K179" s="774" t="n"/>
      <c r="L179" s="660">
        <f>IFERROR(VeriGiris!$AA$293+VeriGiris!$AC$293*Kapasite!M112,0)</f>
        <v/>
      </c>
      <c r="M179" s="774" t="n"/>
      <c r="N179" s="660">
        <f>IFERROR(VeriGiris!$AA$293+VeriGiris!$AC$293*Kapasite!O112,0)</f>
        <v/>
      </c>
      <c r="O179" s="774" t="n"/>
      <c r="P179" s="660">
        <f>IFERROR(VeriGiris!$AA$293+VeriGiris!$AC$293*Kapasite!Q112,0)</f>
        <v/>
      </c>
      <c r="Q179" s="774" t="n"/>
      <c r="R179" s="660">
        <f>IFERROR(VeriGiris!$AA$293+VeriGiris!$AC$293*Kapasite!S112,0)</f>
        <v/>
      </c>
      <c r="S179" s="774" t="n"/>
      <c r="T179" s="660">
        <f>IFERROR(VeriGiris!$AA$293+VeriGiris!$AC$293*Kapasite!U112,0)</f>
        <v/>
      </c>
      <c r="U179" s="774" t="n"/>
      <c r="V179" s="660">
        <f>IFERROR(VeriGiris!$AA$293+VeriGiris!$AC$293*Kapasite!W112,0)</f>
        <v/>
      </c>
      <c r="W179" s="774" t="n"/>
      <c r="X179" s="660">
        <f>IFERROR(VeriGiris!$AA$293+VeriGiris!$AC$293*Kapasite!Y112,0)</f>
        <v/>
      </c>
      <c r="Y179" s="774" t="n"/>
      <c r="Z179" s="660">
        <f>IFERROR(VeriGiris!$AA$293+VeriGiris!$AC$293*Kapasite!AA112,0)</f>
        <v/>
      </c>
      <c r="AA179" s="774" t="n"/>
      <c r="AB179" s="660">
        <f>IFERROR(VeriGiris!$AA$293+VeriGiris!$AC$293*Kapasite!AC112,0)</f>
        <v/>
      </c>
      <c r="AC179" s="774" t="n"/>
      <c r="AD179" s="96" t="n"/>
      <c r="AE179" s="96" t="n"/>
    </row>
    <row r="180" ht="18" customHeight="1" s="321">
      <c r="B180" s="906">
        <f>VeriGiris!B365</f>
        <v/>
      </c>
      <c r="C180" s="773" t="n"/>
      <c r="D180" s="773" t="n"/>
      <c r="E180" s="773" t="n"/>
      <c r="F180" s="773" t="n"/>
      <c r="G180" s="774" t="n"/>
      <c r="H180" s="660">
        <f>VeriGiris!J365</f>
        <v/>
      </c>
      <c r="I180" s="774" t="n"/>
      <c r="J180" s="660">
        <f>IFERROR(VeriGiris!$AA$294+VeriGiris!$AC$294*Kapasite!K112,0)</f>
        <v/>
      </c>
      <c r="K180" s="774" t="n"/>
      <c r="L180" s="660">
        <f>IFERROR(VeriGiris!$AA$294+VeriGiris!$AC$294*Kapasite!M112,0)</f>
        <v/>
      </c>
      <c r="M180" s="774" t="n"/>
      <c r="N180" s="660">
        <f>IFERROR(VeriGiris!$AA$294+VeriGiris!$AC$294*Kapasite!O112,0)</f>
        <v/>
      </c>
      <c r="O180" s="774" t="n"/>
      <c r="P180" s="660">
        <f>IFERROR(VeriGiris!$AA$294+VeriGiris!$AC$294*Kapasite!Q112,0)</f>
        <v/>
      </c>
      <c r="Q180" s="774" t="n"/>
      <c r="R180" s="660">
        <f>IFERROR(VeriGiris!$AA$294+VeriGiris!$AC$294*Kapasite!S112,0)</f>
        <v/>
      </c>
      <c r="S180" s="774" t="n"/>
      <c r="T180" s="660">
        <f>IFERROR(VeriGiris!$AA$294+VeriGiris!$AC$294*Kapasite!U112,0)</f>
        <v/>
      </c>
      <c r="U180" s="774" t="n"/>
      <c r="V180" s="660">
        <f>IFERROR(VeriGiris!$AA$294+VeriGiris!$AC$294*Kapasite!W112,0)</f>
        <v/>
      </c>
      <c r="W180" s="774" t="n"/>
      <c r="X180" s="660">
        <f>IFERROR(VeriGiris!$AA$294+VeriGiris!$AC$294*Kapasite!Y112,0)</f>
        <v/>
      </c>
      <c r="Y180" s="774" t="n"/>
      <c r="Z180" s="660">
        <f>IFERROR(VeriGiris!$AA$294+VeriGiris!$AC$294*Kapasite!AA112,0)</f>
        <v/>
      </c>
      <c r="AA180" s="774" t="n"/>
      <c r="AB180" s="660">
        <f>IFERROR(VeriGiris!$AA$294+VeriGiris!$AC$294*Kapasite!AC112,0)</f>
        <v/>
      </c>
      <c r="AC180" s="774" t="n"/>
      <c r="AD180" s="96" t="n"/>
      <c r="AE180" s="96" t="n"/>
    </row>
    <row r="181" ht="18" customHeight="1" s="321">
      <c r="B181" s="906">
        <f>VeriGiris!B366</f>
        <v/>
      </c>
      <c r="C181" s="773" t="n"/>
      <c r="D181" s="773" t="n"/>
      <c r="E181" s="773" t="n"/>
      <c r="F181" s="773" t="n"/>
      <c r="G181" s="774" t="n"/>
      <c r="H181" s="660">
        <f>VeriGiris!J366</f>
        <v/>
      </c>
      <c r="I181" s="774" t="n"/>
      <c r="J181" s="660">
        <f>IFERROR(VeriGiris!$AA$295+VeriGiris!$AC$295*Kapasite!K112,0)</f>
        <v/>
      </c>
      <c r="K181" s="774" t="n"/>
      <c r="L181" s="660">
        <f>IFERROR(VeriGiris!$AA$295+VeriGiris!$AC$295*Kapasite!M112,0)</f>
        <v/>
      </c>
      <c r="M181" s="774" t="n"/>
      <c r="N181" s="660">
        <f>IFERROR(VeriGiris!$AA$295+VeriGiris!$AC$295*Kapasite!O112,0)</f>
        <v/>
      </c>
      <c r="O181" s="774" t="n"/>
      <c r="P181" s="660">
        <f>IFERROR(VeriGiris!$AA$295+VeriGiris!$AC$295*Kapasite!Q112,0)</f>
        <v/>
      </c>
      <c r="Q181" s="774" t="n"/>
      <c r="R181" s="660">
        <f>IFERROR(VeriGiris!$AA$295+VeriGiris!$AC$295*Kapasite!S112,0)</f>
        <v/>
      </c>
      <c r="S181" s="774" t="n"/>
      <c r="T181" s="660">
        <f>IFERROR(VeriGiris!$AA$295+VeriGiris!$AC$295*Kapasite!U112,0)</f>
        <v/>
      </c>
      <c r="U181" s="774" t="n"/>
      <c r="V181" s="660">
        <f>IFERROR(VeriGiris!$AA$295+VeriGiris!$AC$295*Kapasite!W112,0)</f>
        <v/>
      </c>
      <c r="W181" s="774" t="n"/>
      <c r="X181" s="660">
        <f>IFERROR(VeriGiris!$AA$295+VeriGiris!$AC$295*Kapasite!Y112,0)</f>
        <v/>
      </c>
      <c r="Y181" s="774" t="n"/>
      <c r="Z181" s="660">
        <f>IFERROR(VeriGiris!$AA$295+VeriGiris!$AC$295*Kapasite!AA112,0)</f>
        <v/>
      </c>
      <c r="AA181" s="774" t="n"/>
      <c r="AB181" s="660">
        <f>IFERROR(VeriGiris!$AA$295+VeriGiris!$AC$295*Kapasite!AC112,0)</f>
        <v/>
      </c>
      <c r="AC181" s="774" t="n"/>
      <c r="AD181" s="96" t="n"/>
      <c r="AE181" s="96" t="n"/>
    </row>
    <row r="182" ht="18" customHeight="1" s="321">
      <c r="B182" s="906">
        <f>VeriGiris!B367</f>
        <v/>
      </c>
      <c r="C182" s="773" t="n"/>
      <c r="D182" s="773" t="n"/>
      <c r="E182" s="773" t="n"/>
      <c r="F182" s="773" t="n"/>
      <c r="G182" s="774" t="n"/>
      <c r="H182" s="660">
        <f>VeriGiris!J367</f>
        <v/>
      </c>
      <c r="I182" s="774" t="n"/>
      <c r="J182" s="660">
        <f>IFERROR(VeriGiris!$AA$296+VeriGiris!$AC$296*Kapasite!K112,0)</f>
        <v/>
      </c>
      <c r="K182" s="774" t="n"/>
      <c r="L182" s="660">
        <f>IFERROR(VeriGiris!$AA$296+VeriGiris!$AC$296*Kapasite!M112,0)</f>
        <v/>
      </c>
      <c r="M182" s="774" t="n"/>
      <c r="N182" s="660">
        <f>IFERROR(VeriGiris!$AA$296+VeriGiris!$AC$296*Kapasite!O112,0)</f>
        <v/>
      </c>
      <c r="O182" s="774" t="n"/>
      <c r="P182" s="660">
        <f>IFERROR(VeriGiris!$AA$296+VeriGiris!$AC$296*Kapasite!Q112,0)</f>
        <v/>
      </c>
      <c r="Q182" s="774" t="n"/>
      <c r="R182" s="660">
        <f>IFERROR(VeriGiris!$AA$296+VeriGiris!$AC$296*Kapasite!S112,0)</f>
        <v/>
      </c>
      <c r="S182" s="774" t="n"/>
      <c r="T182" s="660">
        <f>IFERROR(VeriGiris!$AA$296+VeriGiris!$AC$296*Kapasite!U112,0)</f>
        <v/>
      </c>
      <c r="U182" s="774" t="n"/>
      <c r="V182" s="660">
        <f>IFERROR(VeriGiris!$AA$296+VeriGiris!$AC$296*Kapasite!W112,0)</f>
        <v/>
      </c>
      <c r="W182" s="774" t="n"/>
      <c r="X182" s="660">
        <f>IFERROR(VeriGiris!$AA$296+VeriGiris!$AC$296*Kapasite!Y112,0)</f>
        <v/>
      </c>
      <c r="Y182" s="774" t="n"/>
      <c r="Z182" s="660">
        <f>IFERROR(VeriGiris!$AA$296+VeriGiris!$AC$296*Kapasite!AA112,0)</f>
        <v/>
      </c>
      <c r="AA182" s="774" t="n"/>
      <c r="AB182" s="660">
        <f>IFERROR(VeriGiris!$AA$296+VeriGiris!$AC$296*Kapasite!AC112,0)</f>
        <v/>
      </c>
      <c r="AC182" s="774" t="n"/>
      <c r="AD182" s="96" t="n"/>
      <c r="AE182" s="96" t="n"/>
    </row>
    <row r="183" ht="18" customHeight="1" s="321">
      <c r="B183" s="906">
        <f>VeriGiris!B368</f>
        <v/>
      </c>
      <c r="C183" s="773" t="n"/>
      <c r="D183" s="773" t="n"/>
      <c r="E183" s="773" t="n"/>
      <c r="F183" s="773" t="n"/>
      <c r="G183" s="774" t="n"/>
      <c r="H183" s="660">
        <f>VeriGiris!J368</f>
        <v/>
      </c>
      <c r="I183" s="774" t="n"/>
      <c r="J183" s="660">
        <f>IFERROR(VeriGiris!$AA$297+VeriGiris!$AC$297*Kapasite!K112,0)</f>
        <v/>
      </c>
      <c r="K183" s="774" t="n"/>
      <c r="L183" s="660">
        <f>IFERROR(VeriGiris!$AA$297+VeriGiris!$AC$297*Kapasite!M112,0)</f>
        <v/>
      </c>
      <c r="M183" s="774" t="n"/>
      <c r="N183" s="660">
        <f>IFERROR(VeriGiris!$AA$297+VeriGiris!$AC$297*Kapasite!O112,0)</f>
        <v/>
      </c>
      <c r="O183" s="774" t="n"/>
      <c r="P183" s="660">
        <f>IFERROR(VeriGiris!$AA$297+VeriGiris!$AC$297*Kapasite!Q112,0)</f>
        <v/>
      </c>
      <c r="Q183" s="774" t="n"/>
      <c r="R183" s="660">
        <f>IFERROR(VeriGiris!$AA$297+VeriGiris!$AC$297*Kapasite!S112,0)</f>
        <v/>
      </c>
      <c r="S183" s="774" t="n"/>
      <c r="T183" s="660">
        <f>IFERROR(VeriGiris!$AA$297+VeriGiris!$AC$297*Kapasite!U112,0)</f>
        <v/>
      </c>
      <c r="U183" s="774" t="n"/>
      <c r="V183" s="660">
        <f>IFERROR(VeriGiris!$AA$297+VeriGiris!$AC$297*Kapasite!W112,0)</f>
        <v/>
      </c>
      <c r="W183" s="774" t="n"/>
      <c r="X183" s="660">
        <f>IFERROR(VeriGiris!$AA$297+VeriGiris!$AC$297*Kapasite!Y112,0)</f>
        <v/>
      </c>
      <c r="Y183" s="774" t="n"/>
      <c r="Z183" s="660">
        <f>IFERROR(VeriGiris!$AA$297+VeriGiris!$AC$297*Kapasite!AA112,0)</f>
        <v/>
      </c>
      <c r="AA183" s="774" t="n"/>
      <c r="AB183" s="660">
        <f>IFERROR(VeriGiris!$AA$297+VeriGiris!$AC$297*Kapasite!AC112,0)</f>
        <v/>
      </c>
      <c r="AC183" s="774" t="n"/>
      <c r="AD183" s="96" t="n"/>
      <c r="AE183" s="96" t="n"/>
    </row>
    <row r="184" ht="18" customHeight="1" s="321">
      <c r="B184" s="635">
        <f>VeriGiris!B369</f>
        <v/>
      </c>
      <c r="C184" s="773" t="n"/>
      <c r="D184" s="773" t="n"/>
      <c r="E184" s="773" t="n"/>
      <c r="F184" s="773" t="n"/>
      <c r="G184" s="774" t="n"/>
      <c r="H184" s="695">
        <f>VeriGiris!J369</f>
        <v/>
      </c>
      <c r="I184" s="774" t="n"/>
      <c r="J184" s="695">
        <f>J170+J174+J175</f>
        <v/>
      </c>
      <c r="K184" s="774" t="n"/>
      <c r="L184" s="695">
        <f>L170+L174+L175</f>
        <v/>
      </c>
      <c r="M184" s="774" t="n"/>
      <c r="N184" s="695">
        <f>N170+N174+N175</f>
        <v/>
      </c>
      <c r="O184" s="774" t="n"/>
      <c r="P184" s="695">
        <f>P170+P174+P175</f>
        <v/>
      </c>
      <c r="Q184" s="774" t="n"/>
      <c r="R184" s="695">
        <f>R170+R174+R175</f>
        <v/>
      </c>
      <c r="S184" s="774" t="n"/>
      <c r="T184" s="695">
        <f>T170+T174+T175</f>
        <v/>
      </c>
      <c r="U184" s="774" t="n"/>
      <c r="V184" s="695">
        <f>V170+V174+V175</f>
        <v/>
      </c>
      <c r="W184" s="774" t="n"/>
      <c r="X184" s="695">
        <f>X170+X174+X175</f>
        <v/>
      </c>
      <c r="Y184" s="774" t="n"/>
      <c r="Z184" s="695">
        <f>Z170+Z174+Z175</f>
        <v/>
      </c>
      <c r="AA184" s="774" t="n"/>
      <c r="AB184" s="695">
        <f>AB170+AB174+AB175</f>
        <v/>
      </c>
      <c r="AC184" s="774" t="n"/>
      <c r="AD184" s="96" t="n"/>
      <c r="AE184" s="96" t="n"/>
    </row>
    <row r="185" ht="6.75" customHeight="1" s="321"/>
    <row r="186" ht="6.75" customFormat="1" customHeight="1" s="8">
      <c r="A186" s="7" t="n"/>
    </row>
    <row r="187" ht="6.75" customFormat="1" customHeight="1" s="8">
      <c r="A187" s="7" t="n"/>
      <c r="B187" s="75" t="n"/>
      <c r="C187" s="75" t="n"/>
      <c r="D187" s="75" t="n"/>
      <c r="E187" s="75" t="n"/>
      <c r="F187" s="75" t="n"/>
      <c r="G187" s="75" t="n"/>
      <c r="H187" s="76" t="n"/>
      <c r="I187" s="76" t="n"/>
      <c r="J187" s="76" t="n"/>
      <c r="K187" s="76" t="n"/>
      <c r="L187" s="76" t="n"/>
      <c r="M187" s="76" t="n"/>
      <c r="N187" s="76" t="n"/>
      <c r="O187" s="76" t="n"/>
      <c r="P187" s="76" t="n"/>
      <c r="Q187" s="76" t="n"/>
      <c r="R187" s="76" t="n"/>
      <c r="S187" s="76" t="n"/>
      <c r="T187" s="76" t="n"/>
      <c r="U187" s="76" t="n"/>
      <c r="V187" s="76" t="n"/>
      <c r="W187" s="76" t="n"/>
      <c r="X187" s="76" t="n"/>
      <c r="Y187" s="76" t="n"/>
      <c r="Z187" s="76" t="n"/>
      <c r="AA187" s="76" t="n"/>
    </row>
    <row r="188" ht="6.75" customFormat="1" customHeight="1" s="8">
      <c r="A188" s="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  <c r="W188" s="77" t="n"/>
      <c r="X188" s="77" t="n"/>
      <c r="Y188" s="77" t="n"/>
      <c r="Z188" s="77" t="n"/>
      <c r="AA188" s="77" t="n"/>
    </row>
    <row r="189" ht="6.75" customFormat="1" customHeight="1" s="8">
      <c r="A189" s="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  <c r="W189" s="77" t="n"/>
      <c r="X189" s="48" t="n"/>
      <c r="Y189" s="48" t="n"/>
      <c r="Z189" s="48" t="n"/>
      <c r="AA189" s="48" t="n"/>
    </row>
    <row r="190" ht="6.75" customFormat="1" customHeight="1" s="8">
      <c r="A190" s="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  <c r="W190" s="77" t="n"/>
      <c r="X190" s="48" t="n"/>
      <c r="Y190" s="48" t="n"/>
      <c r="Z190" s="48" t="n"/>
      <c r="AA190" s="48" t="n"/>
    </row>
    <row r="191" ht="6.75" customFormat="1" customHeight="1" s="17">
      <c r="A191" s="13" t="n"/>
    </row>
    <row r="192" ht="6.75" customHeight="1" s="321"/>
    <row r="193" ht="6.75" customHeight="1" s="321"/>
    <row r="194">
      <c r="B194" s="563" t="inlineStr">
        <is>
          <t>Tablo 10-Amortisman Giderleri (TL)</t>
        </is>
      </c>
      <c r="C194" s="773" t="n"/>
      <c r="D194" s="773" t="n"/>
      <c r="E194" s="773" t="n"/>
      <c r="F194" s="773" t="n"/>
      <c r="G194" s="773" t="n"/>
      <c r="H194" s="773" t="n"/>
      <c r="I194" s="773" t="n"/>
      <c r="J194" s="773" t="n"/>
      <c r="K194" s="773" t="n"/>
      <c r="L194" s="773" t="n"/>
      <c r="M194" s="773" t="n"/>
      <c r="N194" s="773" t="n"/>
      <c r="O194" s="773" t="n"/>
      <c r="P194" s="773" t="n"/>
      <c r="Q194" s="773" t="n"/>
      <c r="R194" s="773" t="n"/>
      <c r="S194" s="773" t="n"/>
      <c r="T194" s="773" t="n"/>
      <c r="U194" s="773" t="n"/>
      <c r="V194" s="773" t="n"/>
      <c r="W194" s="773" t="n"/>
      <c r="X194" s="773" t="n"/>
      <c r="Y194" s="773" t="n"/>
      <c r="Z194" s="773" t="n"/>
      <c r="AA194" s="773" t="n"/>
      <c r="AB194" s="773" t="n"/>
      <c r="AC194" s="773" t="n"/>
      <c r="AD194" s="773" t="n"/>
      <c r="AE194" s="773" t="n"/>
      <c r="AF194" s="774" t="n"/>
      <c r="AG194" s="97" t="n"/>
      <c r="AH194" s="97" t="n"/>
    </row>
    <row r="195" ht="32.25" customHeight="1" s="321">
      <c r="B195" s="656" t="inlineStr">
        <is>
          <t>Sabit Kıymetler</t>
        </is>
      </c>
      <c r="C195" s="773" t="n"/>
      <c r="D195" s="774" t="n"/>
      <c r="E195" s="607">
        <f>H169</f>
        <v/>
      </c>
      <c r="F195" s="774" t="n"/>
      <c r="G195" s="607">
        <f>J169</f>
        <v/>
      </c>
      <c r="H195" s="774" t="n"/>
      <c r="I195" s="607">
        <f>L169</f>
        <v/>
      </c>
      <c r="J195" s="774" t="n"/>
      <c r="K195" s="607">
        <f>N169</f>
        <v/>
      </c>
      <c r="L195" s="774" t="n"/>
      <c r="M195" s="607">
        <f>P169</f>
        <v/>
      </c>
      <c r="N195" s="774" t="n"/>
      <c r="O195" s="607">
        <f>R169</f>
        <v/>
      </c>
      <c r="P195" s="774" t="n"/>
      <c r="Q195" s="607">
        <f>T169</f>
        <v/>
      </c>
      <c r="R195" s="774" t="n"/>
      <c r="S195" s="607">
        <f>V169</f>
        <v/>
      </c>
      <c r="T195" s="774" t="n"/>
      <c r="U195" s="607">
        <f>X169</f>
        <v/>
      </c>
      <c r="V195" s="774" t="n"/>
      <c r="W195" s="607">
        <f>Z169</f>
        <v/>
      </c>
      <c r="X195" s="774" t="n"/>
      <c r="Y195" s="607">
        <f>AB169</f>
        <v/>
      </c>
      <c r="Z195" s="774" t="n"/>
      <c r="AA195" s="656" t="inlineStr">
        <is>
          <t>Toplam</t>
        </is>
      </c>
      <c r="AB195" s="774" t="n"/>
      <c r="AC195" s="656" t="inlineStr">
        <is>
          <t>Satın Alma Bedeli</t>
        </is>
      </c>
      <c r="AD195" s="774" t="n"/>
      <c r="AE195" s="656" t="inlineStr">
        <is>
          <t>Kalıntı Değer</t>
        </is>
      </c>
      <c r="AF195" s="774" t="n"/>
      <c r="AG195" s="70" t="n"/>
      <c r="AH195" s="70" t="n"/>
    </row>
    <row r="196" ht="15" customHeight="1" s="321">
      <c r="B196" s="714" t="inlineStr">
        <is>
          <t xml:space="preserve">Yatırım Kapsamında Alınacak Sabit Kıymetler Amortismanı </t>
        </is>
      </c>
      <c r="C196" s="773" t="n"/>
      <c r="D196" s="773" t="n"/>
      <c r="E196" s="773" t="n"/>
      <c r="F196" s="773" t="n"/>
      <c r="G196" s="773" t="n"/>
      <c r="H196" s="773" t="n"/>
      <c r="I196" s="773" t="n"/>
      <c r="J196" s="773" t="n"/>
      <c r="K196" s="773" t="n"/>
      <c r="L196" s="773" t="n"/>
      <c r="M196" s="773" t="n"/>
      <c r="N196" s="773" t="n"/>
      <c r="O196" s="773" t="n"/>
      <c r="P196" s="773" t="n"/>
      <c r="Q196" s="773" t="n"/>
      <c r="R196" s="773" t="n"/>
      <c r="S196" s="773" t="n"/>
      <c r="T196" s="773" t="n"/>
      <c r="U196" s="773" t="n"/>
      <c r="V196" s="773" t="n"/>
      <c r="W196" s="773" t="n"/>
      <c r="X196" s="773" t="n"/>
      <c r="Y196" s="773" t="n"/>
      <c r="Z196" s="773" t="n"/>
      <c r="AA196" s="773" t="n"/>
      <c r="AB196" s="773" t="n"/>
      <c r="AC196" s="773" t="n"/>
      <c r="AD196" s="773" t="n"/>
      <c r="AE196" s="773" t="n"/>
      <c r="AF196" s="774" t="n"/>
      <c r="AG196" s="100" t="n"/>
      <c r="AH196" s="100" t="n"/>
    </row>
    <row r="197" ht="25.5" customHeight="1" s="321">
      <c r="B197" s="717">
        <f>VeriGiris!B376</f>
        <v/>
      </c>
      <c r="C197" s="773" t="n"/>
      <c r="D197" s="774" t="n"/>
      <c r="E197" s="907" t="n"/>
      <c r="F197" s="805" t="n"/>
      <c r="G197" s="749">
        <f>VeriGiris!H376</f>
        <v/>
      </c>
      <c r="H197" s="774" t="n"/>
      <c r="I197" s="749">
        <f>VeriGiris!J376</f>
        <v/>
      </c>
      <c r="J197" s="774" t="n"/>
      <c r="K197" s="749">
        <f>VeriGiris!L376</f>
        <v/>
      </c>
      <c r="L197" s="774" t="n"/>
      <c r="M197" s="749">
        <f>VeriGiris!N376</f>
        <v/>
      </c>
      <c r="N197" s="774" t="n"/>
      <c r="O197" s="749">
        <f>VeriGiris!P376</f>
        <v/>
      </c>
      <c r="P197" s="774" t="n"/>
      <c r="Q197" s="749">
        <f>VeriGiris!R376</f>
        <v/>
      </c>
      <c r="R197" s="774" t="n"/>
      <c r="S197" s="749">
        <f>VeriGiris!T376</f>
        <v/>
      </c>
      <c r="T197" s="774" t="n"/>
      <c r="U197" s="749">
        <f>VeriGiris!V376</f>
        <v/>
      </c>
      <c r="V197" s="774" t="n"/>
      <c r="W197" s="749">
        <f>VeriGiris!X376</f>
        <v/>
      </c>
      <c r="X197" s="774" t="n"/>
      <c r="Y197" s="749">
        <f>VeriGiris!Z376</f>
        <v/>
      </c>
      <c r="Z197" s="774" t="n"/>
      <c r="AA197" s="749">
        <f>VeriGiris!AB376</f>
        <v/>
      </c>
      <c r="AB197" s="774" t="n"/>
      <c r="AC197" s="749">
        <f>VeriGiris!AD376</f>
        <v/>
      </c>
      <c r="AD197" s="774" t="n"/>
      <c r="AE197" s="749">
        <f>VeriGiris!AF376</f>
        <v/>
      </c>
      <c r="AF197" s="774" t="n"/>
      <c r="AG197" s="100" t="n"/>
      <c r="AH197" s="100" t="n"/>
    </row>
    <row r="198" ht="16.15" customHeight="1" s="321">
      <c r="B198" s="717">
        <f>VeriGiris!B377</f>
        <v/>
      </c>
      <c r="C198" s="773" t="n"/>
      <c r="D198" s="774" t="n"/>
      <c r="E198" s="794" t="n"/>
      <c r="F198" s="322" t="n"/>
      <c r="G198" s="749">
        <f>VeriGiris!H377</f>
        <v/>
      </c>
      <c r="H198" s="774" t="n"/>
      <c r="I198" s="749">
        <f>VeriGiris!J377</f>
        <v/>
      </c>
      <c r="J198" s="774" t="n"/>
      <c r="K198" s="749">
        <f>VeriGiris!L377</f>
        <v/>
      </c>
      <c r="L198" s="774" t="n"/>
      <c r="M198" s="749">
        <f>VeriGiris!N377</f>
        <v/>
      </c>
      <c r="N198" s="774" t="n"/>
      <c r="O198" s="749">
        <f>VeriGiris!P377</f>
        <v/>
      </c>
      <c r="P198" s="774" t="n"/>
      <c r="Q198" s="749">
        <f>VeriGiris!R377</f>
        <v/>
      </c>
      <c r="R198" s="774" t="n"/>
      <c r="S198" s="749">
        <f>VeriGiris!T377</f>
        <v/>
      </c>
      <c r="T198" s="774" t="n"/>
      <c r="U198" s="749">
        <f>VeriGiris!V377</f>
        <v/>
      </c>
      <c r="V198" s="774" t="n"/>
      <c r="W198" s="749">
        <f>VeriGiris!X377</f>
        <v/>
      </c>
      <c r="X198" s="774" t="n"/>
      <c r="Y198" s="749">
        <f>VeriGiris!Z377</f>
        <v/>
      </c>
      <c r="Z198" s="774" t="n"/>
      <c r="AA198" s="749">
        <f>VeriGiris!AB377</f>
        <v/>
      </c>
      <c r="AB198" s="774" t="n"/>
      <c r="AC198" s="749">
        <f>VeriGiris!AD377</f>
        <v/>
      </c>
      <c r="AD198" s="774" t="n"/>
      <c r="AE198" s="749">
        <f>VeriGiris!AF377</f>
        <v/>
      </c>
      <c r="AF198" s="774" t="n"/>
      <c r="AG198" s="100" t="n"/>
      <c r="AH198" s="100" t="n"/>
    </row>
    <row r="199" ht="15" customHeight="1" s="321">
      <c r="B199" s="717">
        <f>VeriGiris!B378</f>
        <v/>
      </c>
      <c r="C199" s="773" t="n"/>
      <c r="D199" s="774" t="n"/>
      <c r="E199" s="794" t="n"/>
      <c r="F199" s="322" t="n"/>
      <c r="G199" s="749">
        <f>VeriGiris!H378</f>
        <v/>
      </c>
      <c r="H199" s="774" t="n"/>
      <c r="I199" s="749">
        <f>VeriGiris!J378</f>
        <v/>
      </c>
      <c r="J199" s="774" t="n"/>
      <c r="K199" s="749">
        <f>VeriGiris!L378</f>
        <v/>
      </c>
      <c r="L199" s="774" t="n"/>
      <c r="M199" s="749">
        <f>VeriGiris!N378</f>
        <v/>
      </c>
      <c r="N199" s="774" t="n"/>
      <c r="O199" s="749">
        <f>VeriGiris!P378</f>
        <v/>
      </c>
      <c r="P199" s="774" t="n"/>
      <c r="Q199" s="749">
        <f>VeriGiris!R378</f>
        <v/>
      </c>
      <c r="R199" s="774" t="n"/>
      <c r="S199" s="749">
        <f>VeriGiris!T378</f>
        <v/>
      </c>
      <c r="T199" s="774" t="n"/>
      <c r="U199" s="749">
        <f>VeriGiris!V378</f>
        <v/>
      </c>
      <c r="V199" s="774" t="n"/>
      <c r="W199" s="749">
        <f>VeriGiris!X378</f>
        <v/>
      </c>
      <c r="X199" s="774" t="n"/>
      <c r="Y199" s="749">
        <f>VeriGiris!Z378</f>
        <v/>
      </c>
      <c r="Z199" s="774" t="n"/>
      <c r="AA199" s="749">
        <f>VeriGiris!AB378</f>
        <v/>
      </c>
      <c r="AB199" s="774" t="n"/>
      <c r="AC199" s="749">
        <f>VeriGiris!AD378</f>
        <v/>
      </c>
      <c r="AD199" s="774" t="n"/>
      <c r="AE199" s="749">
        <f>VeriGiris!AF378</f>
        <v/>
      </c>
      <c r="AF199" s="774" t="n"/>
      <c r="AG199" s="100" t="n"/>
      <c r="AH199" s="100" t="n"/>
    </row>
    <row r="200" ht="15" customHeight="1" s="321">
      <c r="B200" s="717">
        <f>VeriGiris!B379</f>
        <v/>
      </c>
      <c r="C200" s="773" t="n"/>
      <c r="D200" s="774" t="n"/>
      <c r="E200" s="794" t="n"/>
      <c r="F200" s="322" t="n"/>
      <c r="G200" s="749">
        <f>VeriGiris!H379</f>
        <v/>
      </c>
      <c r="H200" s="774" t="n"/>
      <c r="I200" s="749">
        <f>VeriGiris!J379</f>
        <v/>
      </c>
      <c r="J200" s="774" t="n"/>
      <c r="K200" s="749">
        <f>VeriGiris!L379</f>
        <v/>
      </c>
      <c r="L200" s="774" t="n"/>
      <c r="M200" s="749">
        <f>VeriGiris!N379</f>
        <v/>
      </c>
      <c r="N200" s="774" t="n"/>
      <c r="O200" s="749">
        <f>VeriGiris!P379</f>
        <v/>
      </c>
      <c r="P200" s="774" t="n"/>
      <c r="Q200" s="749">
        <f>VeriGiris!R379</f>
        <v/>
      </c>
      <c r="R200" s="774" t="n"/>
      <c r="S200" s="749">
        <f>VeriGiris!T379</f>
        <v/>
      </c>
      <c r="T200" s="774" t="n"/>
      <c r="U200" s="749">
        <f>VeriGiris!V379</f>
        <v/>
      </c>
      <c r="V200" s="774" t="n"/>
      <c r="W200" s="749">
        <f>VeriGiris!X379</f>
        <v/>
      </c>
      <c r="X200" s="774" t="n"/>
      <c r="Y200" s="749">
        <f>VeriGiris!Z379</f>
        <v/>
      </c>
      <c r="Z200" s="774" t="n"/>
      <c r="AA200" s="749">
        <f>VeriGiris!AB379</f>
        <v/>
      </c>
      <c r="AB200" s="774" t="n"/>
      <c r="AC200" s="749">
        <f>VeriGiris!AD379</f>
        <v/>
      </c>
      <c r="AD200" s="774" t="n"/>
      <c r="AE200" s="749">
        <f>VeriGiris!AF379</f>
        <v/>
      </c>
      <c r="AF200" s="774" t="n"/>
      <c r="AG200" s="100" t="n"/>
      <c r="AH200" s="100" t="n"/>
    </row>
    <row r="201">
      <c r="B201" s="717">
        <f>VeriGiris!B380</f>
        <v/>
      </c>
      <c r="C201" s="773" t="n"/>
      <c r="D201" s="774" t="n"/>
      <c r="E201" s="794" t="n"/>
      <c r="F201" s="322" t="n"/>
      <c r="G201" s="749">
        <f>VeriGiris!H380</f>
        <v/>
      </c>
      <c r="H201" s="774" t="n"/>
      <c r="I201" s="749">
        <f>VeriGiris!J380</f>
        <v/>
      </c>
      <c r="J201" s="774" t="n"/>
      <c r="K201" s="749">
        <f>VeriGiris!L380</f>
        <v/>
      </c>
      <c r="L201" s="774" t="n"/>
      <c r="M201" s="749">
        <f>VeriGiris!N380</f>
        <v/>
      </c>
      <c r="N201" s="774" t="n"/>
      <c r="O201" s="749">
        <f>VeriGiris!P380</f>
        <v/>
      </c>
      <c r="P201" s="774" t="n"/>
      <c r="Q201" s="749">
        <f>VeriGiris!R380</f>
        <v/>
      </c>
      <c r="R201" s="774" t="n"/>
      <c r="S201" s="749">
        <f>VeriGiris!T380</f>
        <v/>
      </c>
      <c r="T201" s="774" t="n"/>
      <c r="U201" s="749">
        <f>VeriGiris!V380</f>
        <v/>
      </c>
      <c r="V201" s="774" t="n"/>
      <c r="W201" s="749">
        <f>VeriGiris!X380</f>
        <v/>
      </c>
      <c r="X201" s="774" t="n"/>
      <c r="Y201" s="749">
        <f>VeriGiris!Z380</f>
        <v/>
      </c>
      <c r="Z201" s="774" t="n"/>
      <c r="AA201" s="749">
        <f>VeriGiris!AB380</f>
        <v/>
      </c>
      <c r="AB201" s="774" t="n"/>
      <c r="AC201" s="749">
        <f>VeriGiris!AD380</f>
        <v/>
      </c>
      <c r="AD201" s="774" t="n"/>
      <c r="AE201" s="749">
        <f>VeriGiris!AF380</f>
        <v/>
      </c>
      <c r="AF201" s="774" t="n"/>
      <c r="AG201" s="100" t="n"/>
      <c r="AH201" s="100" t="n"/>
    </row>
    <row r="202" ht="15" customHeight="1" s="321">
      <c r="B202" s="720" t="inlineStr">
        <is>
          <t>Ara Toplam(1)</t>
        </is>
      </c>
      <c r="C202" s="773" t="n"/>
      <c r="D202" s="774" t="n"/>
      <c r="E202" s="818" t="n"/>
      <c r="F202" s="777" t="n"/>
      <c r="G202" s="739">
        <f>SUM(G197:H201)</f>
        <v/>
      </c>
      <c r="H202" s="774" t="n"/>
      <c r="I202" s="739">
        <f>SUM(I197:J201)</f>
        <v/>
      </c>
      <c r="J202" s="774" t="n"/>
      <c r="K202" s="739">
        <f>SUM(K197:L201)</f>
        <v/>
      </c>
      <c r="L202" s="774" t="n"/>
      <c r="M202" s="739">
        <f>SUM(M197:N201)</f>
        <v/>
      </c>
      <c r="N202" s="774" t="n"/>
      <c r="O202" s="739">
        <f>SUM(O197:P201)</f>
        <v/>
      </c>
      <c r="P202" s="774" t="n"/>
      <c r="Q202" s="739">
        <f>SUM(Q197:R201)</f>
        <v/>
      </c>
      <c r="R202" s="774" t="n"/>
      <c r="S202" s="739">
        <f>SUM(S197:T201)</f>
        <v/>
      </c>
      <c r="T202" s="774" t="n"/>
      <c r="U202" s="739">
        <f>SUM(U197:V201)</f>
        <v/>
      </c>
      <c r="V202" s="774" t="n"/>
      <c r="W202" s="739">
        <f>SUM(W197:X201)</f>
        <v/>
      </c>
      <c r="X202" s="774" t="n"/>
      <c r="Y202" s="739">
        <f>SUM(Y197:Z201)</f>
        <v/>
      </c>
      <c r="Z202" s="774" t="n"/>
      <c r="AA202" s="739">
        <f>SUM(AA197:AB201)</f>
        <v/>
      </c>
      <c r="AB202" s="774" t="n"/>
      <c r="AC202" s="739">
        <f>SUM(AC197:AD201)</f>
        <v/>
      </c>
      <c r="AD202" s="774" t="n"/>
      <c r="AE202" s="739">
        <f>SUM(AE197:AF201)</f>
        <v/>
      </c>
      <c r="AF202" s="774" t="n"/>
      <c r="AG202" s="100" t="n"/>
      <c r="AH202" s="100" t="n"/>
    </row>
    <row r="203" ht="15" customHeight="1" s="321">
      <c r="B203" s="714" t="inlineStr">
        <is>
          <t>Mevcut Durum</t>
        </is>
      </c>
      <c r="C203" s="773" t="n"/>
      <c r="D203" s="773" t="n"/>
      <c r="E203" s="773" t="n"/>
      <c r="F203" s="773" t="n"/>
      <c r="G203" s="773" t="n"/>
      <c r="H203" s="773" t="n"/>
      <c r="I203" s="773" t="n"/>
      <c r="J203" s="773" t="n"/>
      <c r="K203" s="773" t="n"/>
      <c r="L203" s="773" t="n"/>
      <c r="M203" s="773" t="n"/>
      <c r="N203" s="773" t="n"/>
      <c r="O203" s="773" t="n"/>
      <c r="P203" s="773" t="n"/>
      <c r="Q203" s="773" t="n"/>
      <c r="R203" s="773" t="n"/>
      <c r="S203" s="773" t="n"/>
      <c r="T203" s="773" t="n"/>
      <c r="U203" s="773" t="n"/>
      <c r="V203" s="773" t="n"/>
      <c r="W203" s="773" t="n"/>
      <c r="X203" s="773" t="n"/>
      <c r="Y203" s="773" t="n"/>
      <c r="Z203" s="773" t="n"/>
      <c r="AA203" s="773" t="n"/>
      <c r="AB203" s="773" t="n"/>
      <c r="AC203" s="773" t="n"/>
      <c r="AD203" s="773" t="n"/>
      <c r="AE203" s="773" t="n"/>
      <c r="AF203" s="774" t="n"/>
      <c r="AG203" s="100" t="n"/>
      <c r="AH203" s="100" t="n"/>
    </row>
    <row r="204" ht="27.6" customHeight="1" s="321">
      <c r="B204" s="717" t="inlineStr">
        <is>
          <t>Mevcut Durumdaki Sabit Kıymetler Amortismanı (2)</t>
        </is>
      </c>
      <c r="C204" s="773" t="n"/>
      <c r="D204" s="774" t="n"/>
      <c r="E204" s="749">
        <f>VeriGiris!F383</f>
        <v/>
      </c>
      <c r="F204" s="774" t="n"/>
      <c r="G204" s="749">
        <f>VeriGiris!H383</f>
        <v/>
      </c>
      <c r="H204" s="774" t="n"/>
      <c r="I204" s="749">
        <f>VeriGiris!J383</f>
        <v/>
      </c>
      <c r="J204" s="774" t="n"/>
      <c r="K204" s="749">
        <f>VeriGiris!L383</f>
        <v/>
      </c>
      <c r="L204" s="774" t="n"/>
      <c r="M204" s="749">
        <f>VeriGiris!N383</f>
        <v/>
      </c>
      <c r="N204" s="774" t="n"/>
      <c r="O204" s="749">
        <f>VeriGiris!P383</f>
        <v/>
      </c>
      <c r="P204" s="774" t="n"/>
      <c r="Q204" s="749">
        <f>VeriGiris!R383</f>
        <v/>
      </c>
      <c r="R204" s="774" t="n"/>
      <c r="S204" s="749">
        <f>VeriGiris!T383</f>
        <v/>
      </c>
      <c r="T204" s="774" t="n"/>
      <c r="U204" s="749">
        <f>VeriGiris!V383</f>
        <v/>
      </c>
      <c r="V204" s="774" t="n"/>
      <c r="W204" s="749">
        <f>VeriGiris!X383</f>
        <v/>
      </c>
      <c r="X204" s="774" t="n"/>
      <c r="Y204" s="749">
        <f>VeriGiris!Z383</f>
        <v/>
      </c>
      <c r="Z204" s="774" t="n"/>
      <c r="AA204" s="616" t="n"/>
      <c r="AB204" s="773" t="n"/>
      <c r="AC204" s="773" t="n"/>
      <c r="AD204" s="773" t="n"/>
      <c r="AE204" s="773" t="n"/>
      <c r="AF204" s="774" t="n"/>
      <c r="AG204" s="100" t="n"/>
      <c r="AH204" s="100" t="n"/>
    </row>
    <row r="205" ht="27.6" customHeight="1" s="321">
      <c r="B205" s="727" t="inlineStr">
        <is>
          <t>Toplam Amortisman (1+2)</t>
        </is>
      </c>
      <c r="C205" s="773" t="n"/>
      <c r="D205" s="774" t="n"/>
      <c r="E205" s="646">
        <f>E204</f>
        <v/>
      </c>
      <c r="F205" s="774" t="n"/>
      <c r="G205" s="646">
        <f>G204+G202</f>
        <v/>
      </c>
      <c r="H205" s="774" t="n"/>
      <c r="I205" s="646">
        <f>I204+I202</f>
        <v/>
      </c>
      <c r="J205" s="774" t="n"/>
      <c r="K205" s="646">
        <f>K204+K202</f>
        <v/>
      </c>
      <c r="L205" s="774" t="n"/>
      <c r="M205" s="646">
        <f>M204+M202</f>
        <v/>
      </c>
      <c r="N205" s="774" t="n"/>
      <c r="O205" s="646">
        <f>O204+O202</f>
        <v/>
      </c>
      <c r="P205" s="774" t="n"/>
      <c r="Q205" s="646">
        <f>Q204+Q202</f>
        <v/>
      </c>
      <c r="R205" s="774" t="n"/>
      <c r="S205" s="646">
        <f>S204+S202</f>
        <v/>
      </c>
      <c r="T205" s="774" t="n"/>
      <c r="U205" s="646">
        <f>U204+U202</f>
        <v/>
      </c>
      <c r="V205" s="774" t="n"/>
      <c r="W205" s="646">
        <f>W204+W202</f>
        <v/>
      </c>
      <c r="X205" s="774" t="n"/>
      <c r="Y205" s="646">
        <f>Y204+Y202</f>
        <v/>
      </c>
      <c r="Z205" s="774" t="n"/>
      <c r="AA205" s="646">
        <f>AA202</f>
        <v/>
      </c>
      <c r="AB205" s="774" t="n"/>
      <c r="AC205" s="646">
        <f>AC202</f>
        <v/>
      </c>
      <c r="AD205" s="774" t="n"/>
      <c r="AE205" s="646">
        <f>AE202</f>
        <v/>
      </c>
      <c r="AF205" s="774" t="n"/>
      <c r="AG205" s="100" t="n"/>
      <c r="AH205" s="100" t="n"/>
    </row>
    <row r="206" ht="7.5" customHeight="1" s="321"/>
    <row r="207" ht="7.5" customFormat="1" customHeight="1" s="8">
      <c r="A207" s="7" t="n"/>
    </row>
    <row r="208" ht="7.5" customFormat="1" customHeight="1" s="8">
      <c r="A208" s="7" t="n"/>
      <c r="B208" s="75" t="n"/>
      <c r="C208" s="75" t="n"/>
      <c r="D208" s="75" t="n"/>
      <c r="E208" s="75" t="n"/>
      <c r="F208" s="75" t="n"/>
      <c r="G208" s="75" t="n"/>
      <c r="H208" s="76" t="n"/>
      <c r="I208" s="76" t="n"/>
      <c r="J208" s="76" t="n"/>
      <c r="K208" s="76" t="n"/>
      <c r="L208" s="76" t="n"/>
      <c r="M208" s="76" t="n"/>
      <c r="N208" s="76" t="n"/>
      <c r="O208" s="76" t="n"/>
      <c r="P208" s="76" t="n"/>
      <c r="Q208" s="76" t="n"/>
      <c r="R208" s="76" t="n"/>
      <c r="S208" s="76" t="n"/>
      <c r="T208" s="76" t="n"/>
      <c r="U208" s="76" t="n"/>
      <c r="V208" s="76" t="n"/>
      <c r="W208" s="76" t="n"/>
      <c r="X208" s="76" t="n"/>
      <c r="Y208" s="76" t="n"/>
      <c r="Z208" s="76" t="n"/>
      <c r="AA208" s="76" t="n"/>
    </row>
    <row r="209" ht="7.5" customFormat="1" customHeight="1" s="8">
      <c r="A209" s="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  <c r="W209" s="77" t="n"/>
      <c r="X209" s="77" t="n"/>
      <c r="Y209" s="77" t="n"/>
      <c r="Z209" s="77" t="n"/>
      <c r="AA209" s="77" t="n"/>
    </row>
    <row r="210" ht="7.5" customFormat="1" customHeight="1" s="8">
      <c r="A210" s="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  <c r="W210" s="77" t="n"/>
      <c r="X210" s="48" t="n"/>
      <c r="Y210" s="48" t="n"/>
      <c r="Z210" s="48" t="n"/>
      <c r="AA210" s="48" t="n"/>
    </row>
    <row r="211" ht="7.5" customFormat="1" customHeight="1" s="8">
      <c r="A211" s="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  <c r="W211" s="77" t="n"/>
      <c r="X211" s="48" t="n"/>
      <c r="Y211" s="48" t="n"/>
      <c r="Z211" s="48" t="n"/>
      <c r="AA211" s="48" t="n"/>
    </row>
    <row r="212" ht="7.5" customFormat="1" customHeight="1" s="17">
      <c r="A212" s="13" t="n"/>
    </row>
    <row r="213" ht="7.5" customHeight="1" s="321"/>
    <row r="214" ht="17.45" customHeight="1" s="321">
      <c r="B214" s="563" t="inlineStr">
        <is>
          <t>Tablo 11-Genel Yönetim Giderleri (TL)</t>
        </is>
      </c>
      <c r="C214" s="773" t="n"/>
      <c r="D214" s="773" t="n"/>
      <c r="E214" s="773" t="n"/>
      <c r="F214" s="773" t="n"/>
      <c r="G214" s="773" t="n"/>
      <c r="H214" s="773" t="n"/>
      <c r="I214" s="773" t="n"/>
      <c r="J214" s="773" t="n"/>
      <c r="K214" s="773" t="n"/>
      <c r="L214" s="773" t="n"/>
      <c r="M214" s="773" t="n"/>
      <c r="N214" s="773" t="n"/>
      <c r="O214" s="773" t="n"/>
      <c r="P214" s="773" t="n"/>
      <c r="Q214" s="773" t="n"/>
      <c r="R214" s="773" t="n"/>
      <c r="S214" s="773" t="n"/>
      <c r="T214" s="773" t="n"/>
      <c r="U214" s="773" t="n"/>
      <c r="V214" s="773" t="n"/>
      <c r="W214" s="773" t="n"/>
      <c r="X214" s="773" t="n"/>
      <c r="Y214" s="773" t="n"/>
      <c r="Z214" s="773" t="n"/>
      <c r="AA214" s="773" t="n"/>
      <c r="AB214" s="773" t="n"/>
      <c r="AC214" s="774" t="n"/>
      <c r="AD214" s="98" t="n"/>
      <c r="AE214" s="98" t="n"/>
    </row>
    <row r="215" ht="34.15" customHeight="1" s="321">
      <c r="B215" s="656" t="inlineStr">
        <is>
          <t>Genel Yönetim Giderleri</t>
        </is>
      </c>
      <c r="C215" s="773" t="n"/>
      <c r="D215" s="773" t="n"/>
      <c r="E215" s="773" t="n"/>
      <c r="F215" s="773" t="n"/>
      <c r="G215" s="774" t="n"/>
      <c r="H215" s="656">
        <f>H169</f>
        <v/>
      </c>
      <c r="I215" s="774" t="n"/>
      <c r="J215" s="656">
        <f>J169</f>
        <v/>
      </c>
      <c r="K215" s="774" t="n"/>
      <c r="L215" s="656">
        <f>L169</f>
        <v/>
      </c>
      <c r="M215" s="774" t="n"/>
      <c r="N215" s="656">
        <f>N169</f>
        <v/>
      </c>
      <c r="O215" s="774" t="n"/>
      <c r="P215" s="656">
        <f>P169</f>
        <v/>
      </c>
      <c r="Q215" s="774" t="n"/>
      <c r="R215" s="656">
        <f>R169</f>
        <v/>
      </c>
      <c r="S215" s="774" t="n"/>
      <c r="T215" s="656">
        <f>T169</f>
        <v/>
      </c>
      <c r="U215" s="774" t="n"/>
      <c r="V215" s="656">
        <f>V169</f>
        <v/>
      </c>
      <c r="W215" s="774" t="n"/>
      <c r="X215" s="656">
        <f>X169</f>
        <v/>
      </c>
      <c r="Y215" s="774" t="n"/>
      <c r="Z215" s="656">
        <f>Z169</f>
        <v/>
      </c>
      <c r="AA215" s="774" t="n"/>
      <c r="AB215" s="656">
        <f>AB169</f>
        <v/>
      </c>
      <c r="AC215" s="774" t="n"/>
      <c r="AD215" s="82" t="n"/>
      <c r="AE215" s="82" t="n"/>
    </row>
    <row r="216" ht="18" customHeight="1" s="321">
      <c r="B216" s="908">
        <f>VeriGiris!N355</f>
        <v/>
      </c>
      <c r="C216" s="773" t="n"/>
      <c r="D216" s="773" t="n"/>
      <c r="E216" s="773" t="n"/>
      <c r="F216" s="773" t="n"/>
      <c r="G216" s="774" t="n"/>
      <c r="H216" s="660">
        <f>VeriGiris!T355</f>
        <v/>
      </c>
      <c r="I216" s="774" t="n"/>
      <c r="J216" s="660">
        <f>IFERROR(VeriGiris!$AA$299+VeriGiris!$AC$299*Kapasite!K112,0)</f>
        <v/>
      </c>
      <c r="K216" s="774" t="n"/>
      <c r="L216" s="660">
        <f>IFERROR(VeriGiris!$AA$299+VeriGiris!$AC$299*Kapasite!M112,0)</f>
        <v/>
      </c>
      <c r="M216" s="774" t="n"/>
      <c r="N216" s="660">
        <f>IFERROR(VeriGiris!$AA$299+VeriGiris!$AC$299*Kapasite!O112,0)</f>
        <v/>
      </c>
      <c r="O216" s="774" t="n"/>
      <c r="P216" s="660">
        <f>IFERROR(VeriGiris!$AA$299+VeriGiris!$AC$299*Kapasite!Q112,0)</f>
        <v/>
      </c>
      <c r="Q216" s="774" t="n"/>
      <c r="R216" s="660">
        <f>IFERROR(VeriGiris!$AA$299+VeriGiris!$AC$299*Kapasite!S112,0)</f>
        <v/>
      </c>
      <c r="S216" s="774" t="n"/>
      <c r="T216" s="660">
        <f>IFERROR(VeriGiris!$AA$299+VeriGiris!$AC$299*Kapasite!U112,0)</f>
        <v/>
      </c>
      <c r="U216" s="774" t="n"/>
      <c r="V216" s="660">
        <f>IFERROR(VeriGiris!$AA$299+VeriGiris!$AC$299*Kapasite!W112,0)</f>
        <v/>
      </c>
      <c r="W216" s="774" t="n"/>
      <c r="X216" s="660">
        <f>IFERROR(VeriGiris!$AA$299+VeriGiris!$AC$299*Kapasite!Y112,0)</f>
        <v/>
      </c>
      <c r="Y216" s="774" t="n"/>
      <c r="Z216" s="660">
        <f>IFERROR(VeriGiris!$AA$299+VeriGiris!$AC$299*Kapasite!AA112,0)</f>
        <v/>
      </c>
      <c r="AA216" s="774" t="n"/>
      <c r="AB216" s="660">
        <f>IFERROR(VeriGiris!$AA$299+VeriGiris!$AC$299*Kapasite!AC112,0)</f>
        <v/>
      </c>
      <c r="AC216" s="774" t="n"/>
      <c r="AD216" s="96" t="n"/>
      <c r="AE216" s="96" t="n"/>
    </row>
    <row r="217" ht="18" customHeight="1" s="321">
      <c r="B217" s="908">
        <f>VeriGiris!N356</f>
        <v/>
      </c>
      <c r="C217" s="773" t="n"/>
      <c r="D217" s="773" t="n"/>
      <c r="E217" s="773" t="n"/>
      <c r="F217" s="773" t="n"/>
      <c r="G217" s="774" t="n"/>
      <c r="H217" s="660">
        <f>VeriGiris!T356</f>
        <v/>
      </c>
      <c r="I217" s="774" t="n"/>
      <c r="J217" s="660">
        <f>IFERROR(VeriGiris!$AA$300+VeriGiris!$AC$300*Kapasite!K112,0)</f>
        <v/>
      </c>
      <c r="K217" s="774" t="n"/>
      <c r="L217" s="660">
        <f>IFERROR(VeriGiris!$AA$300+VeriGiris!$AC$300*Kapasite!M112,0)</f>
        <v/>
      </c>
      <c r="M217" s="774" t="n"/>
      <c r="N217" s="660">
        <f>IFERROR(VeriGiris!$AA$300+VeriGiris!$AC$300*Kapasite!O112,0)</f>
        <v/>
      </c>
      <c r="O217" s="774" t="n"/>
      <c r="P217" s="660">
        <f>IFERROR(VeriGiris!$AA$300+VeriGiris!$AC$300*Kapasite!Q112,0)</f>
        <v/>
      </c>
      <c r="Q217" s="774" t="n"/>
      <c r="R217" s="660">
        <f>IFERROR(VeriGiris!$AA$300+VeriGiris!$AC$300*Kapasite!S112,0)</f>
        <v/>
      </c>
      <c r="S217" s="774" t="n"/>
      <c r="T217" s="660">
        <f>IFERROR(VeriGiris!$AA$300+VeriGiris!$AC$300*Kapasite!U112,0)</f>
        <v/>
      </c>
      <c r="U217" s="774" t="n"/>
      <c r="V217" s="660">
        <f>IFERROR(VeriGiris!$AA$300+VeriGiris!$AC$300*Kapasite!W112,0)</f>
        <v/>
      </c>
      <c r="W217" s="774" t="n"/>
      <c r="X217" s="660">
        <f>IFERROR(VeriGiris!$AA$300+VeriGiris!$AC$300*Kapasite!Y112,0)</f>
        <v/>
      </c>
      <c r="Y217" s="774" t="n"/>
      <c r="Z217" s="660">
        <f>IFERROR(VeriGiris!$AA$300+VeriGiris!$AC$300*Kapasite!AA112,0)</f>
        <v/>
      </c>
      <c r="AA217" s="774" t="n"/>
      <c r="AB217" s="660">
        <f>IFERROR(VeriGiris!$AA$300+VeriGiris!$AC$300*Kapasite!AC112,0)</f>
        <v/>
      </c>
      <c r="AC217" s="774" t="n"/>
      <c r="AD217" s="96" t="n"/>
      <c r="AE217" s="96" t="n"/>
    </row>
    <row r="218" ht="18" customHeight="1" s="321">
      <c r="B218" s="908">
        <f>VeriGiris!N357</f>
        <v/>
      </c>
      <c r="C218" s="773" t="n"/>
      <c r="D218" s="773" t="n"/>
      <c r="E218" s="773" t="n"/>
      <c r="F218" s="773" t="n"/>
      <c r="G218" s="774" t="n"/>
      <c r="H218" s="660">
        <f>VeriGiris!T357</f>
        <v/>
      </c>
      <c r="I218" s="774" t="n"/>
      <c r="J218" s="660">
        <f>IFERROR(VeriGiris!$AA$301+VeriGiris!$AC$301*Kapasite!K112,0)</f>
        <v/>
      </c>
      <c r="K218" s="774" t="n"/>
      <c r="L218" s="660">
        <f>IFERROR(VeriGiris!$AA$301+VeriGiris!$AC$301*Kapasite!M112,0)</f>
        <v/>
      </c>
      <c r="M218" s="774" t="n"/>
      <c r="N218" s="660">
        <f>IFERROR(VeriGiris!$AA$301+VeriGiris!$AC$301*Kapasite!O112,0)</f>
        <v/>
      </c>
      <c r="O218" s="774" t="n"/>
      <c r="P218" s="660">
        <f>IFERROR(VeriGiris!$AA$301+VeriGiris!$AC$301*Kapasite!Q112,0)</f>
        <v/>
      </c>
      <c r="Q218" s="774" t="n"/>
      <c r="R218" s="660">
        <f>IFERROR(VeriGiris!$AA$301+VeriGiris!$AC$301*Kapasite!S112,0)</f>
        <v/>
      </c>
      <c r="S218" s="774" t="n"/>
      <c r="T218" s="660">
        <f>IFERROR(VeriGiris!$AA$301+VeriGiris!$AC$301*Kapasite!U112,0)</f>
        <v/>
      </c>
      <c r="U218" s="774" t="n"/>
      <c r="V218" s="660">
        <f>IFERROR(VeriGiris!$AA$301+VeriGiris!$AC$301*Kapasite!W112,0)</f>
        <v/>
      </c>
      <c r="W218" s="774" t="n"/>
      <c r="X218" s="660">
        <f>IFERROR(VeriGiris!$AA$301+VeriGiris!$AC$301*Kapasite!Y112,0)</f>
        <v/>
      </c>
      <c r="Y218" s="774" t="n"/>
      <c r="Z218" s="660">
        <f>IFERROR(VeriGiris!$AA$301+VeriGiris!$AC$301*Kapasite!AA112,0)</f>
        <v/>
      </c>
      <c r="AA218" s="774" t="n"/>
      <c r="AB218" s="660">
        <f>IFERROR(VeriGiris!$AA$301+VeriGiris!$AC$301*Kapasite!AC112,0)</f>
        <v/>
      </c>
      <c r="AC218" s="774" t="n"/>
      <c r="AD218" s="96" t="n"/>
      <c r="AE218" s="96" t="n"/>
    </row>
    <row r="219" ht="18" customHeight="1" s="321">
      <c r="B219" s="908">
        <f>VeriGiris!N358</f>
        <v/>
      </c>
      <c r="C219" s="773" t="n"/>
      <c r="D219" s="773" t="n"/>
      <c r="E219" s="773" t="n"/>
      <c r="F219" s="773" t="n"/>
      <c r="G219" s="774" t="n"/>
      <c r="H219" s="660">
        <f>VeriGiris!T358</f>
        <v/>
      </c>
      <c r="I219" s="774" t="n"/>
      <c r="J219" s="660">
        <f>IFERROR(VeriGiris!$AA$302+VeriGiris!$AC$302*Kapasite!K112,0)</f>
        <v/>
      </c>
      <c r="K219" s="774" t="n"/>
      <c r="L219" s="660">
        <f>IFERROR(VeriGiris!$AA$302+VeriGiris!$AC$302*Kapasite!M112,0)</f>
        <v/>
      </c>
      <c r="M219" s="774" t="n"/>
      <c r="N219" s="660">
        <f>IFERROR(VeriGiris!$AA$302+VeriGiris!$AC$302*Kapasite!O112,0)</f>
        <v/>
      </c>
      <c r="O219" s="774" t="n"/>
      <c r="P219" s="660">
        <f>IFERROR(VeriGiris!$AA$302+VeriGiris!$AC$302*Kapasite!Q112,0)</f>
        <v/>
      </c>
      <c r="Q219" s="774" t="n"/>
      <c r="R219" s="660">
        <f>IFERROR(VeriGiris!$AA$302+VeriGiris!$AC$302*Kapasite!S112,0)</f>
        <v/>
      </c>
      <c r="S219" s="774" t="n"/>
      <c r="T219" s="660">
        <f>IFERROR(VeriGiris!$AA$302+VeriGiris!$AC$302*Kapasite!U112,0)</f>
        <v/>
      </c>
      <c r="U219" s="774" t="n"/>
      <c r="V219" s="660">
        <f>IFERROR(VeriGiris!$AA$302+VeriGiris!$AC$302*Kapasite!W112,0)</f>
        <v/>
      </c>
      <c r="W219" s="774" t="n"/>
      <c r="X219" s="660">
        <f>IFERROR(VeriGiris!$AA$302+VeriGiris!$AC$302*Kapasite!Y112,0)</f>
        <v/>
      </c>
      <c r="Y219" s="774" t="n"/>
      <c r="Z219" s="660">
        <f>IFERROR(VeriGiris!$AA$302+VeriGiris!$AC$302*Kapasite!AA112,0)</f>
        <v/>
      </c>
      <c r="AA219" s="774" t="n"/>
      <c r="AB219" s="660">
        <f>IFERROR(VeriGiris!$AA$302+VeriGiris!$AC$302*Kapasite!AC112,0)</f>
        <v/>
      </c>
      <c r="AC219" s="774" t="n"/>
      <c r="AD219" s="96" t="n"/>
      <c r="AE219" s="96" t="n"/>
    </row>
    <row r="220" ht="18" customHeight="1" s="321">
      <c r="B220" s="908">
        <f>VeriGiris!N359</f>
        <v/>
      </c>
      <c r="C220" s="773" t="n"/>
      <c r="D220" s="773" t="n"/>
      <c r="E220" s="773" t="n"/>
      <c r="F220" s="773" t="n"/>
      <c r="G220" s="774" t="n"/>
      <c r="H220" s="660">
        <f>VeriGiris!T359</f>
        <v/>
      </c>
      <c r="I220" s="774" t="n"/>
      <c r="J220" s="660">
        <f>IFERROR(VeriGiris!$AA$303+VeriGiris!$AC$303*Kapasite!K112,0)</f>
        <v/>
      </c>
      <c r="K220" s="774" t="n"/>
      <c r="L220" s="660">
        <f>IFERROR(VeriGiris!$AA$303+VeriGiris!$AC$303*Kapasite!M112,0)</f>
        <v/>
      </c>
      <c r="M220" s="774" t="n"/>
      <c r="N220" s="660">
        <f>IFERROR(VeriGiris!$AA$303+VeriGiris!$AC$303*Kapasite!O112,0)</f>
        <v/>
      </c>
      <c r="O220" s="774" t="n"/>
      <c r="P220" s="660">
        <f>IFERROR(VeriGiris!$AA$303+VeriGiris!$AC$303*Kapasite!Q112,0)</f>
        <v/>
      </c>
      <c r="Q220" s="774" t="n"/>
      <c r="R220" s="660">
        <f>IFERROR(VeriGiris!$AA$303+VeriGiris!$AC$303*Kapasite!S112,0)</f>
        <v/>
      </c>
      <c r="S220" s="774" t="n"/>
      <c r="T220" s="660">
        <f>IFERROR(VeriGiris!$AA$303+VeriGiris!$AC$303*Kapasite!U112,0)</f>
        <v/>
      </c>
      <c r="U220" s="774" t="n"/>
      <c r="V220" s="660">
        <f>IFERROR(VeriGiris!$AA$303+VeriGiris!$AC$303*Kapasite!W112,0)</f>
        <v/>
      </c>
      <c r="W220" s="774" t="n"/>
      <c r="X220" s="660">
        <f>IFERROR(VeriGiris!$AA$303+VeriGiris!$AC$303*Kapasite!Y112,0)</f>
        <v/>
      </c>
      <c r="Y220" s="774" t="n"/>
      <c r="Z220" s="660">
        <f>IFERROR(VeriGiris!$AA$303+VeriGiris!$AC$303*Kapasite!AA112,0)</f>
        <v/>
      </c>
      <c r="AA220" s="774" t="n"/>
      <c r="AB220" s="660">
        <f>IFERROR(VeriGiris!$AA$303+VeriGiris!$AC$303*Kapasite!AC112,0)</f>
        <v/>
      </c>
      <c r="AC220" s="774" t="n"/>
      <c r="AD220" s="96" t="n"/>
      <c r="AE220" s="96" t="n"/>
    </row>
    <row r="221" ht="18" customHeight="1" s="321">
      <c r="B221" s="908">
        <f>VeriGiris!N360</f>
        <v/>
      </c>
      <c r="C221" s="773" t="n"/>
      <c r="D221" s="773" t="n"/>
      <c r="E221" s="773" t="n"/>
      <c r="F221" s="773" t="n"/>
      <c r="G221" s="774" t="n"/>
      <c r="H221" s="660">
        <f>VeriGiris!T360</f>
        <v/>
      </c>
      <c r="I221" s="774" t="n"/>
      <c r="J221" s="660">
        <f>IFERROR(VeriGiris!$AA$304+VeriGiris!$AC$304*Kapasite!K112,0)</f>
        <v/>
      </c>
      <c r="K221" s="774" t="n"/>
      <c r="L221" s="660">
        <f>IFERROR(VeriGiris!$AA$304+VeriGiris!$AC$304*Kapasite!M112,0)</f>
        <v/>
      </c>
      <c r="M221" s="774" t="n"/>
      <c r="N221" s="660">
        <f>IFERROR(VeriGiris!$AA$304+VeriGiris!$AC$304*Kapasite!O112,0)</f>
        <v/>
      </c>
      <c r="O221" s="774" t="n"/>
      <c r="P221" s="660">
        <f>IFERROR(VeriGiris!$AA$304+VeriGiris!$AC$304*Kapasite!Q112,0)</f>
        <v/>
      </c>
      <c r="Q221" s="774" t="n"/>
      <c r="R221" s="660">
        <f>IFERROR(VeriGiris!$AA$304+VeriGiris!$AC$304*Kapasite!S112,0)</f>
        <v/>
      </c>
      <c r="S221" s="774" t="n"/>
      <c r="T221" s="660">
        <f>IFERROR(VeriGiris!$AA$304+VeriGiris!$AC$304*Kapasite!U112,0)</f>
        <v/>
      </c>
      <c r="U221" s="774" t="n"/>
      <c r="V221" s="660">
        <f>IFERROR(VeriGiris!$AA$304+VeriGiris!$AC$304*Kapasite!W112,0)</f>
        <v/>
      </c>
      <c r="W221" s="774" t="n"/>
      <c r="X221" s="660">
        <f>IFERROR(VeriGiris!$AA$304+VeriGiris!$AC$304*Kapasite!Y112,0)</f>
        <v/>
      </c>
      <c r="Y221" s="774" t="n"/>
      <c r="Z221" s="660">
        <f>IFERROR(VeriGiris!$AA$304+VeriGiris!$AC$304*Kapasite!AA112,0)</f>
        <v/>
      </c>
      <c r="AA221" s="774" t="n"/>
      <c r="AB221" s="660">
        <f>IFERROR(VeriGiris!$AA$304+VeriGiris!$AC$304*Kapasite!AC112,0)</f>
        <v/>
      </c>
      <c r="AC221" s="774" t="n"/>
      <c r="AD221" s="96" t="n"/>
      <c r="AE221" s="96" t="n"/>
    </row>
    <row r="222" ht="18" customHeight="1" s="321">
      <c r="B222" s="908">
        <f>VeriGiris!N361</f>
        <v/>
      </c>
      <c r="C222" s="773" t="n"/>
      <c r="D222" s="773" t="n"/>
      <c r="E222" s="773" t="n"/>
      <c r="F222" s="773" t="n"/>
      <c r="G222" s="774" t="n"/>
      <c r="H222" s="660">
        <f>VeriGiris!T361</f>
        <v/>
      </c>
      <c r="I222" s="774" t="n"/>
      <c r="J222" s="660">
        <f>IFERROR(VeriGiris!$AA$305+VeriGiris!$AC$305*Kapasite!K112,0)</f>
        <v/>
      </c>
      <c r="K222" s="774" t="n"/>
      <c r="L222" s="660">
        <f>IFERROR(VeriGiris!$AA$305+VeriGiris!$AC$305*Kapasite!M112,0)</f>
        <v/>
      </c>
      <c r="M222" s="774" t="n"/>
      <c r="N222" s="660">
        <f>IFERROR(VeriGiris!$AA$305+VeriGiris!$AC$305*Kapasite!O112,0)</f>
        <v/>
      </c>
      <c r="O222" s="774" t="n"/>
      <c r="P222" s="660">
        <f>IFERROR(VeriGiris!$AA$305+VeriGiris!$AC$305*Kapasite!Q112,0)</f>
        <v/>
      </c>
      <c r="Q222" s="774" t="n"/>
      <c r="R222" s="660">
        <f>IFERROR(VeriGiris!$AA$305+VeriGiris!$AC$305*Kapasite!S112,0)</f>
        <v/>
      </c>
      <c r="S222" s="774" t="n"/>
      <c r="T222" s="660">
        <f>IFERROR(VeriGiris!$AA$305+VeriGiris!$AC$305*Kapasite!U112,0)</f>
        <v/>
      </c>
      <c r="U222" s="774" t="n"/>
      <c r="V222" s="660">
        <f>IFERROR(VeriGiris!$AA$305+VeriGiris!$AC$305*Kapasite!W112,0)</f>
        <v/>
      </c>
      <c r="W222" s="774" t="n"/>
      <c r="X222" s="660">
        <f>IFERROR(VeriGiris!$AA$305+VeriGiris!$AC$305*Kapasite!Y112,0)</f>
        <v/>
      </c>
      <c r="Y222" s="774" t="n"/>
      <c r="Z222" s="660">
        <f>IFERROR(VeriGiris!$AA$305+VeriGiris!$AC$305*Kapasite!AA112,0)</f>
        <v/>
      </c>
      <c r="AA222" s="774" t="n"/>
      <c r="AB222" s="660">
        <f>IFERROR(VeriGiris!$AA$305+VeriGiris!$AC$305*Kapasite!AC112,0)</f>
        <v/>
      </c>
      <c r="AC222" s="774" t="n"/>
      <c r="AD222" s="96" t="n"/>
      <c r="AE222" s="96" t="n"/>
    </row>
    <row r="223" ht="18" customHeight="1" s="321">
      <c r="B223" s="908">
        <f>VeriGiris!N362</f>
        <v/>
      </c>
      <c r="C223" s="773" t="n"/>
      <c r="D223" s="773" t="n"/>
      <c r="E223" s="773" t="n"/>
      <c r="F223" s="773" t="n"/>
      <c r="G223" s="774" t="n"/>
      <c r="H223" s="660">
        <f>VeriGiris!T362</f>
        <v/>
      </c>
      <c r="I223" s="774" t="n"/>
      <c r="J223" s="660">
        <f>IFERROR(VeriGiris!$AA$306+VeriGiris!$AC$306*Kapasite!K112,0)</f>
        <v/>
      </c>
      <c r="K223" s="774" t="n"/>
      <c r="L223" s="660">
        <f>IFERROR(VeriGiris!$AA$306+VeriGiris!$AC$306*Kapasite!M112,0)</f>
        <v/>
      </c>
      <c r="M223" s="774" t="n"/>
      <c r="N223" s="660">
        <f>IFERROR(VeriGiris!$AA$306+VeriGiris!$AC$306*Kapasite!O112,0)</f>
        <v/>
      </c>
      <c r="O223" s="774" t="n"/>
      <c r="P223" s="660">
        <f>IFERROR(VeriGiris!$AA$306+VeriGiris!$AC$306*Kapasite!Q112,0)</f>
        <v/>
      </c>
      <c r="Q223" s="774" t="n"/>
      <c r="R223" s="660">
        <f>IFERROR(VeriGiris!$AA$306+VeriGiris!$AC$306*Kapasite!S112,0)</f>
        <v/>
      </c>
      <c r="S223" s="774" t="n"/>
      <c r="T223" s="660">
        <f>IFERROR(VeriGiris!$AA$306+VeriGiris!$AC$306*Kapasite!U112,0)</f>
        <v/>
      </c>
      <c r="U223" s="774" t="n"/>
      <c r="V223" s="660">
        <f>IFERROR(VeriGiris!$AA$306+VeriGiris!$AC$306*Kapasite!W112,0)</f>
        <v/>
      </c>
      <c r="W223" s="774" t="n"/>
      <c r="X223" s="660">
        <f>IFERROR(VeriGiris!$AA$306+VeriGiris!$AC$306*Kapasite!Y112,0)</f>
        <v/>
      </c>
      <c r="Y223" s="774" t="n"/>
      <c r="Z223" s="660">
        <f>IFERROR(VeriGiris!$AA$306+VeriGiris!$AC$306*Kapasite!AA112,0)</f>
        <v/>
      </c>
      <c r="AA223" s="774" t="n"/>
      <c r="AB223" s="660">
        <f>IFERROR(VeriGiris!$AA$306+VeriGiris!$AC$306*Kapasite!AC112,0)</f>
        <v/>
      </c>
      <c r="AC223" s="774" t="n"/>
      <c r="AD223" s="96" t="n"/>
      <c r="AE223" s="96" t="n"/>
    </row>
    <row r="224" ht="18" customHeight="1" s="321">
      <c r="B224" s="908">
        <f>VeriGiris!N363</f>
        <v/>
      </c>
      <c r="C224" s="773" t="n"/>
      <c r="D224" s="773" t="n"/>
      <c r="E224" s="773" t="n"/>
      <c r="F224" s="773" t="n"/>
      <c r="G224" s="774" t="n"/>
      <c r="H224" s="660">
        <f>VeriGiris!T363</f>
        <v/>
      </c>
      <c r="I224" s="774" t="n"/>
      <c r="J224" s="660">
        <f>IFERROR(VeriGiris!$AA$307+VeriGiris!$AC$307*Kapasite!K112,0)</f>
        <v/>
      </c>
      <c r="K224" s="774" t="n"/>
      <c r="L224" s="660">
        <f>IFERROR(VeriGiris!$AA$307+VeriGiris!$AC$307*Kapasite!M112,0)</f>
        <v/>
      </c>
      <c r="M224" s="774" t="n"/>
      <c r="N224" s="660">
        <f>IFERROR(VeriGiris!$AA$307+VeriGiris!$AC$307*Kapasite!O112,0)</f>
        <v/>
      </c>
      <c r="O224" s="774" t="n"/>
      <c r="P224" s="660">
        <f>IFERROR(VeriGiris!$AA$307+VeriGiris!$AC$307*Kapasite!Q112,0)</f>
        <v/>
      </c>
      <c r="Q224" s="774" t="n"/>
      <c r="R224" s="660">
        <f>IFERROR(VeriGiris!$AA$307+VeriGiris!$AC$307*Kapasite!S112,0)</f>
        <v/>
      </c>
      <c r="S224" s="774" t="n"/>
      <c r="T224" s="660">
        <f>IFERROR(VeriGiris!$AA$307+VeriGiris!$AC$307*Kapasite!U112,0)</f>
        <v/>
      </c>
      <c r="U224" s="774" t="n"/>
      <c r="V224" s="660">
        <f>IFERROR(VeriGiris!$AA$307+VeriGiris!$AC$307*Kapasite!W112,0)</f>
        <v/>
      </c>
      <c r="W224" s="774" t="n"/>
      <c r="X224" s="660">
        <f>IFERROR(VeriGiris!$AA$307+VeriGiris!$AC$307*Kapasite!Y112,0)</f>
        <v/>
      </c>
      <c r="Y224" s="774" t="n"/>
      <c r="Z224" s="660">
        <f>IFERROR(VeriGiris!$AA$307+VeriGiris!$AC$307*Kapasite!AA112,0)</f>
        <v/>
      </c>
      <c r="AA224" s="774" t="n"/>
      <c r="AB224" s="660">
        <f>IFERROR(VeriGiris!$AA$307+VeriGiris!$AC$307*Kapasite!AC112,0)</f>
        <v/>
      </c>
      <c r="AC224" s="774" t="n"/>
      <c r="AD224" s="96" t="n"/>
      <c r="AE224" s="96" t="n"/>
    </row>
    <row r="225" ht="18" customHeight="1" s="321">
      <c r="B225" s="909" t="inlineStr">
        <is>
          <t>TOPLAM</t>
        </is>
      </c>
      <c r="C225" s="773" t="n"/>
      <c r="D225" s="773" t="n"/>
      <c r="E225" s="773" t="n"/>
      <c r="F225" s="773" t="n"/>
      <c r="G225" s="774" t="n"/>
      <c r="H225" s="695">
        <f>VeriGiris!T364</f>
        <v/>
      </c>
      <c r="I225" s="774" t="n"/>
      <c r="J225" s="695">
        <f>SUM(J216:K224)</f>
        <v/>
      </c>
      <c r="K225" s="774" t="n"/>
      <c r="L225" s="695">
        <f>SUM(L216:M224)</f>
        <v/>
      </c>
      <c r="M225" s="774" t="n"/>
      <c r="N225" s="695">
        <f>SUM(N216:O224)</f>
        <v/>
      </c>
      <c r="O225" s="774" t="n"/>
      <c r="P225" s="695">
        <f>SUM(P216:Q224)</f>
        <v/>
      </c>
      <c r="Q225" s="774" t="n"/>
      <c r="R225" s="695">
        <f>SUM(R216:S224)</f>
        <v/>
      </c>
      <c r="S225" s="774" t="n"/>
      <c r="T225" s="695">
        <f>SUM(T216:U224)</f>
        <v/>
      </c>
      <c r="U225" s="774" t="n"/>
      <c r="V225" s="695">
        <f>SUM(V216:W224)</f>
        <v/>
      </c>
      <c r="W225" s="774" t="n"/>
      <c r="X225" s="695">
        <f>SUM(X216:Y224)</f>
        <v/>
      </c>
      <c r="Y225" s="774" t="n"/>
      <c r="Z225" s="695">
        <f>SUM(Z216:AA224)</f>
        <v/>
      </c>
      <c r="AA225" s="774" t="n"/>
      <c r="AB225" s="695">
        <f>SUM(AB216:AC224)</f>
        <v/>
      </c>
      <c r="AC225" s="774" t="n"/>
      <c r="AD225" s="96" t="n"/>
      <c r="AE225" s="96" t="n"/>
    </row>
    <row r="226" ht="6.75" customHeight="1" s="321"/>
    <row r="227" ht="6.75" customFormat="1" customHeight="1" s="8">
      <c r="A227" s="7" t="n"/>
    </row>
    <row r="228" ht="6.75" customFormat="1" customHeight="1" s="8">
      <c r="A228" s="7" t="n"/>
      <c r="B228" s="75" t="n"/>
      <c r="C228" s="75" t="n"/>
      <c r="D228" s="75" t="n"/>
      <c r="E228" s="75" t="n"/>
      <c r="F228" s="75" t="n"/>
      <c r="G228" s="75" t="n"/>
      <c r="H228" s="76" t="n"/>
      <c r="I228" s="76" t="n"/>
      <c r="J228" s="76" t="n"/>
      <c r="K228" s="76" t="n"/>
      <c r="L228" s="76" t="n"/>
      <c r="M228" s="76" t="n"/>
      <c r="N228" s="76" t="n"/>
      <c r="O228" s="76" t="n"/>
      <c r="P228" s="76" t="n"/>
      <c r="Q228" s="76" t="n"/>
      <c r="R228" s="76" t="n"/>
      <c r="S228" s="76" t="n"/>
      <c r="T228" s="76" t="n"/>
      <c r="U228" s="76" t="n"/>
      <c r="V228" s="76" t="n"/>
      <c r="W228" s="76" t="n"/>
      <c r="X228" s="76" t="n"/>
      <c r="Y228" s="76" t="n"/>
      <c r="Z228" s="76" t="n"/>
      <c r="AA228" s="76" t="n"/>
    </row>
    <row r="229" ht="6.75" customFormat="1" customHeight="1" s="8">
      <c r="A229" s="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  <c r="W229" s="77" t="n"/>
      <c r="X229" s="77" t="n"/>
      <c r="Y229" s="77" t="n"/>
      <c r="Z229" s="77" t="n"/>
      <c r="AA229" s="77" t="n"/>
    </row>
    <row r="230" ht="6.75" customFormat="1" customHeight="1" s="8">
      <c r="A230" s="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  <c r="W230" s="77" t="n"/>
      <c r="X230" s="48" t="n"/>
      <c r="Y230" s="48" t="n"/>
      <c r="Z230" s="48" t="n"/>
      <c r="AA230" s="48" t="n"/>
    </row>
    <row r="231" ht="6.75" customFormat="1" customHeight="1" s="8">
      <c r="A231" s="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  <c r="W231" s="77" t="n"/>
      <c r="X231" s="48" t="n"/>
      <c r="Y231" s="48" t="n"/>
      <c r="Z231" s="48" t="n"/>
      <c r="AA231" s="48" t="n"/>
    </row>
    <row r="232" ht="6.75" customFormat="1" customHeight="1" s="17">
      <c r="A232" s="13" t="n"/>
    </row>
    <row r="233" ht="6.75" customHeight="1" s="321"/>
    <row r="234" ht="17.45" customHeight="1" s="321">
      <c r="B234" s="563" t="inlineStr">
        <is>
          <t>Tablo 12 – Pazarlama, Satış ve Dağıtım Giderleri (TL)</t>
        </is>
      </c>
      <c r="C234" s="773" t="n"/>
      <c r="D234" s="773" t="n"/>
      <c r="E234" s="773" t="n"/>
      <c r="F234" s="773" t="n"/>
      <c r="G234" s="773" t="n"/>
      <c r="H234" s="773" t="n"/>
      <c r="I234" s="773" t="n"/>
      <c r="J234" s="773" t="n"/>
      <c r="K234" s="773" t="n"/>
      <c r="L234" s="773" t="n"/>
      <c r="M234" s="773" t="n"/>
      <c r="N234" s="773" t="n"/>
      <c r="O234" s="773" t="n"/>
      <c r="P234" s="773" t="n"/>
      <c r="Q234" s="773" t="n"/>
      <c r="R234" s="773" t="n"/>
      <c r="S234" s="773" t="n"/>
      <c r="T234" s="773" t="n"/>
      <c r="U234" s="773" t="n"/>
      <c r="V234" s="773" t="n"/>
      <c r="W234" s="773" t="n"/>
      <c r="X234" s="773" t="n"/>
      <c r="Y234" s="773" t="n"/>
      <c r="Z234" s="773" t="n"/>
      <c r="AA234" s="773" t="n"/>
      <c r="AB234" s="773" t="n"/>
      <c r="AC234" s="774" t="n"/>
      <c r="AD234" s="97" t="n"/>
      <c r="AE234" s="97" t="n"/>
    </row>
    <row r="235" ht="34.15" customHeight="1" s="321">
      <c r="B235" s="656" t="inlineStr">
        <is>
          <t>Pazarlama, Satış ve Dağıtım Giderleri</t>
        </is>
      </c>
      <c r="C235" s="773" t="n"/>
      <c r="D235" s="773" t="n"/>
      <c r="E235" s="773" t="n"/>
      <c r="F235" s="773" t="n"/>
      <c r="G235" s="774" t="n"/>
      <c r="H235" s="656">
        <f>H215</f>
        <v/>
      </c>
      <c r="I235" s="774" t="n"/>
      <c r="J235" s="656">
        <f>J215</f>
        <v/>
      </c>
      <c r="K235" s="774" t="n"/>
      <c r="L235" s="656">
        <f>L215</f>
        <v/>
      </c>
      <c r="M235" s="774" t="n"/>
      <c r="N235" s="656">
        <f>N215</f>
        <v/>
      </c>
      <c r="O235" s="774" t="n"/>
      <c r="P235" s="656">
        <f>P215</f>
        <v/>
      </c>
      <c r="Q235" s="774" t="n"/>
      <c r="R235" s="656">
        <f>R215</f>
        <v/>
      </c>
      <c r="S235" s="774" t="n"/>
      <c r="T235" s="656">
        <f>T215</f>
        <v/>
      </c>
      <c r="U235" s="774" t="n"/>
      <c r="V235" s="656">
        <f>V215</f>
        <v/>
      </c>
      <c r="W235" s="774" t="n"/>
      <c r="X235" s="656">
        <f>X215</f>
        <v/>
      </c>
      <c r="Y235" s="774" t="n"/>
      <c r="Z235" s="656">
        <f>Z215</f>
        <v/>
      </c>
      <c r="AA235" s="774" t="n"/>
      <c r="AB235" s="656">
        <f>AB215</f>
        <v/>
      </c>
      <c r="AC235" s="774" t="n"/>
      <c r="AD235" s="719" t="n"/>
    </row>
    <row r="236" ht="18" customHeight="1" s="321">
      <c r="B236" s="908">
        <f>VeriGiris!W355</f>
        <v/>
      </c>
      <c r="C236" s="773" t="n"/>
      <c r="D236" s="773" t="n"/>
      <c r="E236" s="773" t="n"/>
      <c r="F236" s="773" t="n"/>
      <c r="G236" s="774" t="n"/>
      <c r="H236" s="660">
        <f>VeriGiris!AC355</f>
        <v/>
      </c>
      <c r="I236" s="774" t="n"/>
      <c r="J236" s="660">
        <f>IFERROR(VeriGiris!$AA$311+VeriGiris!$AC$311*Kapasite!K112,0)</f>
        <v/>
      </c>
      <c r="K236" s="774" t="n"/>
      <c r="L236" s="660">
        <f>IFERROR(VeriGiris!$AA$311+VeriGiris!$AC$311*Kapasite!M112,0)</f>
        <v/>
      </c>
      <c r="M236" s="774" t="n"/>
      <c r="N236" s="660">
        <f>IFERROR(VeriGiris!$AA$311+VeriGiris!$AC$311*Kapasite!O112,0)</f>
        <v/>
      </c>
      <c r="O236" s="774" t="n"/>
      <c r="P236" s="660">
        <f>IFERROR(VeriGiris!$AA$311+VeriGiris!$AC$311*Kapasite!Q112,0)</f>
        <v/>
      </c>
      <c r="Q236" s="774" t="n"/>
      <c r="R236" s="660">
        <f>IFERROR(VeriGiris!$AA$311+VeriGiris!$AC$311*Kapasite!S112,0)</f>
        <v/>
      </c>
      <c r="S236" s="774" t="n"/>
      <c r="T236" s="660">
        <f>IFERROR(VeriGiris!$AA$311+VeriGiris!$AC$311*Kapasite!U112,0)</f>
        <v/>
      </c>
      <c r="U236" s="774" t="n"/>
      <c r="V236" s="660">
        <f>IFERROR(VeriGiris!$AA$311+VeriGiris!$AC$311*Kapasite!W112,0)</f>
        <v/>
      </c>
      <c r="W236" s="774" t="n"/>
      <c r="X236" s="660">
        <f>IFERROR(VeriGiris!$AA$311+VeriGiris!$AC$311*Kapasite!Y112,0)</f>
        <v/>
      </c>
      <c r="Y236" s="774" t="n"/>
      <c r="Z236" s="660">
        <f>IFERROR(VeriGiris!$AA$311+VeriGiris!$AC$311*Kapasite!AA112,0)</f>
        <v/>
      </c>
      <c r="AA236" s="774" t="n"/>
      <c r="AB236" s="660">
        <f>IFERROR(VeriGiris!$AA$311+VeriGiris!$AC$311*Kapasite!AC112,0)</f>
        <v/>
      </c>
      <c r="AC236" s="774" t="n"/>
      <c r="AD236" s="718" t="n"/>
      <c r="AE236" s="83" t="n"/>
    </row>
    <row r="237" ht="18" customHeight="1" s="321">
      <c r="B237" s="908">
        <f>VeriGiris!W356</f>
        <v/>
      </c>
      <c r="C237" s="773" t="n"/>
      <c r="D237" s="773" t="n"/>
      <c r="E237" s="773" t="n"/>
      <c r="F237" s="773" t="n"/>
      <c r="G237" s="774" t="n"/>
      <c r="H237" s="660">
        <f>VeriGiris!AC356</f>
        <v/>
      </c>
      <c r="I237" s="774" t="n"/>
      <c r="J237" s="660">
        <f>IFERROR(VeriGiris!$AA$312+VeriGiris!$AC$312*Kapasite!K112,0)</f>
        <v/>
      </c>
      <c r="K237" s="774" t="n"/>
      <c r="L237" s="660">
        <f>IFERROR(VeriGiris!$AA$312+VeriGiris!$AC$312*Kapasite!M112,0)</f>
        <v/>
      </c>
      <c r="M237" s="774" t="n"/>
      <c r="N237" s="660">
        <f>IFERROR(VeriGiris!$AA$312+VeriGiris!$AC$312*Kapasite!O112,0)</f>
        <v/>
      </c>
      <c r="O237" s="774" t="n"/>
      <c r="P237" s="660">
        <f>IFERROR(VeriGiris!$AA$312+VeriGiris!$AC$312*Kapasite!Q112,0)</f>
        <v/>
      </c>
      <c r="Q237" s="774" t="n"/>
      <c r="R237" s="660">
        <f>IFERROR(VeriGiris!$AA$312+VeriGiris!$AC$312*Kapasite!S112,0)</f>
        <v/>
      </c>
      <c r="S237" s="774" t="n"/>
      <c r="T237" s="660">
        <f>IFERROR(VeriGiris!$AA$312+VeriGiris!$AC$312*Kapasite!U112,0)</f>
        <v/>
      </c>
      <c r="U237" s="774" t="n"/>
      <c r="V237" s="660">
        <f>IFERROR(VeriGiris!$AA$312+VeriGiris!$AC$312*Kapasite!W112,0)</f>
        <v/>
      </c>
      <c r="W237" s="774" t="n"/>
      <c r="X237" s="660">
        <f>IFERROR(VeriGiris!$AA$312+VeriGiris!$AC$312*Kapasite!Y112,0)</f>
        <v/>
      </c>
      <c r="Y237" s="774" t="n"/>
      <c r="Z237" s="660">
        <f>IFERROR(VeriGiris!$AA$312+VeriGiris!$AC$312*Kapasite!AA112,0)</f>
        <v/>
      </c>
      <c r="AA237" s="774" t="n"/>
      <c r="AB237" s="660">
        <f>IFERROR(VeriGiris!$AA$312+VeriGiris!$AC$312*Kapasite!AC112,0)</f>
        <v/>
      </c>
      <c r="AC237" s="774" t="n"/>
      <c r="AD237" s="718" t="n"/>
      <c r="AE237" s="83" t="n"/>
    </row>
    <row r="238" ht="18" customHeight="1" s="321">
      <c r="B238" s="908">
        <f>VeriGiris!W357</f>
        <v/>
      </c>
      <c r="C238" s="773" t="n"/>
      <c r="D238" s="773" t="n"/>
      <c r="E238" s="773" t="n"/>
      <c r="F238" s="773" t="n"/>
      <c r="G238" s="774" t="n"/>
      <c r="H238" s="660">
        <f>VeriGiris!AC357</f>
        <v/>
      </c>
      <c r="I238" s="774" t="n"/>
      <c r="J238" s="660">
        <f>IFERROR(VeriGiris!$AA$313+VeriGiris!$AC$313*Kapasite!K112,0)</f>
        <v/>
      </c>
      <c r="K238" s="774" t="n"/>
      <c r="L238" s="660">
        <f>IFERROR(VeriGiris!$AA$313+VeriGiris!$AC$313*Kapasite!M112,0)</f>
        <v/>
      </c>
      <c r="M238" s="774" t="n"/>
      <c r="N238" s="660">
        <f>IFERROR(VeriGiris!$AA$313+VeriGiris!$AC$313*Kapasite!O112,0)</f>
        <v/>
      </c>
      <c r="O238" s="774" t="n"/>
      <c r="P238" s="660">
        <f>IFERROR(VeriGiris!$AA$313+VeriGiris!$AC$313*Kapasite!Q112,0)</f>
        <v/>
      </c>
      <c r="Q238" s="774" t="n"/>
      <c r="R238" s="660">
        <f>IFERROR(VeriGiris!$AA$313+VeriGiris!$AC$313*Kapasite!S112,0)</f>
        <v/>
      </c>
      <c r="S238" s="774" t="n"/>
      <c r="T238" s="660">
        <f>IFERROR(VeriGiris!$AA$313+VeriGiris!$AC$313*Kapasite!U112,0)</f>
        <v/>
      </c>
      <c r="U238" s="774" t="n"/>
      <c r="V238" s="660">
        <f>IFERROR(VeriGiris!$AA$313+VeriGiris!$AC$313*Kapasite!W112,0)</f>
        <v/>
      </c>
      <c r="W238" s="774" t="n"/>
      <c r="X238" s="660">
        <f>IFERROR(VeriGiris!$AA$313+VeriGiris!$AC$313*Kapasite!Y112,0)</f>
        <v/>
      </c>
      <c r="Y238" s="774" t="n"/>
      <c r="Z238" s="660">
        <f>IFERROR(VeriGiris!$AA$313+VeriGiris!$AC$313*Kapasite!AA112,0)</f>
        <v/>
      </c>
      <c r="AA238" s="774" t="n"/>
      <c r="AB238" s="660">
        <f>IFERROR(VeriGiris!$AA$313+VeriGiris!$AC$313*Kapasite!AC112,0)</f>
        <v/>
      </c>
      <c r="AC238" s="774" t="n"/>
      <c r="AD238" s="718" t="n"/>
      <c r="AE238" s="83" t="n"/>
    </row>
    <row r="239" ht="18" customHeight="1" s="321">
      <c r="B239" s="908">
        <f>VeriGiris!W358</f>
        <v/>
      </c>
      <c r="C239" s="773" t="n"/>
      <c r="D239" s="773" t="n"/>
      <c r="E239" s="773" t="n"/>
      <c r="F239" s="773" t="n"/>
      <c r="G239" s="774" t="n"/>
      <c r="H239" s="660">
        <f>VeriGiris!AC358</f>
        <v/>
      </c>
      <c r="I239" s="774" t="n"/>
      <c r="J239" s="660">
        <f>IFERROR(VeriGiris!$AA$314+VeriGiris!$AC$314*Kapasite!K112,0)</f>
        <v/>
      </c>
      <c r="K239" s="774" t="n"/>
      <c r="L239" s="660">
        <f>IFERROR(VeriGiris!$AA$314+VeriGiris!$AC$314*Kapasite!M112,0)</f>
        <v/>
      </c>
      <c r="M239" s="774" t="n"/>
      <c r="N239" s="660">
        <f>IFERROR(VeriGiris!$AA$314+VeriGiris!$AC$314*Kapasite!O112,0)</f>
        <v/>
      </c>
      <c r="O239" s="774" t="n"/>
      <c r="P239" s="660">
        <f>IFERROR(VeriGiris!$AA$314+VeriGiris!$AC$314*Kapasite!Q112,0)</f>
        <v/>
      </c>
      <c r="Q239" s="774" t="n"/>
      <c r="R239" s="660">
        <f>IFERROR(VeriGiris!$AA$314+VeriGiris!$AC$314*Kapasite!S112,0)</f>
        <v/>
      </c>
      <c r="S239" s="774" t="n"/>
      <c r="T239" s="660">
        <f>IFERROR(VeriGiris!$AA$314+VeriGiris!$AC$314*Kapasite!U112,0)</f>
        <v/>
      </c>
      <c r="U239" s="774" t="n"/>
      <c r="V239" s="660">
        <f>IFERROR(VeriGiris!$AA$314+VeriGiris!$AC$314*Kapasite!W112,0)</f>
        <v/>
      </c>
      <c r="W239" s="774" t="n"/>
      <c r="X239" s="660">
        <f>IFERROR(VeriGiris!$AA$314+VeriGiris!$AC$314*Kapasite!Y112,0)</f>
        <v/>
      </c>
      <c r="Y239" s="774" t="n"/>
      <c r="Z239" s="660">
        <f>IFERROR(VeriGiris!$AA$314+VeriGiris!$AC$314*Kapasite!AA112,0)</f>
        <v/>
      </c>
      <c r="AA239" s="774" t="n"/>
      <c r="AB239" s="660">
        <f>IFERROR(VeriGiris!$AA$314+VeriGiris!$AC$314*Kapasite!AC112,0)</f>
        <v/>
      </c>
      <c r="AC239" s="774" t="n"/>
      <c r="AD239" s="718" t="n"/>
      <c r="AE239" s="83" t="n"/>
    </row>
    <row r="240" ht="18" customHeight="1" s="321">
      <c r="B240" s="908">
        <f>VeriGiris!W359</f>
        <v/>
      </c>
      <c r="C240" s="773" t="n"/>
      <c r="D240" s="773" t="n"/>
      <c r="E240" s="773" t="n"/>
      <c r="F240" s="773" t="n"/>
      <c r="G240" s="774" t="n"/>
      <c r="H240" s="660">
        <f>VeriGiris!AC359</f>
        <v/>
      </c>
      <c r="I240" s="774" t="n"/>
      <c r="J240" s="660">
        <f>IFERROR(VeriGiris!$AA$315+VeriGiris!$AC$315*Kapasite!K112,0)</f>
        <v/>
      </c>
      <c r="K240" s="774" t="n"/>
      <c r="L240" s="660">
        <f>IFERROR(VeriGiris!$AA$315+VeriGiris!$AC$315*Kapasite!M112,0)</f>
        <v/>
      </c>
      <c r="M240" s="774" t="n"/>
      <c r="N240" s="660">
        <f>IFERROR(VeriGiris!$AA$315+VeriGiris!$AC$315*Kapasite!O112,0)</f>
        <v/>
      </c>
      <c r="O240" s="774" t="n"/>
      <c r="P240" s="660">
        <f>IFERROR(VeriGiris!$AA$315+VeriGiris!$AC$315*Kapasite!Q112,0)</f>
        <v/>
      </c>
      <c r="Q240" s="774" t="n"/>
      <c r="R240" s="660">
        <f>IFERROR(VeriGiris!$AA$315+VeriGiris!$AC$315*Kapasite!S112,0)</f>
        <v/>
      </c>
      <c r="S240" s="774" t="n"/>
      <c r="T240" s="660">
        <f>IFERROR(VeriGiris!$AA$315+VeriGiris!$AC$315*Kapasite!U112,0)</f>
        <v/>
      </c>
      <c r="U240" s="774" t="n"/>
      <c r="V240" s="660">
        <f>IFERROR(VeriGiris!$AA$315+VeriGiris!$AC$315*Kapasite!W112,0)</f>
        <v/>
      </c>
      <c r="W240" s="774" t="n"/>
      <c r="X240" s="660">
        <f>IFERROR(VeriGiris!$AA$315+VeriGiris!$AC$315*Kapasite!Y112,0)</f>
        <v/>
      </c>
      <c r="Y240" s="774" t="n"/>
      <c r="Z240" s="660">
        <f>IFERROR(VeriGiris!$AA$315+VeriGiris!$AC$315*Kapasite!AA112,0)</f>
        <v/>
      </c>
      <c r="AA240" s="774" t="n"/>
      <c r="AB240" s="660">
        <f>IFERROR(VeriGiris!$AA$315+VeriGiris!$AC$315*Kapasite!AC112,0)</f>
        <v/>
      </c>
      <c r="AC240" s="774" t="n"/>
      <c r="AD240" s="718" t="n"/>
      <c r="AE240" s="83" t="n"/>
    </row>
    <row r="241" ht="18" customHeight="1" s="321">
      <c r="B241" s="908">
        <f>VeriGiris!W360</f>
        <v/>
      </c>
      <c r="C241" s="773" t="n"/>
      <c r="D241" s="773" t="n"/>
      <c r="E241" s="773" t="n"/>
      <c r="F241" s="773" t="n"/>
      <c r="G241" s="774" t="n"/>
      <c r="H241" s="660">
        <f>VeriGiris!AC360</f>
        <v/>
      </c>
      <c r="I241" s="774" t="n"/>
      <c r="J241" s="660">
        <f>IFERROR(VeriGiris!$AA$316+VeriGiris!$AC$316*Kapasite!K112,0)</f>
        <v/>
      </c>
      <c r="K241" s="774" t="n"/>
      <c r="L241" s="660">
        <f>IFERROR(VeriGiris!$AA$316+VeriGiris!$AC$316*Kapasite!M112,0)</f>
        <v/>
      </c>
      <c r="M241" s="774" t="n"/>
      <c r="N241" s="660">
        <f>IFERROR(VeriGiris!$AA$316+VeriGiris!$AC$316*Kapasite!O112,0)</f>
        <v/>
      </c>
      <c r="O241" s="774" t="n"/>
      <c r="P241" s="660">
        <f>IFERROR(VeriGiris!$AA$316+VeriGiris!$AC$316*Kapasite!Q112,0)</f>
        <v/>
      </c>
      <c r="Q241" s="774" t="n"/>
      <c r="R241" s="660">
        <f>IFERROR(VeriGiris!$AA$316+VeriGiris!$AC$316*Kapasite!S112,0)</f>
        <v/>
      </c>
      <c r="S241" s="774" t="n"/>
      <c r="T241" s="660">
        <f>IFERROR(VeriGiris!$AA$316+VeriGiris!$AC$316*Kapasite!U112,0)</f>
        <v/>
      </c>
      <c r="U241" s="774" t="n"/>
      <c r="V241" s="660">
        <f>IFERROR(VeriGiris!$AA$316+VeriGiris!$AC$316*Kapasite!W112,0)</f>
        <v/>
      </c>
      <c r="W241" s="774" t="n"/>
      <c r="X241" s="660">
        <f>IFERROR(VeriGiris!$AA$316+VeriGiris!$AC$316*Kapasite!Y112,0)</f>
        <v/>
      </c>
      <c r="Y241" s="774" t="n"/>
      <c r="Z241" s="660">
        <f>IFERROR(VeriGiris!$AA$316+VeriGiris!$AC$316*Kapasite!AA112,0)</f>
        <v/>
      </c>
      <c r="AA241" s="774" t="n"/>
      <c r="AB241" s="660">
        <f>IFERROR(VeriGiris!$AA$316+VeriGiris!$AC$316*Kapasite!AC112,0)</f>
        <v/>
      </c>
      <c r="AC241" s="774" t="n"/>
      <c r="AD241" s="718" t="n"/>
      <c r="AE241" s="83" t="n"/>
    </row>
    <row r="242" ht="18" customHeight="1" s="321">
      <c r="B242" s="908">
        <f>VeriGiris!W361</f>
        <v/>
      </c>
      <c r="C242" s="773" t="n"/>
      <c r="D242" s="773" t="n"/>
      <c r="E242" s="773" t="n"/>
      <c r="F242" s="773" t="n"/>
      <c r="G242" s="774" t="n"/>
      <c r="H242" s="660">
        <f>VeriGiris!AC361</f>
        <v/>
      </c>
      <c r="I242" s="774" t="n"/>
      <c r="J242" s="660">
        <f>IFERROR(VeriGiris!$AA$317+VeriGiris!$AC$317*Kapasite!K112,0)</f>
        <v/>
      </c>
      <c r="K242" s="774" t="n"/>
      <c r="L242" s="660">
        <f>IFERROR(VeriGiris!$AA$317+VeriGiris!$AC$317*Kapasite!M112,0)</f>
        <v/>
      </c>
      <c r="M242" s="774" t="n"/>
      <c r="N242" s="660">
        <f>IFERROR(VeriGiris!$AA$317+VeriGiris!$AC$317*Kapasite!O112,0)</f>
        <v/>
      </c>
      <c r="O242" s="774" t="n"/>
      <c r="P242" s="660">
        <f>IFERROR(VeriGiris!$AA$317+VeriGiris!$AC$317*Kapasite!Q112,0)</f>
        <v/>
      </c>
      <c r="Q242" s="774" t="n"/>
      <c r="R242" s="660">
        <f>IFERROR(VeriGiris!$AA$317+VeriGiris!$AC$317*Kapasite!S112,0)</f>
        <v/>
      </c>
      <c r="S242" s="774" t="n"/>
      <c r="T242" s="660">
        <f>IFERROR(VeriGiris!$AA$317+VeriGiris!$AC$317*Kapasite!U112,0)</f>
        <v/>
      </c>
      <c r="U242" s="774" t="n"/>
      <c r="V242" s="660">
        <f>IFERROR(VeriGiris!$AA$317+VeriGiris!$AC$317*Kapasite!W112,0)</f>
        <v/>
      </c>
      <c r="W242" s="774" t="n"/>
      <c r="X242" s="660">
        <f>IFERROR(VeriGiris!$AA$317+VeriGiris!$AC$317*Kapasite!Y112,0)</f>
        <v/>
      </c>
      <c r="Y242" s="774" t="n"/>
      <c r="Z242" s="660">
        <f>IFERROR(VeriGiris!$AA$317+VeriGiris!$AC$317*Kapasite!AA112,0)</f>
        <v/>
      </c>
      <c r="AA242" s="774" t="n"/>
      <c r="AB242" s="660">
        <f>IFERROR(VeriGiris!$AA$317+VeriGiris!$AC$317*Kapasite!AC112,0)</f>
        <v/>
      </c>
      <c r="AC242" s="774" t="n"/>
      <c r="AD242" s="718" t="n"/>
      <c r="AE242" s="83" t="n"/>
    </row>
    <row r="243" ht="18" customHeight="1" s="321">
      <c r="B243" s="908">
        <f>VeriGiris!W362</f>
        <v/>
      </c>
      <c r="C243" s="773" t="n"/>
      <c r="D243" s="773" t="n"/>
      <c r="E243" s="773" t="n"/>
      <c r="F243" s="773" t="n"/>
      <c r="G243" s="774" t="n"/>
      <c r="H243" s="660">
        <f>VeriGiris!AC362</f>
        <v/>
      </c>
      <c r="I243" s="774" t="n"/>
      <c r="J243" s="660">
        <f>IFERROR(VeriGiris!$AA$318+VeriGiris!$AC$318*Kapasite!K112,0)</f>
        <v/>
      </c>
      <c r="K243" s="774" t="n"/>
      <c r="L243" s="660">
        <f>IFERROR(VeriGiris!$AA$318+VeriGiris!$AC$318*Kapasite!M112,0)</f>
        <v/>
      </c>
      <c r="M243" s="774" t="n"/>
      <c r="N243" s="660">
        <f>IFERROR(VeriGiris!$AA$318+VeriGiris!$AC$318*Kapasite!O112,0)</f>
        <v/>
      </c>
      <c r="O243" s="774" t="n"/>
      <c r="P243" s="660">
        <f>IFERROR(VeriGiris!$AA$318+VeriGiris!$AC$318*Kapasite!Q112,0)</f>
        <v/>
      </c>
      <c r="Q243" s="774" t="n"/>
      <c r="R243" s="660">
        <f>IFERROR(VeriGiris!$AA$318+VeriGiris!$AC$318*Kapasite!S112,0)</f>
        <v/>
      </c>
      <c r="S243" s="774" t="n"/>
      <c r="T243" s="660">
        <f>IFERROR(VeriGiris!$AA$318+VeriGiris!$AC$318*Kapasite!U112,0)</f>
        <v/>
      </c>
      <c r="U243" s="774" t="n"/>
      <c r="V243" s="660">
        <f>IFERROR(VeriGiris!$AA$318+VeriGiris!$AC$318*Kapasite!W112,0)</f>
        <v/>
      </c>
      <c r="W243" s="774" t="n"/>
      <c r="X243" s="660">
        <f>IFERROR(VeriGiris!$AA$318+VeriGiris!$AC$318*Kapasite!Y112,0)</f>
        <v/>
      </c>
      <c r="Y243" s="774" t="n"/>
      <c r="Z243" s="660">
        <f>IFERROR(VeriGiris!$AA$318+VeriGiris!$AC$318*Kapasite!AA112,0)</f>
        <v/>
      </c>
      <c r="AA243" s="774" t="n"/>
      <c r="AB243" s="660">
        <f>IFERROR(VeriGiris!$AA$318+VeriGiris!$AC$318*Kapasite!AC112,0)</f>
        <v/>
      </c>
      <c r="AC243" s="774" t="n"/>
      <c r="AD243" s="718" t="n"/>
      <c r="AE243" s="83" t="n"/>
    </row>
    <row r="244" ht="18" customHeight="1" s="321">
      <c r="B244" s="908">
        <f>VeriGiris!W363</f>
        <v/>
      </c>
      <c r="C244" s="773" t="n"/>
      <c r="D244" s="773" t="n"/>
      <c r="E244" s="773" t="n"/>
      <c r="F244" s="773" t="n"/>
      <c r="G244" s="774" t="n"/>
      <c r="H244" s="660">
        <f>VeriGiris!AC363</f>
        <v/>
      </c>
      <c r="I244" s="774" t="n"/>
      <c r="J244" s="660">
        <f>IFERROR(VeriGiris!$AA$319+VeriGiris!$AC$319*Kapasite!K112,0)</f>
        <v/>
      </c>
      <c r="K244" s="774" t="n"/>
      <c r="L244" s="660">
        <f>IFERROR(VeriGiris!$AA$319+VeriGiris!$AC$319*Kapasite!M112,0)</f>
        <v/>
      </c>
      <c r="M244" s="774" t="n"/>
      <c r="N244" s="660">
        <f>IFERROR(VeriGiris!$AA$319+VeriGiris!$AC$319*Kapasite!O112,0)</f>
        <v/>
      </c>
      <c r="O244" s="774" t="n"/>
      <c r="P244" s="660">
        <f>IFERROR(VeriGiris!$AA$319+VeriGiris!$AC$319*Kapasite!Q112,0)</f>
        <v/>
      </c>
      <c r="Q244" s="774" t="n"/>
      <c r="R244" s="660">
        <f>IFERROR(VeriGiris!$AA$319+VeriGiris!$AC$319*Kapasite!S112,0)</f>
        <v/>
      </c>
      <c r="S244" s="774" t="n"/>
      <c r="T244" s="660">
        <f>IFERROR(VeriGiris!$AA$319+VeriGiris!$AC$319*Kapasite!U112,0)</f>
        <v/>
      </c>
      <c r="U244" s="774" t="n"/>
      <c r="V244" s="660">
        <f>IFERROR(VeriGiris!$AA$319+VeriGiris!$AC$319*Kapasite!W112,0)</f>
        <v/>
      </c>
      <c r="W244" s="774" t="n"/>
      <c r="X244" s="660">
        <f>IFERROR(VeriGiris!$AA$319+VeriGiris!$AC$319*Kapasite!Y112,0)</f>
        <v/>
      </c>
      <c r="Y244" s="774" t="n"/>
      <c r="Z244" s="660">
        <f>IFERROR(VeriGiris!$AA$319+VeriGiris!$AC$319*Kapasite!AA112,0)</f>
        <v/>
      </c>
      <c r="AA244" s="774" t="n"/>
      <c r="AB244" s="660">
        <f>IFERROR(VeriGiris!$AA$319+VeriGiris!$AC$319*Kapasite!AC112,0)</f>
        <v/>
      </c>
      <c r="AC244" s="774" t="n"/>
      <c r="AD244" s="718" t="n"/>
      <c r="AE244" s="83" t="n"/>
    </row>
    <row r="245" ht="18" customHeight="1" s="321">
      <c r="B245" s="909" t="inlineStr">
        <is>
          <t>TOPLAM</t>
        </is>
      </c>
      <c r="C245" s="773" t="n"/>
      <c r="D245" s="773" t="n"/>
      <c r="E245" s="773" t="n"/>
      <c r="F245" s="773" t="n"/>
      <c r="G245" s="774" t="n"/>
      <c r="H245" s="695">
        <f>VeriGiris!AC364</f>
        <v/>
      </c>
      <c r="I245" s="774" t="n"/>
      <c r="J245" s="695">
        <f>SUM(J236:K244)</f>
        <v/>
      </c>
      <c r="K245" s="774" t="n"/>
      <c r="L245" s="695">
        <f>SUM(L236:M244)</f>
        <v/>
      </c>
      <c r="M245" s="774" t="n"/>
      <c r="N245" s="695">
        <f>SUM(N236:O244)</f>
        <v/>
      </c>
      <c r="O245" s="774" t="n"/>
      <c r="P245" s="695">
        <f>SUM(P236:Q244)</f>
        <v/>
      </c>
      <c r="Q245" s="774" t="n"/>
      <c r="R245" s="695">
        <f>SUM(R236:S244)</f>
        <v/>
      </c>
      <c r="S245" s="774" t="n"/>
      <c r="T245" s="695">
        <f>SUM(T236:U244)</f>
        <v/>
      </c>
      <c r="U245" s="774" t="n"/>
      <c r="V245" s="695">
        <f>SUM(V236:W244)</f>
        <v/>
      </c>
      <c r="W245" s="774" t="n"/>
      <c r="X245" s="695">
        <f>SUM(X236:Y244)</f>
        <v/>
      </c>
      <c r="Y245" s="774" t="n"/>
      <c r="Z245" s="695">
        <f>SUM(Z236:AA244)</f>
        <v/>
      </c>
      <c r="AA245" s="774" t="n"/>
      <c r="AB245" s="695">
        <f>SUM(AB236:AC244)</f>
        <v/>
      </c>
      <c r="AC245" s="774" t="n"/>
      <c r="AD245" s="718" t="n"/>
      <c r="AE245" s="83" t="n"/>
    </row>
    <row r="246" ht="6" customHeight="1" s="321"/>
    <row r="247" ht="6" customFormat="1" customHeight="1" s="8">
      <c r="A247" s="7" t="n"/>
    </row>
    <row r="248" ht="6" customFormat="1" customHeight="1" s="8">
      <c r="A248" s="7" t="n"/>
      <c r="B248" s="75" t="n"/>
      <c r="C248" s="75" t="n"/>
      <c r="D248" s="75" t="n"/>
      <c r="E248" s="75" t="n"/>
      <c r="F248" s="75" t="n"/>
      <c r="G248" s="75" t="n"/>
      <c r="H248" s="76" t="n"/>
      <c r="I248" s="76" t="n"/>
      <c r="J248" s="76" t="n"/>
      <c r="K248" s="76" t="n"/>
      <c r="L248" s="76" t="n"/>
      <c r="M248" s="76" t="n"/>
      <c r="N248" s="76" t="n"/>
      <c r="O248" s="76" t="n"/>
      <c r="P248" s="76" t="n"/>
      <c r="Q248" s="76" t="n"/>
      <c r="R248" s="76" t="n"/>
      <c r="S248" s="76" t="n"/>
      <c r="T248" s="76" t="n"/>
      <c r="U248" s="76" t="n"/>
      <c r="V248" s="76" t="n"/>
      <c r="W248" s="76" t="n"/>
      <c r="X248" s="76" t="n"/>
      <c r="Y248" s="76" t="n"/>
      <c r="Z248" s="76" t="n"/>
      <c r="AA248" s="76" t="n"/>
    </row>
    <row r="249" ht="6" customFormat="1" customHeight="1" s="8">
      <c r="A249" s="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</row>
    <row r="250" ht="6" customFormat="1" customHeight="1" s="8">
      <c r="A250" s="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48" t="n"/>
      <c r="Y250" s="48" t="n"/>
      <c r="Z250" s="48" t="n"/>
      <c r="AA250" s="48" t="n"/>
    </row>
    <row r="251" ht="6" customFormat="1" customHeight="1" s="8">
      <c r="A251" s="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48" t="n"/>
      <c r="Y251" s="48" t="n"/>
      <c r="Z251" s="48" t="n"/>
      <c r="AA251" s="48" t="n"/>
    </row>
    <row r="252" ht="6" customFormat="1" customHeight="1" s="17">
      <c r="A252" s="13" t="n"/>
    </row>
    <row r="253" ht="6" customHeight="1" s="321"/>
    <row r="254">
      <c r="B254" s="563" t="inlineStr">
        <is>
          <t>Tablo 13-Mali Giderler (TL)</t>
        </is>
      </c>
      <c r="C254" s="773" t="n"/>
      <c r="D254" s="773" t="n"/>
      <c r="E254" s="773" t="n"/>
      <c r="F254" s="773" t="n"/>
      <c r="G254" s="773" t="n"/>
      <c r="H254" s="773" t="n"/>
      <c r="I254" s="773" t="n"/>
      <c r="J254" s="773" t="n"/>
      <c r="K254" s="773" t="n"/>
      <c r="L254" s="773" t="n"/>
      <c r="M254" s="773" t="n"/>
      <c r="N254" s="773" t="n"/>
      <c r="O254" s="773" t="n"/>
      <c r="P254" s="773" t="n"/>
      <c r="Q254" s="773" t="n"/>
      <c r="R254" s="773" t="n"/>
      <c r="S254" s="773" t="n"/>
      <c r="T254" s="773" t="n"/>
      <c r="U254" s="773" t="n"/>
      <c r="V254" s="773" t="n"/>
      <c r="W254" s="773" t="n"/>
      <c r="X254" s="773" t="n"/>
      <c r="Y254" s="773" t="n"/>
      <c r="Z254" s="773" t="n"/>
      <c r="AA254" s="774" t="n"/>
      <c r="AB254" s="97" t="n"/>
      <c r="AC254" s="97" t="n"/>
    </row>
    <row r="255" ht="32.25" customHeight="1" s="321">
      <c r="B255" s="656">
        <f>VeriGiris!B389</f>
        <v/>
      </c>
      <c r="C255" s="773" t="n"/>
      <c r="D255" s="773" t="n"/>
      <c r="E255" s="773" t="n"/>
      <c r="F255" s="773" t="n"/>
      <c r="G255" s="774" t="n"/>
      <c r="H255" s="607">
        <f>J235</f>
        <v/>
      </c>
      <c r="I255" s="774" t="n"/>
      <c r="J255" s="607">
        <f>L235</f>
        <v/>
      </c>
      <c r="K255" s="774" t="n"/>
      <c r="L255" s="607">
        <f>N235</f>
        <v/>
      </c>
      <c r="M255" s="774" t="n"/>
      <c r="N255" s="607">
        <f>P235</f>
        <v/>
      </c>
      <c r="O255" s="774" t="n"/>
      <c r="P255" s="607">
        <f>R235</f>
        <v/>
      </c>
      <c r="Q255" s="774" t="n"/>
      <c r="R255" s="607">
        <f>T235</f>
        <v/>
      </c>
      <c r="S255" s="774" t="n"/>
      <c r="T255" s="607">
        <f>V235</f>
        <v/>
      </c>
      <c r="U255" s="774" t="n"/>
      <c r="V255" s="607">
        <f>X235</f>
        <v/>
      </c>
      <c r="W255" s="774" t="n"/>
      <c r="X255" s="607">
        <f>Z235</f>
        <v/>
      </c>
      <c r="Y255" s="774" t="n"/>
      <c r="Z255" s="607">
        <f>AB235</f>
        <v/>
      </c>
      <c r="AA255" s="774" t="n"/>
      <c r="AB255" s="70" t="n"/>
      <c r="AC255" s="70" t="n"/>
    </row>
    <row r="256" ht="18.75" customHeight="1" s="321">
      <c r="B256" s="572">
        <f>VeriGiris!B390</f>
        <v/>
      </c>
      <c r="C256" s="773" t="n"/>
      <c r="D256" s="773" t="n"/>
      <c r="E256" s="773" t="n"/>
      <c r="F256" s="773" t="n"/>
      <c r="G256" s="774" t="n"/>
      <c r="H256" s="646">
        <f>VeriGiris!H390</f>
        <v/>
      </c>
      <c r="I256" s="774" t="n"/>
      <c r="J256" s="646">
        <f>VeriGiris!J390</f>
        <v/>
      </c>
      <c r="K256" s="774" t="n"/>
      <c r="L256" s="646">
        <f>VeriGiris!L390</f>
        <v/>
      </c>
      <c r="M256" s="774" t="n"/>
      <c r="N256" s="646">
        <f>VeriGiris!N390</f>
        <v/>
      </c>
      <c r="O256" s="774" t="n"/>
      <c r="P256" s="646">
        <f>VeriGiris!P390</f>
        <v/>
      </c>
      <c r="Q256" s="774" t="n"/>
      <c r="R256" s="646">
        <f>VeriGiris!R390</f>
        <v/>
      </c>
      <c r="S256" s="774" t="n"/>
      <c r="T256" s="646">
        <f>VeriGiris!T390</f>
        <v/>
      </c>
      <c r="U256" s="774" t="n"/>
      <c r="V256" s="646">
        <f>VeriGiris!V390</f>
        <v/>
      </c>
      <c r="W256" s="774" t="n"/>
      <c r="X256" s="646">
        <f>VeriGiris!X390</f>
        <v/>
      </c>
      <c r="Y256" s="774" t="n"/>
      <c r="Z256" s="646">
        <f>VeriGiris!Z390</f>
        <v/>
      </c>
      <c r="AA256" s="774" t="n"/>
      <c r="AB256" s="99" t="n"/>
      <c r="AC256" s="99" t="n"/>
    </row>
    <row r="257" ht="18.75" customHeight="1" s="321">
      <c r="B257" s="910">
        <f>VeriGiris!B391</f>
        <v/>
      </c>
      <c r="C257" s="773" t="n"/>
      <c r="D257" s="773" t="n"/>
      <c r="E257" s="773" t="n"/>
      <c r="F257" s="773" t="n"/>
      <c r="G257" s="774" t="n"/>
      <c r="H257" s="749">
        <f>VeriGiris!H391</f>
        <v/>
      </c>
      <c r="I257" s="774" t="n"/>
      <c r="J257" s="749">
        <f>VeriGiris!J391</f>
        <v/>
      </c>
      <c r="K257" s="774" t="n"/>
      <c r="L257" s="749">
        <f>VeriGiris!L391</f>
        <v/>
      </c>
      <c r="M257" s="774" t="n"/>
      <c r="N257" s="749">
        <f>VeriGiris!N391</f>
        <v/>
      </c>
      <c r="O257" s="774" t="n"/>
      <c r="P257" s="749">
        <f>VeriGiris!P391</f>
        <v/>
      </c>
      <c r="Q257" s="774" t="n"/>
      <c r="R257" s="749">
        <f>VeriGiris!R391</f>
        <v/>
      </c>
      <c r="S257" s="774" t="n"/>
      <c r="T257" s="749">
        <f>VeriGiris!T391</f>
        <v/>
      </c>
      <c r="U257" s="774" t="n"/>
      <c r="V257" s="749">
        <f>VeriGiris!V391</f>
        <v/>
      </c>
      <c r="W257" s="774" t="n"/>
      <c r="X257" s="749">
        <f>VeriGiris!X391</f>
        <v/>
      </c>
      <c r="Y257" s="774" t="n"/>
      <c r="Z257" s="749">
        <f>VeriGiris!Z391</f>
        <v/>
      </c>
      <c r="AA257" s="774" t="n"/>
      <c r="AB257" s="100" t="n"/>
      <c r="AC257" s="100" t="n"/>
    </row>
    <row r="258" ht="18.75" customHeight="1" s="321">
      <c r="B258" s="910">
        <f>VeriGiris!B392</f>
        <v/>
      </c>
      <c r="C258" s="773" t="n"/>
      <c r="D258" s="773" t="n"/>
      <c r="E258" s="773" t="n"/>
      <c r="F258" s="773" t="n"/>
      <c r="G258" s="774" t="n"/>
      <c r="H258" s="749">
        <f>VeriGiris!H392</f>
        <v/>
      </c>
      <c r="I258" s="774" t="n"/>
      <c r="J258" s="749">
        <f>VeriGiris!J392</f>
        <v/>
      </c>
      <c r="K258" s="774" t="n"/>
      <c r="L258" s="749">
        <f>VeriGiris!L392</f>
        <v/>
      </c>
      <c r="M258" s="774" t="n"/>
      <c r="N258" s="749">
        <f>VeriGiris!N392</f>
        <v/>
      </c>
      <c r="O258" s="774" t="n"/>
      <c r="P258" s="749">
        <f>VeriGiris!P392</f>
        <v/>
      </c>
      <c r="Q258" s="774" t="n"/>
      <c r="R258" s="749">
        <f>VeriGiris!R392</f>
        <v/>
      </c>
      <c r="S258" s="774" t="n"/>
      <c r="T258" s="749">
        <f>VeriGiris!T392</f>
        <v/>
      </c>
      <c r="U258" s="774" t="n"/>
      <c r="V258" s="749">
        <f>VeriGiris!V392</f>
        <v/>
      </c>
      <c r="W258" s="774" t="n"/>
      <c r="X258" s="749">
        <f>VeriGiris!X392</f>
        <v/>
      </c>
      <c r="Y258" s="774" t="n"/>
      <c r="Z258" s="749">
        <f>VeriGiris!Z392</f>
        <v/>
      </c>
      <c r="AA258" s="774" t="n"/>
      <c r="AB258" s="100" t="n"/>
      <c r="AC258" s="100" t="n"/>
    </row>
    <row r="259" ht="18.75" customHeight="1" s="321">
      <c r="B259" s="572">
        <f>VeriGiris!B393</f>
        <v/>
      </c>
      <c r="C259" s="773" t="n"/>
      <c r="D259" s="773" t="n"/>
      <c r="E259" s="773" t="n"/>
      <c r="F259" s="773" t="n"/>
      <c r="G259" s="774" t="n"/>
      <c r="H259" s="646">
        <f>VeriGiris!H393</f>
        <v/>
      </c>
      <c r="I259" s="774" t="n"/>
      <c r="J259" s="646">
        <f>VeriGiris!J393</f>
        <v/>
      </c>
      <c r="K259" s="774" t="n"/>
      <c r="L259" s="646">
        <f>VeriGiris!L393</f>
        <v/>
      </c>
      <c r="M259" s="774" t="n"/>
      <c r="N259" s="646">
        <f>VeriGiris!N393</f>
        <v/>
      </c>
      <c r="O259" s="774" t="n"/>
      <c r="P259" s="646">
        <f>VeriGiris!P393</f>
        <v/>
      </c>
      <c r="Q259" s="774" t="n"/>
      <c r="R259" s="646">
        <f>VeriGiris!R393</f>
        <v/>
      </c>
      <c r="S259" s="774" t="n"/>
      <c r="T259" s="646">
        <f>VeriGiris!T393</f>
        <v/>
      </c>
      <c r="U259" s="774" t="n"/>
      <c r="V259" s="646">
        <f>VeriGiris!V393</f>
        <v/>
      </c>
      <c r="W259" s="774" t="n"/>
      <c r="X259" s="646">
        <f>VeriGiris!X393</f>
        <v/>
      </c>
      <c r="Y259" s="774" t="n"/>
      <c r="Z259" s="646">
        <f>VeriGiris!Z393</f>
        <v/>
      </c>
      <c r="AA259" s="774" t="n"/>
      <c r="AB259" s="99" t="n"/>
      <c r="AC259" s="99" t="n"/>
    </row>
    <row r="260" ht="18.75" customHeight="1" s="321">
      <c r="B260" s="910">
        <f>VeriGiris!B394</f>
        <v/>
      </c>
      <c r="C260" s="773" t="n"/>
      <c r="D260" s="773" t="n"/>
      <c r="E260" s="773" t="n"/>
      <c r="F260" s="773" t="n"/>
      <c r="G260" s="774" t="n"/>
      <c r="H260" s="749">
        <f>VeriGiris!H394</f>
        <v/>
      </c>
      <c r="I260" s="774" t="n"/>
      <c r="J260" s="749">
        <f>VeriGiris!J394</f>
        <v/>
      </c>
      <c r="K260" s="774" t="n"/>
      <c r="L260" s="749">
        <f>VeriGiris!L394</f>
        <v/>
      </c>
      <c r="M260" s="774" t="n"/>
      <c r="N260" s="749">
        <f>VeriGiris!N394</f>
        <v/>
      </c>
      <c r="O260" s="774" t="n"/>
      <c r="P260" s="749">
        <f>VeriGiris!P394</f>
        <v/>
      </c>
      <c r="Q260" s="774" t="n"/>
      <c r="R260" s="749">
        <f>VeriGiris!R394</f>
        <v/>
      </c>
      <c r="S260" s="774" t="n"/>
      <c r="T260" s="749">
        <f>VeriGiris!T394</f>
        <v/>
      </c>
      <c r="U260" s="774" t="n"/>
      <c r="V260" s="749">
        <f>VeriGiris!V394</f>
        <v/>
      </c>
      <c r="W260" s="774" t="n"/>
      <c r="X260" s="749">
        <f>VeriGiris!X394</f>
        <v/>
      </c>
      <c r="Y260" s="774" t="n"/>
      <c r="Z260" s="749">
        <f>VeriGiris!Z394</f>
        <v/>
      </c>
      <c r="AA260" s="774" t="n"/>
      <c r="AB260" s="100" t="n"/>
      <c r="AC260" s="100" t="n"/>
    </row>
    <row r="261" ht="18.75" customHeight="1" s="321">
      <c r="B261" s="910">
        <f>VeriGiris!B395</f>
        <v/>
      </c>
      <c r="C261" s="773" t="n"/>
      <c r="D261" s="773" t="n"/>
      <c r="E261" s="773" t="n"/>
      <c r="F261" s="773" t="n"/>
      <c r="G261" s="774" t="n"/>
      <c r="H261" s="749">
        <f>VeriGiris!H395</f>
        <v/>
      </c>
      <c r="I261" s="774" t="n"/>
      <c r="J261" s="749">
        <f>VeriGiris!J395</f>
        <v/>
      </c>
      <c r="K261" s="774" t="n"/>
      <c r="L261" s="749">
        <f>VeriGiris!L395</f>
        <v/>
      </c>
      <c r="M261" s="774" t="n"/>
      <c r="N261" s="749">
        <f>VeriGiris!N395</f>
        <v/>
      </c>
      <c r="O261" s="774" t="n"/>
      <c r="P261" s="749">
        <f>VeriGiris!P395</f>
        <v/>
      </c>
      <c r="Q261" s="774" t="n"/>
      <c r="R261" s="749">
        <f>VeriGiris!R395</f>
        <v/>
      </c>
      <c r="S261" s="774" t="n"/>
      <c r="T261" s="749">
        <f>VeriGiris!T395</f>
        <v/>
      </c>
      <c r="U261" s="774" t="n"/>
      <c r="V261" s="749">
        <f>VeriGiris!V395</f>
        <v/>
      </c>
      <c r="W261" s="774" t="n"/>
      <c r="X261" s="749">
        <f>VeriGiris!X395</f>
        <v/>
      </c>
      <c r="Y261" s="774" t="n"/>
      <c r="Z261" s="749">
        <f>VeriGiris!Z395</f>
        <v/>
      </c>
      <c r="AA261" s="774" t="n"/>
      <c r="AB261" s="100" t="n"/>
      <c r="AC261" s="100" t="n"/>
    </row>
    <row r="262" ht="18.75" customHeight="1" s="321">
      <c r="B262" s="910">
        <f>VeriGiris!B396</f>
        <v/>
      </c>
      <c r="C262" s="773" t="n"/>
      <c r="D262" s="773" t="n"/>
      <c r="E262" s="773" t="n"/>
      <c r="F262" s="773" t="n"/>
      <c r="G262" s="774" t="n"/>
      <c r="H262" s="739">
        <f>VeriGiris!H396</f>
        <v/>
      </c>
      <c r="I262" s="774" t="n"/>
      <c r="J262" s="739">
        <f>VeriGiris!J396</f>
        <v/>
      </c>
      <c r="K262" s="774" t="n"/>
      <c r="L262" s="739">
        <f>VeriGiris!L396</f>
        <v/>
      </c>
      <c r="M262" s="774" t="n"/>
      <c r="N262" s="739">
        <f>VeriGiris!N396</f>
        <v/>
      </c>
      <c r="O262" s="774" t="n"/>
      <c r="P262" s="739">
        <f>VeriGiris!P396</f>
        <v/>
      </c>
      <c r="Q262" s="774" t="n"/>
      <c r="R262" s="739">
        <f>VeriGiris!R396</f>
        <v/>
      </c>
      <c r="S262" s="774" t="n"/>
      <c r="T262" s="739">
        <f>VeriGiris!T396</f>
        <v/>
      </c>
      <c r="U262" s="774" t="n"/>
      <c r="V262" s="739">
        <f>VeriGiris!V396</f>
        <v/>
      </c>
      <c r="W262" s="774" t="n"/>
      <c r="X262" s="739">
        <f>VeriGiris!X396</f>
        <v/>
      </c>
      <c r="Y262" s="774" t="n"/>
      <c r="Z262" s="739">
        <f>VeriGiris!Z396</f>
        <v/>
      </c>
      <c r="AA262" s="774" t="n"/>
      <c r="AB262" s="100" t="n"/>
      <c r="AC262" s="100" t="n"/>
    </row>
    <row r="263" ht="11.25" customHeight="1" s="321"/>
    <row r="264" ht="11.25" customFormat="1" customHeight="1" s="8">
      <c r="A264" s="7" t="n"/>
    </row>
    <row r="265" ht="11.25" customFormat="1" customHeight="1" s="8">
      <c r="A265" s="7" t="n"/>
      <c r="B265" s="75" t="n"/>
      <c r="C265" s="75" t="n"/>
      <c r="D265" s="75" t="n"/>
      <c r="E265" s="75" t="n"/>
      <c r="F265" s="75" t="n"/>
      <c r="G265" s="75" t="n"/>
      <c r="H265" s="76" t="n"/>
      <c r="I265" s="76" t="n"/>
      <c r="J265" s="76" t="n"/>
      <c r="K265" s="76" t="n"/>
      <c r="L265" s="76" t="n"/>
      <c r="M265" s="76" t="n"/>
      <c r="N265" s="76" t="n"/>
      <c r="O265" s="76" t="n"/>
      <c r="P265" s="76" t="n"/>
      <c r="Q265" s="76" t="n"/>
      <c r="R265" s="76" t="n"/>
      <c r="S265" s="76" t="n"/>
      <c r="T265" s="76" t="n"/>
      <c r="U265" s="76" t="n"/>
      <c r="V265" s="76" t="n"/>
      <c r="W265" s="76" t="n"/>
      <c r="X265" s="76" t="n"/>
      <c r="Y265" s="76" t="n"/>
      <c r="Z265" s="76" t="n"/>
      <c r="AA265" s="76" t="n"/>
    </row>
    <row r="266" ht="11.25" customFormat="1" customHeight="1" s="8">
      <c r="A266" s="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</row>
    <row r="267" ht="11.25" customFormat="1" customHeight="1" s="8">
      <c r="A267" s="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48" t="n"/>
      <c r="Y267" s="48" t="n"/>
      <c r="Z267" s="48" t="n"/>
      <c r="AA267" s="48" t="n"/>
    </row>
    <row r="268" ht="11.25" customFormat="1" customHeight="1" s="8">
      <c r="A268" s="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48" t="n"/>
      <c r="Y268" s="48" t="n"/>
      <c r="Z268" s="48" t="n"/>
      <c r="AA268" s="48" t="n"/>
    </row>
    <row r="269" ht="11.25" customFormat="1" customHeight="1" s="17">
      <c r="A269" s="13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mHjMsANMjCLVFnusnqqhfA==" formatRows="0" sort="1" spinCount="100000" hashValue="yuKzutXOKLJ1WDaL67JipZYkunUaztFcKGJLZHZs0mBpLoNFkSjTkPdcbu8uMgvVNBX8wvmUaYYvQT0I5aJPLg=="/>
  <mergeCells count="1814">
    <mergeCell ref="N101:O101"/>
    <mergeCell ref="V244:W244"/>
    <mergeCell ref="P76:Q76"/>
    <mergeCell ref="N100:O100"/>
    <mergeCell ref="N94:O94"/>
    <mergeCell ref="R110:T110"/>
    <mergeCell ref="B133:K133"/>
    <mergeCell ref="P69:Q69"/>
    <mergeCell ref="W65:X65"/>
    <mergeCell ref="Z218:AA218"/>
    <mergeCell ref="Y113:Z113"/>
    <mergeCell ref="R141:T141"/>
    <mergeCell ref="B135:K135"/>
    <mergeCell ref="B217:G217"/>
    <mergeCell ref="Y129:Z129"/>
    <mergeCell ref="Y123:Z123"/>
    <mergeCell ref="W50:X50"/>
    <mergeCell ref="Q197:R197"/>
    <mergeCell ref="R143:T143"/>
    <mergeCell ref="N29:O29"/>
    <mergeCell ref="R14:T14"/>
    <mergeCell ref="P216:Q216"/>
    <mergeCell ref="N31:O31"/>
    <mergeCell ref="V255:W255"/>
    <mergeCell ref="P87:Q87"/>
    <mergeCell ref="X171:Y171"/>
    <mergeCell ref="P245:Q245"/>
    <mergeCell ref="N24:O24"/>
    <mergeCell ref="Z236:AA236"/>
    <mergeCell ref="U20:V20"/>
    <mergeCell ref="U14:V14"/>
    <mergeCell ref="P89:Q89"/>
    <mergeCell ref="X173:Y173"/>
    <mergeCell ref="N26:O26"/>
    <mergeCell ref="B146:K146"/>
    <mergeCell ref="P88:Q88"/>
    <mergeCell ref="U22:V22"/>
    <mergeCell ref="AB183:AC183"/>
    <mergeCell ref="AB177:AC177"/>
    <mergeCell ref="W78:X78"/>
    <mergeCell ref="P240:Q240"/>
    <mergeCell ref="Y134:Z134"/>
    <mergeCell ref="L107:M107"/>
    <mergeCell ref="R65:T65"/>
    <mergeCell ref="Z237:AA237"/>
    <mergeCell ref="AD241:AE241"/>
    <mergeCell ref="W80:X80"/>
    <mergeCell ref="Y142:Z142"/>
    <mergeCell ref="J220:K220"/>
    <mergeCell ref="N171:O171"/>
    <mergeCell ref="AB178:AC178"/>
    <mergeCell ref="AD243:AE243"/>
    <mergeCell ref="J222:K222"/>
    <mergeCell ref="P115:Q115"/>
    <mergeCell ref="N42:O42"/>
    <mergeCell ref="N52:O52"/>
    <mergeCell ref="H182:I182"/>
    <mergeCell ref="N44:O44"/>
    <mergeCell ref="P141:Q141"/>
    <mergeCell ref="U58:V58"/>
    <mergeCell ref="G201:H201"/>
    <mergeCell ref="P143:Q143"/>
    <mergeCell ref="Y195:Z195"/>
    <mergeCell ref="R84:T84"/>
    <mergeCell ref="R78:T78"/>
    <mergeCell ref="P14:Q14"/>
    <mergeCell ref="P255:Q255"/>
    <mergeCell ref="Y66:Z66"/>
    <mergeCell ref="Y197:Z197"/>
    <mergeCell ref="N70:O70"/>
    <mergeCell ref="R80:T80"/>
    <mergeCell ref="L32:M32"/>
    <mergeCell ref="Y68:Z68"/>
    <mergeCell ref="U84:V84"/>
    <mergeCell ref="S198:T198"/>
    <mergeCell ref="N96:O96"/>
    <mergeCell ref="U86:V86"/>
    <mergeCell ref="X245:Y245"/>
    <mergeCell ref="N98:O98"/>
    <mergeCell ref="S199:T199"/>
    <mergeCell ref="W144:X144"/>
    <mergeCell ref="L58:M58"/>
    <mergeCell ref="J172:K172"/>
    <mergeCell ref="Y119:Z119"/>
    <mergeCell ref="W21:X21"/>
    <mergeCell ref="N123:O123"/>
    <mergeCell ref="L50:M50"/>
    <mergeCell ref="L25:M25"/>
    <mergeCell ref="B242:G242"/>
    <mergeCell ref="L60:M60"/>
    <mergeCell ref="B101:K101"/>
    <mergeCell ref="L52:M52"/>
    <mergeCell ref="N124:O124"/>
    <mergeCell ref="N118:O118"/>
    <mergeCell ref="P180:Q180"/>
    <mergeCell ref="Y122:Z122"/>
    <mergeCell ref="N126:O126"/>
    <mergeCell ref="P182:Q182"/>
    <mergeCell ref="N109:O109"/>
    <mergeCell ref="H256:I256"/>
    <mergeCell ref="X169:Y169"/>
    <mergeCell ref="U99:V99"/>
    <mergeCell ref="W74:X74"/>
    <mergeCell ref="L78:M78"/>
    <mergeCell ref="U101:V101"/>
    <mergeCell ref="R125:T125"/>
    <mergeCell ref="W76:X76"/>
    <mergeCell ref="Y138:Z138"/>
    <mergeCell ref="L71:M71"/>
    <mergeCell ref="Y132:Z132"/>
    <mergeCell ref="Z235:AA235"/>
    <mergeCell ref="L73:M73"/>
    <mergeCell ref="N137:O137"/>
    <mergeCell ref="AA198:AB198"/>
    <mergeCell ref="Z259:AA259"/>
    <mergeCell ref="Y135:Z135"/>
    <mergeCell ref="P106:Q106"/>
    <mergeCell ref="U29:V29"/>
    <mergeCell ref="U23:V23"/>
    <mergeCell ref="Z261:AA261"/>
    <mergeCell ref="Z217:AA217"/>
    <mergeCell ref="R170:S170"/>
    <mergeCell ref="J244:K244"/>
    <mergeCell ref="U31:V31"/>
    <mergeCell ref="W87:X87"/>
    <mergeCell ref="H181:I181"/>
    <mergeCell ref="R172:S172"/>
    <mergeCell ref="N66:O66"/>
    <mergeCell ref="W89:X89"/>
    <mergeCell ref="X179:Y179"/>
    <mergeCell ref="N68:O68"/>
    <mergeCell ref="P130:Q130"/>
    <mergeCell ref="N61:O61"/>
    <mergeCell ref="B157:F157"/>
    <mergeCell ref="R77:T77"/>
    <mergeCell ref="U57:V57"/>
    <mergeCell ref="N219:O219"/>
    <mergeCell ref="W113:X113"/>
    <mergeCell ref="P125:Q125"/>
    <mergeCell ref="B43:K43"/>
    <mergeCell ref="W115:X115"/>
    <mergeCell ref="U42:V42"/>
    <mergeCell ref="J255:K255"/>
    <mergeCell ref="L144:M144"/>
    <mergeCell ref="B214:AC214"/>
    <mergeCell ref="W148:X148"/>
    <mergeCell ref="L21:M21"/>
    <mergeCell ref="Y204:Z204"/>
    <mergeCell ref="AB243:AC243"/>
    <mergeCell ref="L173:M173"/>
    <mergeCell ref="L145:M145"/>
    <mergeCell ref="N237:O237"/>
    <mergeCell ref="W143:X143"/>
    <mergeCell ref="P176:Q176"/>
    <mergeCell ref="L16:M16"/>
    <mergeCell ref="L174:M174"/>
    <mergeCell ref="N239:O239"/>
    <mergeCell ref="N122:O122"/>
    <mergeCell ref="P178:Q178"/>
    <mergeCell ref="B178:G178"/>
    <mergeCell ref="U95:V95"/>
    <mergeCell ref="U70:V70"/>
    <mergeCell ref="R242:S242"/>
    <mergeCell ref="R236:S236"/>
    <mergeCell ref="B62:K62"/>
    <mergeCell ref="B203:AF203"/>
    <mergeCell ref="U97:V97"/>
    <mergeCell ref="R115:T115"/>
    <mergeCell ref="O201:P201"/>
    <mergeCell ref="L69:M69"/>
    <mergeCell ref="L44:M44"/>
    <mergeCell ref="B261:G261"/>
    <mergeCell ref="U121:V121"/>
    <mergeCell ref="V218:W218"/>
    <mergeCell ref="N133:O133"/>
    <mergeCell ref="U129:V129"/>
    <mergeCell ref="U123:V123"/>
    <mergeCell ref="M197:N197"/>
    <mergeCell ref="Y131:Z131"/>
    <mergeCell ref="N135:O135"/>
    <mergeCell ref="Z257:AA257"/>
    <mergeCell ref="P51:Q51"/>
    <mergeCell ref="R255:S255"/>
    <mergeCell ref="T171:U171"/>
    <mergeCell ref="L245:M245"/>
    <mergeCell ref="R134:T134"/>
    <mergeCell ref="G199:H199"/>
    <mergeCell ref="L89:M89"/>
    <mergeCell ref="T173:U173"/>
    <mergeCell ref="P67:Q67"/>
    <mergeCell ref="L126:M126"/>
    <mergeCell ref="L88:M88"/>
    <mergeCell ref="AE200:AF200"/>
    <mergeCell ref="U134:V134"/>
    <mergeCell ref="V237:W237"/>
    <mergeCell ref="B12:K12"/>
    <mergeCell ref="N146:O146"/>
    <mergeCell ref="U142:V142"/>
    <mergeCell ref="L113:M113"/>
    <mergeCell ref="U55:V55"/>
    <mergeCell ref="B14:K14"/>
    <mergeCell ref="W111:X111"/>
    <mergeCell ref="AE195:AF195"/>
    <mergeCell ref="L115:M115"/>
    <mergeCell ref="L108:M108"/>
    <mergeCell ref="AE197:AF197"/>
    <mergeCell ref="H158:K158"/>
    <mergeCell ref="N235:O235"/>
    <mergeCell ref="X217:Y217"/>
    <mergeCell ref="U66:V66"/>
    <mergeCell ref="Y17:Z17"/>
    <mergeCell ref="X225:Y225"/>
    <mergeCell ref="AB176:AC176"/>
    <mergeCell ref="B58:K58"/>
    <mergeCell ref="U68:V68"/>
    <mergeCell ref="R58:T58"/>
    <mergeCell ref="B52:K52"/>
    <mergeCell ref="O198:P198"/>
    <mergeCell ref="N259:O259"/>
    <mergeCell ref="Y46:Z46"/>
    <mergeCell ref="B60:K60"/>
    <mergeCell ref="R60:T60"/>
    <mergeCell ref="Y12:Z12"/>
    <mergeCell ref="N261:O261"/>
    <mergeCell ref="Y48:Z48"/>
    <mergeCell ref="B53:K53"/>
    <mergeCell ref="V179:W179"/>
    <mergeCell ref="O199:P199"/>
    <mergeCell ref="B84:K84"/>
    <mergeCell ref="U119:V119"/>
    <mergeCell ref="P20:Q20"/>
    <mergeCell ref="N256:O256"/>
    <mergeCell ref="H236:I236"/>
    <mergeCell ref="B80:K80"/>
    <mergeCell ref="P22:Q22"/>
    <mergeCell ref="R42:T42"/>
    <mergeCell ref="L180:M180"/>
    <mergeCell ref="L216:M216"/>
    <mergeCell ref="U122:V122"/>
    <mergeCell ref="Y59:Z59"/>
    <mergeCell ref="T169:U169"/>
    <mergeCell ref="Y25:Z25"/>
    <mergeCell ref="L122:M122"/>
    <mergeCell ref="X177:Y177"/>
    <mergeCell ref="U138:V138"/>
    <mergeCell ref="B215:G215"/>
    <mergeCell ref="U132:V132"/>
    <mergeCell ref="P58:Q58"/>
    <mergeCell ref="P33:Q33"/>
    <mergeCell ref="P244:Q244"/>
    <mergeCell ref="B99:K99"/>
    <mergeCell ref="B244:G244"/>
    <mergeCell ref="P35:Q35"/>
    <mergeCell ref="B234:AC234"/>
    <mergeCell ref="J171:K171"/>
    <mergeCell ref="I199:J199"/>
    <mergeCell ref="Y112:Z112"/>
    <mergeCell ref="L140:M140"/>
    <mergeCell ref="W198:X198"/>
    <mergeCell ref="V259:W259"/>
    <mergeCell ref="Y114:Z114"/>
    <mergeCell ref="L106:M106"/>
    <mergeCell ref="W51:X51"/>
    <mergeCell ref="V261:W261"/>
    <mergeCell ref="L141:M141"/>
    <mergeCell ref="N170:O170"/>
    <mergeCell ref="B150:K150"/>
    <mergeCell ref="P86:Q86"/>
    <mergeCell ref="L224:M224"/>
    <mergeCell ref="N172:O172"/>
    <mergeCell ref="B21:K21"/>
    <mergeCell ref="H157:K157"/>
    <mergeCell ref="V256:W256"/>
    <mergeCell ref="U195:V195"/>
    <mergeCell ref="B145:K145"/>
    <mergeCell ref="B23:K23"/>
    <mergeCell ref="R29:T29"/>
    <mergeCell ref="AD238:AE238"/>
    <mergeCell ref="B147:K147"/>
    <mergeCell ref="R31:T31"/>
    <mergeCell ref="V183:W183"/>
    <mergeCell ref="J219:K219"/>
    <mergeCell ref="P104:Q104"/>
    <mergeCell ref="L125:M125"/>
    <mergeCell ref="AB169:AC169"/>
    <mergeCell ref="N41:O41"/>
    <mergeCell ref="B51:K51"/>
    <mergeCell ref="R51:T51"/>
    <mergeCell ref="Y39:Z39"/>
    <mergeCell ref="X243:Y243"/>
    <mergeCell ref="N43:O43"/>
    <mergeCell ref="P105:Q105"/>
    <mergeCell ref="P99:Q99"/>
    <mergeCell ref="H173:I173"/>
    <mergeCell ref="P107:Q107"/>
    <mergeCell ref="P101:Q101"/>
    <mergeCell ref="J237:K237"/>
    <mergeCell ref="X244:Y244"/>
    <mergeCell ref="H174:I174"/>
    <mergeCell ref="Y28:Z28"/>
    <mergeCell ref="B77:K77"/>
    <mergeCell ref="J239:K239"/>
    <mergeCell ref="N59:O59"/>
    <mergeCell ref="Y65:Z65"/>
    <mergeCell ref="R44:T44"/>
    <mergeCell ref="Y57:Z57"/>
    <mergeCell ref="B184:G184"/>
    <mergeCell ref="Y23:Z23"/>
    <mergeCell ref="S197:T197"/>
    <mergeCell ref="P29:Q29"/>
    <mergeCell ref="K201:L201"/>
    <mergeCell ref="X262:Y262"/>
    <mergeCell ref="R216:S216"/>
    <mergeCell ref="Z178:AA178"/>
    <mergeCell ref="B95:K95"/>
    <mergeCell ref="R95:T95"/>
    <mergeCell ref="B89:K89"/>
    <mergeCell ref="P31:Q31"/>
    <mergeCell ref="I195:J195"/>
    <mergeCell ref="Y83:Z83"/>
    <mergeCell ref="R218:S218"/>
    <mergeCell ref="AB242:AC242"/>
    <mergeCell ref="B97:K97"/>
    <mergeCell ref="R97:T97"/>
    <mergeCell ref="Y85:Z85"/>
    <mergeCell ref="L225:M225"/>
    <mergeCell ref="Z175:AA175"/>
    <mergeCell ref="R96:T96"/>
    <mergeCell ref="B90:K90"/>
    <mergeCell ref="AB244:AC244"/>
    <mergeCell ref="V257:W257"/>
    <mergeCell ref="R219:S219"/>
    <mergeCell ref="L51:M51"/>
    <mergeCell ref="AC205:AD205"/>
    <mergeCell ref="R98:T98"/>
    <mergeCell ref="P57:Q57"/>
    <mergeCell ref="L220:M220"/>
    <mergeCell ref="P171:Q171"/>
    <mergeCell ref="H245:I245"/>
    <mergeCell ref="B148:K148"/>
    <mergeCell ref="L222:M222"/>
    <mergeCell ref="P42:Q42"/>
    <mergeCell ref="W38:X38"/>
    <mergeCell ref="B259:G259"/>
    <mergeCell ref="B108:K108"/>
    <mergeCell ref="R108:T108"/>
    <mergeCell ref="T179:U179"/>
    <mergeCell ref="AA200:AB200"/>
    <mergeCell ref="W40:X40"/>
    <mergeCell ref="N11:O11"/>
    <mergeCell ref="J180:K180"/>
    <mergeCell ref="R237:S237"/>
    <mergeCell ref="B143:K143"/>
    <mergeCell ref="R27:T27"/>
    <mergeCell ref="B225:G225"/>
    <mergeCell ref="Y15:Z15"/>
    <mergeCell ref="B20:K20"/>
    <mergeCell ref="R20:T20"/>
    <mergeCell ref="R109:T109"/>
    <mergeCell ref="N12:O12"/>
    <mergeCell ref="AA195:AB195"/>
    <mergeCell ref="R22:T22"/>
    <mergeCell ref="N39:O39"/>
    <mergeCell ref="N14:O14"/>
    <mergeCell ref="B134:K134"/>
    <mergeCell ref="AA197:AB197"/>
    <mergeCell ref="P70:Q70"/>
    <mergeCell ref="W91:X91"/>
    <mergeCell ref="P103:Q103"/>
    <mergeCell ref="P97:Q97"/>
    <mergeCell ref="W93:X93"/>
    <mergeCell ref="R38:T38"/>
    <mergeCell ref="W86:X86"/>
    <mergeCell ref="T217:U217"/>
    <mergeCell ref="R40:T40"/>
    <mergeCell ref="N65:O65"/>
    <mergeCell ref="T235:U235"/>
    <mergeCell ref="P129:Q129"/>
    <mergeCell ref="N243:O243"/>
    <mergeCell ref="N50:O50"/>
    <mergeCell ref="N25:O25"/>
    <mergeCell ref="J259:K259"/>
    <mergeCell ref="U46:V46"/>
    <mergeCell ref="B182:G182"/>
    <mergeCell ref="R35:T35"/>
    <mergeCell ref="N236:O236"/>
    <mergeCell ref="P131:Q131"/>
    <mergeCell ref="J261:K261"/>
    <mergeCell ref="U48:V48"/>
    <mergeCell ref="Z174:AA174"/>
    <mergeCell ref="W104:X104"/>
    <mergeCell ref="P124:Q124"/>
    <mergeCell ref="R66:T66"/>
    <mergeCell ref="Y79:Z79"/>
    <mergeCell ref="U41:V41"/>
    <mergeCell ref="B183:G183"/>
    <mergeCell ref="B177:G177"/>
    <mergeCell ref="AB238:AC238"/>
    <mergeCell ref="B59:K59"/>
    <mergeCell ref="W106:X106"/>
    <mergeCell ref="P126:Q126"/>
    <mergeCell ref="R68:T68"/>
    <mergeCell ref="L20:M20"/>
    <mergeCell ref="Y81:Z81"/>
    <mergeCell ref="U43:V43"/>
    <mergeCell ref="W105:X105"/>
    <mergeCell ref="J256:K256"/>
    <mergeCell ref="AB240:AC240"/>
    <mergeCell ref="R61:T61"/>
    <mergeCell ref="L22:M22"/>
    <mergeCell ref="N84:O84"/>
    <mergeCell ref="N78:O78"/>
    <mergeCell ref="AC201:AD201"/>
    <mergeCell ref="B202:D202"/>
    <mergeCell ref="Y76:Z76"/>
    <mergeCell ref="N80:O80"/>
    <mergeCell ref="P142:Q142"/>
    <mergeCell ref="AB235:AC235"/>
    <mergeCell ref="H216:I216"/>
    <mergeCell ref="P55:Q55"/>
    <mergeCell ref="W34:X34"/>
    <mergeCell ref="P144:Q144"/>
    <mergeCell ref="T175:U175"/>
    <mergeCell ref="AC198:AD198"/>
    <mergeCell ref="W36:X36"/>
    <mergeCell ref="W30:X30"/>
    <mergeCell ref="Y92:Z92"/>
    <mergeCell ref="B114:K114"/>
    <mergeCell ref="R112:T112"/>
    <mergeCell ref="T177:U177"/>
    <mergeCell ref="L33:M33"/>
    <mergeCell ref="Y94:Z94"/>
    <mergeCell ref="R122:T122"/>
    <mergeCell ref="AB217:AC217"/>
    <mergeCell ref="Z184:AA184"/>
    <mergeCell ref="R105:T105"/>
    <mergeCell ref="L244:M244"/>
    <mergeCell ref="W31:X31"/>
    <mergeCell ref="L35:M35"/>
    <mergeCell ref="U112:V112"/>
    <mergeCell ref="R107:T107"/>
    <mergeCell ref="B130:K130"/>
    <mergeCell ref="P66:Q66"/>
    <mergeCell ref="R259:S259"/>
    <mergeCell ref="Z215:AA215"/>
    <mergeCell ref="R138:T138"/>
    <mergeCell ref="B132:K132"/>
    <mergeCell ref="P68:Q68"/>
    <mergeCell ref="R261:S261"/>
    <mergeCell ref="Y120:Z120"/>
    <mergeCell ref="W57:X57"/>
    <mergeCell ref="L86:M86"/>
    <mergeCell ref="W49:X49"/>
    <mergeCell ref="H224:I224"/>
    <mergeCell ref="R133:T133"/>
    <mergeCell ref="B127:K127"/>
    <mergeCell ref="V235:W235"/>
    <mergeCell ref="R256:S256"/>
    <mergeCell ref="Q195:R195"/>
    <mergeCell ref="Y115:Z115"/>
    <mergeCell ref="U140:V140"/>
    <mergeCell ref="H255:I255"/>
    <mergeCell ref="R135:T135"/>
    <mergeCell ref="B205:D205"/>
    <mergeCell ref="Y148:Z148"/>
    <mergeCell ref="N21:O21"/>
    <mergeCell ref="U17:V17"/>
    <mergeCell ref="U11:V11"/>
    <mergeCell ref="X170:Y170"/>
    <mergeCell ref="Y19:Z19"/>
    <mergeCell ref="N23:O23"/>
    <mergeCell ref="N181:O181"/>
    <mergeCell ref="W75:X75"/>
    <mergeCell ref="X172:Y172"/>
    <mergeCell ref="Q205:R205"/>
    <mergeCell ref="L104:M104"/>
    <mergeCell ref="N147:O147"/>
    <mergeCell ref="W102:X102"/>
    <mergeCell ref="J217:K217"/>
    <mergeCell ref="P122:Q122"/>
    <mergeCell ref="R64:T64"/>
    <mergeCell ref="U39:V39"/>
    <mergeCell ref="AB175:AC175"/>
    <mergeCell ref="B57:K57"/>
    <mergeCell ref="L105:M105"/>
    <mergeCell ref="R57:T57"/>
    <mergeCell ref="L99:M99"/>
    <mergeCell ref="R146:T146"/>
    <mergeCell ref="W103:X103"/>
    <mergeCell ref="N74:O74"/>
    <mergeCell ref="N49:O49"/>
    <mergeCell ref="H179:I179"/>
    <mergeCell ref="X223:Y223"/>
    <mergeCell ref="Y47:Z47"/>
    <mergeCell ref="T244:U244"/>
    <mergeCell ref="N76:O76"/>
    <mergeCell ref="P138:Q138"/>
    <mergeCell ref="W128:X128"/>
    <mergeCell ref="U65:V65"/>
    <mergeCell ref="H180:I180"/>
    <mergeCell ref="P140:Q140"/>
    <mergeCell ref="N77:O77"/>
    <mergeCell ref="R75:T75"/>
    <mergeCell ref="W129:X129"/>
    <mergeCell ref="W123:X123"/>
    <mergeCell ref="O197:P197"/>
    <mergeCell ref="V176:W176"/>
    <mergeCell ref="W131:X131"/>
    <mergeCell ref="L29:M29"/>
    <mergeCell ref="T262:U262"/>
    <mergeCell ref="B221:G221"/>
    <mergeCell ref="B70:K70"/>
    <mergeCell ref="V178:W178"/>
    <mergeCell ref="L31:M31"/>
    <mergeCell ref="N87:O87"/>
    <mergeCell ref="U83:V83"/>
    <mergeCell ref="B158:F158"/>
    <mergeCell ref="N245:O245"/>
    <mergeCell ref="X242:Y242"/>
    <mergeCell ref="N89:O89"/>
    <mergeCell ref="U85:V85"/>
    <mergeCell ref="Z177:AA177"/>
    <mergeCell ref="U78:V78"/>
    <mergeCell ref="Y205:Z205"/>
    <mergeCell ref="L57:M57"/>
    <mergeCell ref="Y118:Z118"/>
    <mergeCell ref="U80:V80"/>
    <mergeCell ref="W142:X142"/>
    <mergeCell ref="H220:I220"/>
    <mergeCell ref="AB241:AC241"/>
    <mergeCell ref="R129:T129"/>
    <mergeCell ref="B243:G243"/>
    <mergeCell ref="W55:X55"/>
    <mergeCell ref="N121:O121"/>
    <mergeCell ref="H222:I222"/>
    <mergeCell ref="N115:O115"/>
    <mergeCell ref="L42:M42"/>
    <mergeCell ref="R131:T131"/>
    <mergeCell ref="B201:D201"/>
    <mergeCell ref="U13:V13"/>
    <mergeCell ref="P179:Q179"/>
    <mergeCell ref="W200:X200"/>
    <mergeCell ref="Z239:AA239"/>
    <mergeCell ref="N116:O116"/>
    <mergeCell ref="W71:X71"/>
    <mergeCell ref="Z224:AA224"/>
    <mergeCell ref="W195:X195"/>
    <mergeCell ref="W73:X73"/>
    <mergeCell ref="P235:Q235"/>
    <mergeCell ref="W197:X197"/>
    <mergeCell ref="L70:M70"/>
    <mergeCell ref="Z225:AA225"/>
    <mergeCell ref="B262:G262"/>
    <mergeCell ref="R142:T142"/>
    <mergeCell ref="W68:X68"/>
    <mergeCell ref="Y130:Z130"/>
    <mergeCell ref="L103:M103"/>
    <mergeCell ref="Q204:R204"/>
    <mergeCell ref="Q198:R198"/>
    <mergeCell ref="N134:O134"/>
    <mergeCell ref="U149:V149"/>
    <mergeCell ref="R144:T144"/>
    <mergeCell ref="P261:Q261"/>
    <mergeCell ref="Z258:AA258"/>
    <mergeCell ref="J182:K182"/>
    <mergeCell ref="B22:K22"/>
    <mergeCell ref="U21:V21"/>
    <mergeCell ref="L129:M129"/>
    <mergeCell ref="L123:M123"/>
    <mergeCell ref="J236:K236"/>
    <mergeCell ref="L124:M124"/>
    <mergeCell ref="B38:K38"/>
    <mergeCell ref="N216:O216"/>
    <mergeCell ref="E195:F195"/>
    <mergeCell ref="B40:K40"/>
    <mergeCell ref="N218:O218"/>
    <mergeCell ref="X240:Y240"/>
    <mergeCell ref="T225:U225"/>
    <mergeCell ref="U74:V74"/>
    <mergeCell ref="B33:K33"/>
    <mergeCell ref="U76:V76"/>
    <mergeCell ref="W138:X138"/>
    <mergeCell ref="B35:K35"/>
    <mergeCell ref="L142:M142"/>
    <mergeCell ref="L172:M172"/>
    <mergeCell ref="L55:M55"/>
    <mergeCell ref="W140:X140"/>
    <mergeCell ref="L171:M171"/>
    <mergeCell ref="X260:Y260"/>
    <mergeCell ref="N119:O119"/>
    <mergeCell ref="P175:Q175"/>
    <mergeCell ref="Y198:Z198"/>
    <mergeCell ref="X259:Y259"/>
    <mergeCell ref="U92:V92"/>
    <mergeCell ref="AE205:AF205"/>
    <mergeCell ref="H242:I242"/>
    <mergeCell ref="P177:Q177"/>
    <mergeCell ref="L139:M139"/>
    <mergeCell ref="X261:Y261"/>
    <mergeCell ref="U94:V94"/>
    <mergeCell ref="N114:O114"/>
    <mergeCell ref="B176:G176"/>
    <mergeCell ref="H244:I244"/>
    <mergeCell ref="Y38:Z38"/>
    <mergeCell ref="L66:M66"/>
    <mergeCell ref="B258:G258"/>
    <mergeCell ref="R113:T113"/>
    <mergeCell ref="V215:W215"/>
    <mergeCell ref="L68:M68"/>
    <mergeCell ref="N130:O130"/>
    <mergeCell ref="B260:G260"/>
    <mergeCell ref="U120:V120"/>
    <mergeCell ref="P46:Q46"/>
    <mergeCell ref="V216:W216"/>
    <mergeCell ref="P48:Q48"/>
    <mergeCell ref="R235:S235"/>
    <mergeCell ref="B105:K105"/>
    <mergeCell ref="M195:N195"/>
    <mergeCell ref="U115:V115"/>
    <mergeCell ref="V241:W241"/>
    <mergeCell ref="L242:M242"/>
    <mergeCell ref="U148:V148"/>
    <mergeCell ref="B107:K107"/>
    <mergeCell ref="W204:X204"/>
    <mergeCell ref="P43:Q43"/>
    <mergeCell ref="T170:U170"/>
    <mergeCell ref="G198:H198"/>
    <mergeCell ref="J181:K181"/>
    <mergeCell ref="L237:M237"/>
    <mergeCell ref="M205:N205"/>
    <mergeCell ref="B36:K36"/>
    <mergeCell ref="Y26:Z26"/>
    <mergeCell ref="T223:U223"/>
    <mergeCell ref="U47:V47"/>
    <mergeCell ref="B31:K31"/>
    <mergeCell ref="Z262:AA262"/>
    <mergeCell ref="B39:K39"/>
    <mergeCell ref="R39:T39"/>
    <mergeCell ref="Y27:Z27"/>
    <mergeCell ref="T218:U218"/>
    <mergeCell ref="L169:M169"/>
    <mergeCell ref="U63:V63"/>
    <mergeCell ref="K197:L197"/>
    <mergeCell ref="N225:O225"/>
    <mergeCell ref="R176:S176"/>
    <mergeCell ref="X257:Y257"/>
    <mergeCell ref="B196:AF196"/>
    <mergeCell ref="B49:K49"/>
    <mergeCell ref="B65:K65"/>
    <mergeCell ref="R178:S178"/>
    <mergeCell ref="R21:T21"/>
    <mergeCell ref="V184:W184"/>
    <mergeCell ref="B174:G174"/>
    <mergeCell ref="T242:U242"/>
    <mergeCell ref="B50:K50"/>
    <mergeCell ref="R50:T50"/>
    <mergeCell ref="N224:O224"/>
    <mergeCell ref="Y11:Z11"/>
    <mergeCell ref="P17:Q17"/>
    <mergeCell ref="AC200:AD200"/>
    <mergeCell ref="Y40:Z40"/>
    <mergeCell ref="B169:G169"/>
    <mergeCell ref="U205:V205"/>
    <mergeCell ref="W121:X121"/>
    <mergeCell ref="P19:Q19"/>
    <mergeCell ref="AC202:AD202"/>
    <mergeCell ref="Y96:Z96"/>
    <mergeCell ref="P12:Q12"/>
    <mergeCell ref="AB221:AC221"/>
    <mergeCell ref="B103:K103"/>
    <mergeCell ref="B78:K78"/>
    <mergeCell ref="B223:G223"/>
    <mergeCell ref="L179:M179"/>
    <mergeCell ref="Y91:Z91"/>
    <mergeCell ref="V239:W239"/>
    <mergeCell ref="N95:O95"/>
    <mergeCell ref="Y93:Z93"/>
    <mergeCell ref="N97:O97"/>
    <mergeCell ref="V240:W240"/>
    <mergeCell ref="P72:Q72"/>
    <mergeCell ref="L235:M235"/>
    <mergeCell ref="B129:K129"/>
    <mergeCell ref="R217:S217"/>
    <mergeCell ref="P65:Q65"/>
    <mergeCell ref="V225:W225"/>
    <mergeCell ref="B241:G241"/>
    <mergeCell ref="Y109:Z109"/>
    <mergeCell ref="B131:K131"/>
    <mergeCell ref="U130:V130"/>
    <mergeCell ref="M204:N204"/>
    <mergeCell ref="P243:Q243"/>
    <mergeCell ref="W46:X46"/>
    <mergeCell ref="Y111:Z111"/>
    <mergeCell ref="L261:M261"/>
    <mergeCell ref="W48:X48"/>
    <mergeCell ref="Y104:Z104"/>
    <mergeCell ref="N27:O27"/>
    <mergeCell ref="P83:Q83"/>
    <mergeCell ref="N20:O20"/>
    <mergeCell ref="AD240:AE240"/>
    <mergeCell ref="P85:Q85"/>
    <mergeCell ref="N22:O22"/>
    <mergeCell ref="B142:K142"/>
    <mergeCell ref="P84:Q84"/>
    <mergeCell ref="AE201:AF201"/>
    <mergeCell ref="B144:K144"/>
    <mergeCell ref="P80:Q80"/>
    <mergeCell ref="AD237:AE237"/>
    <mergeCell ref="J216:K216"/>
    <mergeCell ref="R46:T46"/>
    <mergeCell ref="AB174:AC174"/>
    <mergeCell ref="Y34:Z34"/>
    <mergeCell ref="AD239:AE239"/>
    <mergeCell ref="J218:K218"/>
    <mergeCell ref="N38:O38"/>
    <mergeCell ref="U28:V28"/>
    <mergeCell ref="R48:T48"/>
    <mergeCell ref="R23:T23"/>
    <mergeCell ref="P225:Q225"/>
    <mergeCell ref="P13:Q13"/>
    <mergeCell ref="Y36:Z36"/>
    <mergeCell ref="N40:O40"/>
    <mergeCell ref="H170:I170"/>
    <mergeCell ref="V177:W177"/>
    <mergeCell ref="R79:T79"/>
    <mergeCell ref="P15:Q15"/>
    <mergeCell ref="H172:I172"/>
    <mergeCell ref="W119:X119"/>
    <mergeCell ref="X241:Y241"/>
    <mergeCell ref="N35:O35"/>
    <mergeCell ref="H171:I171"/>
    <mergeCell ref="T260:U260"/>
    <mergeCell ref="B74:K74"/>
    <mergeCell ref="R74:T74"/>
    <mergeCell ref="B68:K68"/>
    <mergeCell ref="AB222:AC222"/>
    <mergeCell ref="Y62:Z62"/>
    <mergeCell ref="U198:V198"/>
    <mergeCell ref="T259:U259"/>
    <mergeCell ref="Y54:Z54"/>
    <mergeCell ref="B76:K76"/>
    <mergeCell ref="R76:T76"/>
    <mergeCell ref="Y64:Z64"/>
    <mergeCell ref="T261:U261"/>
    <mergeCell ref="S200:T200"/>
    <mergeCell ref="N93:O93"/>
    <mergeCell ref="AB223:AC223"/>
    <mergeCell ref="N262:O262"/>
    <mergeCell ref="W16:X16"/>
    <mergeCell ref="S195:T195"/>
    <mergeCell ref="B237:G237"/>
    <mergeCell ref="R92:T92"/>
    <mergeCell ref="P28:Q28"/>
    <mergeCell ref="W18:X18"/>
    <mergeCell ref="R215:S215"/>
    <mergeCell ref="W17:X17"/>
    <mergeCell ref="R94:T94"/>
    <mergeCell ref="P30:Q30"/>
    <mergeCell ref="W11:X11"/>
    <mergeCell ref="L46:M46"/>
    <mergeCell ref="B238:G238"/>
    <mergeCell ref="B87:K87"/>
    <mergeCell ref="R87:T87"/>
    <mergeCell ref="W19:X19"/>
    <mergeCell ref="Y75:Z75"/>
    <mergeCell ref="L48:M48"/>
    <mergeCell ref="N104:O104"/>
    <mergeCell ref="B240:G240"/>
    <mergeCell ref="R89:T89"/>
    <mergeCell ref="Y102:Z102"/>
    <mergeCell ref="L217:M217"/>
    <mergeCell ref="N112:O112"/>
    <mergeCell ref="J184:K184"/>
    <mergeCell ref="N106:O106"/>
    <mergeCell ref="R241:S241"/>
    <mergeCell ref="P56:Q56"/>
    <mergeCell ref="N105:O105"/>
    <mergeCell ref="L43:M43"/>
    <mergeCell ref="R243:S243"/>
    <mergeCell ref="P170:Q170"/>
    <mergeCell ref="B138:K138"/>
    <mergeCell ref="B113:K113"/>
    <mergeCell ref="P49:Q49"/>
    <mergeCell ref="N107:O107"/>
    <mergeCell ref="J179:K179"/>
    <mergeCell ref="L74:M74"/>
    <mergeCell ref="I205:J205"/>
    <mergeCell ref="B140:K140"/>
    <mergeCell ref="B115:K115"/>
    <mergeCell ref="AA204:AF204"/>
    <mergeCell ref="W72:X72"/>
    <mergeCell ref="L76:M76"/>
    <mergeCell ref="N132:O132"/>
    <mergeCell ref="R148:T148"/>
    <mergeCell ref="B224:G224"/>
    <mergeCell ref="Y136:Z136"/>
    <mergeCell ref="R19:T19"/>
    <mergeCell ref="X183:Y183"/>
    <mergeCell ref="U113:V113"/>
    <mergeCell ref="U26:V26"/>
    <mergeCell ref="W88:X88"/>
    <mergeCell ref="P100:Q100"/>
    <mergeCell ref="V262:W262"/>
    <mergeCell ref="Y146:Z146"/>
    <mergeCell ref="U27:V27"/>
    <mergeCell ref="W83:X83"/>
    <mergeCell ref="L87:M87"/>
    <mergeCell ref="Z242:AA242"/>
    <mergeCell ref="P95:Q95"/>
    <mergeCell ref="H169:I169"/>
    <mergeCell ref="N62:O62"/>
    <mergeCell ref="W85:X85"/>
    <mergeCell ref="E197:F202"/>
    <mergeCell ref="N176:O176"/>
    <mergeCell ref="Y60:Z60"/>
    <mergeCell ref="T257:U257"/>
    <mergeCell ref="N64:O64"/>
    <mergeCell ref="AB219:AC219"/>
    <mergeCell ref="P120:Q120"/>
    <mergeCell ref="Y149:Z149"/>
    <mergeCell ref="AA205:AB205"/>
    <mergeCell ref="N57:O57"/>
    <mergeCell ref="R184:S184"/>
    <mergeCell ref="P242:Q242"/>
    <mergeCell ref="P121:Q121"/>
    <mergeCell ref="R63:T63"/>
    <mergeCell ref="U38:V38"/>
    <mergeCell ref="W13:X13"/>
    <mergeCell ref="P148:Q148"/>
    <mergeCell ref="P123:Q123"/>
    <mergeCell ref="L17:M17"/>
    <mergeCell ref="R179:S179"/>
    <mergeCell ref="Y200:Z200"/>
    <mergeCell ref="U40:V40"/>
    <mergeCell ref="R83:T83"/>
    <mergeCell ref="B168:AC168"/>
    <mergeCell ref="W15:X15"/>
    <mergeCell ref="Y71:Z71"/>
    <mergeCell ref="L19:M19"/>
    <mergeCell ref="B175:G175"/>
    <mergeCell ref="Y202:Z202"/>
    <mergeCell ref="N75:O75"/>
    <mergeCell ref="U96:V96"/>
    <mergeCell ref="R91:T91"/>
    <mergeCell ref="R85:T85"/>
    <mergeCell ref="P262:Q262"/>
    <mergeCell ref="L12:M12"/>
    <mergeCell ref="X224:Y224"/>
    <mergeCell ref="Y73:Z73"/>
    <mergeCell ref="L39:M39"/>
    <mergeCell ref="L14:M14"/>
    <mergeCell ref="U91:V91"/>
    <mergeCell ref="R239:S239"/>
    <mergeCell ref="N103:O103"/>
    <mergeCell ref="S204:T204"/>
    <mergeCell ref="P134:Q134"/>
    <mergeCell ref="U93:V93"/>
    <mergeCell ref="B111:K111"/>
    <mergeCell ref="R111:T111"/>
    <mergeCell ref="P47:Q47"/>
    <mergeCell ref="R240:S240"/>
    <mergeCell ref="L72:M72"/>
    <mergeCell ref="N217:O217"/>
    <mergeCell ref="L65:M65"/>
    <mergeCell ref="L241:M241"/>
    <mergeCell ref="W28:X28"/>
    <mergeCell ref="R225:S225"/>
    <mergeCell ref="U109:V109"/>
    <mergeCell ref="R104:T104"/>
    <mergeCell ref="N129:O129"/>
    <mergeCell ref="L243:M243"/>
    <mergeCell ref="P63:Q63"/>
    <mergeCell ref="H259:I259"/>
    <mergeCell ref="R114:T114"/>
    <mergeCell ref="U111:V111"/>
    <mergeCell ref="N131:O131"/>
    <mergeCell ref="H261:I261"/>
    <mergeCell ref="X174:Y174"/>
    <mergeCell ref="P223:Q223"/>
    <mergeCell ref="U104:V104"/>
    <mergeCell ref="W79:X79"/>
    <mergeCell ref="W54:X54"/>
    <mergeCell ref="L83:M83"/>
    <mergeCell ref="Z238:AA238"/>
    <mergeCell ref="R130:T130"/>
    <mergeCell ref="W81:X81"/>
    <mergeCell ref="W56:X56"/>
    <mergeCell ref="G195:H195"/>
    <mergeCell ref="P218:Q218"/>
    <mergeCell ref="L85:M85"/>
    <mergeCell ref="Z240:AA240"/>
    <mergeCell ref="R132:T132"/>
    <mergeCell ref="T222:U222"/>
    <mergeCell ref="L84:M84"/>
    <mergeCell ref="G197:H197"/>
    <mergeCell ref="Y145:Z145"/>
    <mergeCell ref="Y139:Z139"/>
    <mergeCell ref="AA201:AB201"/>
    <mergeCell ref="N149:O149"/>
    <mergeCell ref="L80:M80"/>
    <mergeCell ref="N142:O142"/>
    <mergeCell ref="N55:O55"/>
    <mergeCell ref="P117:Q117"/>
    <mergeCell ref="U34:V34"/>
    <mergeCell ref="N144:O144"/>
    <mergeCell ref="P119:Q119"/>
    <mergeCell ref="U36:V36"/>
    <mergeCell ref="U30:V30"/>
    <mergeCell ref="W92:X92"/>
    <mergeCell ref="R54:T54"/>
    <mergeCell ref="R177:S177"/>
    <mergeCell ref="W94:X94"/>
    <mergeCell ref="R56:T56"/>
    <mergeCell ref="X220:Y220"/>
    <mergeCell ref="B194:AF194"/>
    <mergeCell ref="W125:X125"/>
    <mergeCell ref="U62:V62"/>
    <mergeCell ref="Y13:Z13"/>
    <mergeCell ref="X221:Y221"/>
    <mergeCell ref="X215:Y215"/>
    <mergeCell ref="U64:V64"/>
    <mergeCell ref="W120:X120"/>
    <mergeCell ref="P132:Q132"/>
    <mergeCell ref="N257:O257"/>
    <mergeCell ref="V175:W175"/>
    <mergeCell ref="O195:P195"/>
    <mergeCell ref="N242:O242"/>
    <mergeCell ref="U204:V204"/>
    <mergeCell ref="L23:M23"/>
    <mergeCell ref="U75:V75"/>
    <mergeCell ref="O205:P205"/>
    <mergeCell ref="L54:M54"/>
    <mergeCell ref="H217:I217"/>
    <mergeCell ref="W52:X52"/>
    <mergeCell ref="Y108:Z108"/>
    <mergeCell ref="L56:M56"/>
    <mergeCell ref="U133:V133"/>
    <mergeCell ref="R128:T128"/>
    <mergeCell ref="L49:M49"/>
    <mergeCell ref="N138:O138"/>
    <mergeCell ref="N113:O113"/>
    <mergeCell ref="U128:V128"/>
    <mergeCell ref="N140:O140"/>
    <mergeCell ref="U136:V136"/>
    <mergeCell ref="T183:U183"/>
    <mergeCell ref="N169:O169"/>
    <mergeCell ref="W63:X63"/>
    <mergeCell ref="L136:M136"/>
    <mergeCell ref="T176:U176"/>
    <mergeCell ref="Y110:Z110"/>
    <mergeCell ref="U131:V131"/>
    <mergeCell ref="L102:M102"/>
    <mergeCell ref="R262:S262"/>
    <mergeCell ref="Q201:R201"/>
    <mergeCell ref="H152:K152"/>
    <mergeCell ref="U146:V146"/>
    <mergeCell ref="B17:K17"/>
    <mergeCell ref="P224:Q224"/>
    <mergeCell ref="P260:Q260"/>
    <mergeCell ref="U60:V60"/>
    <mergeCell ref="B19:K19"/>
    <mergeCell ref="P259:Q259"/>
    <mergeCell ref="X219:Y219"/>
    <mergeCell ref="L120:M120"/>
    <mergeCell ref="W205:X205"/>
    <mergeCell ref="W124:X124"/>
    <mergeCell ref="W118:X118"/>
    <mergeCell ref="AE202:AF202"/>
    <mergeCell ref="N184:O184"/>
    <mergeCell ref="L121:M121"/>
    <mergeCell ref="V181:W181"/>
    <mergeCell ref="N179:O179"/>
    <mergeCell ref="X239:Y239"/>
    <mergeCell ref="N215:O215"/>
    <mergeCell ref="U71:V71"/>
    <mergeCell ref="T224:U224"/>
    <mergeCell ref="U73:V73"/>
    <mergeCell ref="R11:T11"/>
    <mergeCell ref="J235:K235"/>
    <mergeCell ref="Y53:Z53"/>
    <mergeCell ref="P113:Q113"/>
    <mergeCell ref="O204:P204"/>
    <mergeCell ref="L134:M134"/>
    <mergeCell ref="Y55:Z55"/>
    <mergeCell ref="K198:L198"/>
    <mergeCell ref="L47:M47"/>
    <mergeCell ref="X258:Y258"/>
    <mergeCell ref="E205:F205"/>
    <mergeCell ref="B91:K91"/>
    <mergeCell ref="P27:Q27"/>
    <mergeCell ref="B93:K93"/>
    <mergeCell ref="R93:T93"/>
    <mergeCell ref="L221:M221"/>
    <mergeCell ref="Y37:Z37"/>
    <mergeCell ref="B86:K86"/>
    <mergeCell ref="L223:M223"/>
    <mergeCell ref="X180:Y180"/>
    <mergeCell ref="P45:Q45"/>
    <mergeCell ref="X182:Y182"/>
    <mergeCell ref="L218:M218"/>
    <mergeCell ref="P38:Q38"/>
    <mergeCell ref="P169:Q169"/>
    <mergeCell ref="Y63:Z63"/>
    <mergeCell ref="B15:K15"/>
    <mergeCell ref="B104:K104"/>
    <mergeCell ref="P40:Q40"/>
    <mergeCell ref="J176:K176"/>
    <mergeCell ref="J170:K170"/>
    <mergeCell ref="P257:Q257"/>
    <mergeCell ref="AB224:AC224"/>
    <mergeCell ref="B257:G257"/>
    <mergeCell ref="B106:K106"/>
    <mergeCell ref="R106:T106"/>
    <mergeCell ref="J178:K178"/>
    <mergeCell ref="L117:M117"/>
    <mergeCell ref="P98:Q98"/>
    <mergeCell ref="L236:M236"/>
    <mergeCell ref="L119:M119"/>
    <mergeCell ref="J173:K173"/>
    <mergeCell ref="L148:M148"/>
    <mergeCell ref="N177:O177"/>
    <mergeCell ref="U200:V200"/>
    <mergeCell ref="P93:Q93"/>
    <mergeCell ref="T220:U220"/>
    <mergeCell ref="B34:K34"/>
    <mergeCell ref="R34:T34"/>
    <mergeCell ref="B28:K28"/>
    <mergeCell ref="U202:V202"/>
    <mergeCell ref="Y147:Z147"/>
    <mergeCell ref="L262:M262"/>
    <mergeCell ref="B181:G181"/>
    <mergeCell ref="R36:T36"/>
    <mergeCell ref="B30:K30"/>
    <mergeCell ref="Y24:Z24"/>
    <mergeCell ref="T221:U221"/>
    <mergeCell ref="N53:O53"/>
    <mergeCell ref="T215:U215"/>
    <mergeCell ref="L130:M130"/>
    <mergeCell ref="N46:O46"/>
    <mergeCell ref="P111:Q111"/>
    <mergeCell ref="B54:K54"/>
    <mergeCell ref="L132:M132"/>
    <mergeCell ref="N48:O48"/>
    <mergeCell ref="R183:S183"/>
    <mergeCell ref="J257:K257"/>
    <mergeCell ref="W100:X100"/>
    <mergeCell ref="R175:S175"/>
    <mergeCell ref="B56:K56"/>
    <mergeCell ref="K195:L195"/>
    <mergeCell ref="X256:Y256"/>
    <mergeCell ref="P112:Q112"/>
    <mergeCell ref="B173:G173"/>
    <mergeCell ref="T241:U241"/>
    <mergeCell ref="J242:K242"/>
    <mergeCell ref="Y77:Z77"/>
    <mergeCell ref="T243:U243"/>
    <mergeCell ref="R49:T49"/>
    <mergeCell ref="K205:L205"/>
    <mergeCell ref="P139:Q139"/>
    <mergeCell ref="Y72:Z72"/>
    <mergeCell ref="AC199:AD199"/>
    <mergeCell ref="U108:V108"/>
    <mergeCell ref="P34:Q34"/>
    <mergeCell ref="Z183:AA183"/>
    <mergeCell ref="R257:S257"/>
    <mergeCell ref="B100:K100"/>
    <mergeCell ref="B75:K75"/>
    <mergeCell ref="P36:Q36"/>
    <mergeCell ref="P11:Q11"/>
    <mergeCell ref="W32:X32"/>
    <mergeCell ref="Y88:Z88"/>
    <mergeCell ref="R223:S223"/>
    <mergeCell ref="AB220:AC220"/>
    <mergeCell ref="L30:M30"/>
    <mergeCell ref="N92:O92"/>
    <mergeCell ref="B102:K102"/>
    <mergeCell ref="B222:G222"/>
    <mergeCell ref="R102:T102"/>
    <mergeCell ref="Y90:Z90"/>
    <mergeCell ref="L240:M240"/>
    <mergeCell ref="W27:X27"/>
    <mergeCell ref="AB215:AC215"/>
    <mergeCell ref="Z182:AA182"/>
    <mergeCell ref="R103:T103"/>
    <mergeCell ref="P183:Q183"/>
    <mergeCell ref="J169:K169"/>
    <mergeCell ref="P62:Q62"/>
    <mergeCell ref="U110:V110"/>
    <mergeCell ref="H225:I225"/>
    <mergeCell ref="W44:X44"/>
    <mergeCell ref="B128:K128"/>
    <mergeCell ref="P64:Q64"/>
    <mergeCell ref="T184:U184"/>
    <mergeCell ref="L258:M258"/>
    <mergeCell ref="W45:X45"/>
    <mergeCell ref="B123:K123"/>
    <mergeCell ref="Y20:Z20"/>
    <mergeCell ref="R121:T121"/>
    <mergeCell ref="Y14:Z14"/>
    <mergeCell ref="L260:M260"/>
    <mergeCell ref="W47:X47"/>
    <mergeCell ref="N18:O18"/>
    <mergeCell ref="P238:Q238"/>
    <mergeCell ref="Y22:Z22"/>
    <mergeCell ref="AD245:AE245"/>
    <mergeCell ref="N17:O17"/>
    <mergeCell ref="L259:M259"/>
    <mergeCell ref="N148:O148"/>
    <mergeCell ref="S205:T205"/>
    <mergeCell ref="P82:Q82"/>
    <mergeCell ref="N19:O19"/>
    <mergeCell ref="AA202:AB202"/>
    <mergeCell ref="P75:Q75"/>
    <mergeCell ref="AB170:AC170"/>
    <mergeCell ref="L100:M100"/>
    <mergeCell ref="R181:S181"/>
    <mergeCell ref="AB172:AC172"/>
    <mergeCell ref="W98:X98"/>
    <mergeCell ref="AB171:AC171"/>
    <mergeCell ref="T245:U245"/>
    <mergeCell ref="R149:T149"/>
    <mergeCell ref="T239:U239"/>
    <mergeCell ref="AD236:AE236"/>
    <mergeCell ref="J215:K215"/>
    <mergeCell ref="L95:M95"/>
    <mergeCell ref="B10:Z10"/>
    <mergeCell ref="L131:M131"/>
    <mergeCell ref="AB173:AC173"/>
    <mergeCell ref="B55:K55"/>
    <mergeCell ref="R55:T55"/>
    <mergeCell ref="L97:M97"/>
    <mergeCell ref="N37:O37"/>
    <mergeCell ref="L183:M183"/>
    <mergeCell ref="T240:U240"/>
    <mergeCell ref="N72:O72"/>
    <mergeCell ref="Y35:Z35"/>
    <mergeCell ref="H177:I177"/>
    <mergeCell ref="P217:Q217"/>
    <mergeCell ref="P136:Q136"/>
    <mergeCell ref="W126:X126"/>
    <mergeCell ref="U53:V53"/>
    <mergeCell ref="W109:X109"/>
    <mergeCell ref="B71:K71"/>
    <mergeCell ref="B216:G216"/>
    <mergeCell ref="R71:T71"/>
    <mergeCell ref="K204:L204"/>
    <mergeCell ref="P74:Q74"/>
    <mergeCell ref="W117:X117"/>
    <mergeCell ref="N88:O88"/>
    <mergeCell ref="B218:G218"/>
    <mergeCell ref="R73:T73"/>
    <mergeCell ref="Y61:Z61"/>
    <mergeCell ref="AB184:AC184"/>
    <mergeCell ref="T258:U258"/>
    <mergeCell ref="N90:O90"/>
    <mergeCell ref="V174:W174"/>
    <mergeCell ref="L27:M27"/>
    <mergeCell ref="I202:J202"/>
    <mergeCell ref="W112:X112"/>
    <mergeCell ref="N83:O83"/>
    <mergeCell ref="B219:G219"/>
    <mergeCell ref="U79:V79"/>
    <mergeCell ref="X238:Y238"/>
    <mergeCell ref="Y56:Z56"/>
    <mergeCell ref="N91:O91"/>
    <mergeCell ref="N85:O85"/>
    <mergeCell ref="U81:V81"/>
    <mergeCell ref="H221:I221"/>
    <mergeCell ref="W137:X137"/>
    <mergeCell ref="I197:J197"/>
    <mergeCell ref="P149:Q149"/>
    <mergeCell ref="H223:I223"/>
    <mergeCell ref="W139:X139"/>
    <mergeCell ref="Y201:Z201"/>
    <mergeCell ref="L45:M45"/>
    <mergeCell ref="B239:G239"/>
    <mergeCell ref="B204:D204"/>
    <mergeCell ref="B198:D198"/>
    <mergeCell ref="W43:X43"/>
    <mergeCell ref="N111:O111"/>
    <mergeCell ref="Y105:Z105"/>
    <mergeCell ref="L38:M38"/>
    <mergeCell ref="H218:I218"/>
    <mergeCell ref="L40:M40"/>
    <mergeCell ref="B199:D199"/>
    <mergeCell ref="N15:O15"/>
    <mergeCell ref="Y100:Z100"/>
    <mergeCell ref="W67:X67"/>
    <mergeCell ref="B254:AA254"/>
    <mergeCell ref="Z220:AA220"/>
    <mergeCell ref="P79:Q79"/>
    <mergeCell ref="P73:Q73"/>
    <mergeCell ref="W69:X69"/>
    <mergeCell ref="Y125:Z125"/>
    <mergeCell ref="L98:M98"/>
    <mergeCell ref="Q199:R199"/>
    <mergeCell ref="Z222:AA222"/>
    <mergeCell ref="R145:T145"/>
    <mergeCell ref="B139:K139"/>
    <mergeCell ref="R139:T139"/>
    <mergeCell ref="Y133:Z133"/>
    <mergeCell ref="Z221:AA221"/>
    <mergeCell ref="Y127:Z127"/>
    <mergeCell ref="R147:T147"/>
    <mergeCell ref="W64:X64"/>
    <mergeCell ref="Q200:R200"/>
    <mergeCell ref="L93:M93"/>
    <mergeCell ref="Z223:AA223"/>
    <mergeCell ref="R140:T140"/>
    <mergeCell ref="P220:Q220"/>
    <mergeCell ref="Y128:Z128"/>
    <mergeCell ref="Q202:R202"/>
    <mergeCell ref="U147:V147"/>
    <mergeCell ref="H262:I262"/>
    <mergeCell ref="X175:Y175"/>
    <mergeCell ref="N28:O28"/>
    <mergeCell ref="W122:X122"/>
    <mergeCell ref="U24:V24"/>
    <mergeCell ref="P221:Q221"/>
    <mergeCell ref="U18:V18"/>
    <mergeCell ref="P215:Q215"/>
    <mergeCell ref="N30:O30"/>
    <mergeCell ref="X176:Y176"/>
    <mergeCell ref="W82:X82"/>
    <mergeCell ref="L111:M111"/>
    <mergeCell ref="AB180:AC180"/>
    <mergeCell ref="U19:V19"/>
    <mergeCell ref="N183:O183"/>
    <mergeCell ref="N175:O175"/>
    <mergeCell ref="AB182:AC182"/>
    <mergeCell ref="N54:O54"/>
    <mergeCell ref="L112:M112"/>
    <mergeCell ref="P241:Q241"/>
    <mergeCell ref="W110:X110"/>
    <mergeCell ref="N56:O56"/>
    <mergeCell ref="U77:V77"/>
    <mergeCell ref="B152:F152"/>
    <mergeCell ref="W141:X141"/>
    <mergeCell ref="W135:X135"/>
    <mergeCell ref="U37:V37"/>
    <mergeCell ref="G205:H205"/>
    <mergeCell ref="U72:V72"/>
    <mergeCell ref="W12:X12"/>
    <mergeCell ref="L138:M138"/>
    <mergeCell ref="Y199:Z199"/>
    <mergeCell ref="W136:X136"/>
    <mergeCell ref="Y70:Z70"/>
    <mergeCell ref="AB239:AC239"/>
    <mergeCell ref="L11:M11"/>
    <mergeCell ref="U88:V88"/>
    <mergeCell ref="P173:Q173"/>
    <mergeCell ref="L67:M67"/>
    <mergeCell ref="U90:V90"/>
    <mergeCell ref="E204:F204"/>
    <mergeCell ref="W146:X146"/>
    <mergeCell ref="N110:O110"/>
    <mergeCell ref="P44:Q44"/>
    <mergeCell ref="H240:I240"/>
    <mergeCell ref="N125:O125"/>
    <mergeCell ref="L62:M62"/>
    <mergeCell ref="N127:O127"/>
    <mergeCell ref="J175:K175"/>
    <mergeCell ref="L64:M64"/>
    <mergeCell ref="Z219:AA219"/>
    <mergeCell ref="W149:X149"/>
    <mergeCell ref="N120:O120"/>
    <mergeCell ref="B256:G256"/>
    <mergeCell ref="U116:V116"/>
    <mergeCell ref="R136:T136"/>
    <mergeCell ref="Y124:Z124"/>
    <mergeCell ref="N128:O128"/>
    <mergeCell ref="P184:Q184"/>
    <mergeCell ref="U118:V118"/>
    <mergeCell ref="H258:I258"/>
    <mergeCell ref="H260:I260"/>
    <mergeCell ref="L238:M238"/>
    <mergeCell ref="Z245:AA245"/>
    <mergeCell ref="L82:M82"/>
    <mergeCell ref="U15:V15"/>
    <mergeCell ref="W202:X202"/>
    <mergeCell ref="L75:M75"/>
    <mergeCell ref="M201:N201"/>
    <mergeCell ref="V224:W224"/>
    <mergeCell ref="Y137:Z137"/>
    <mergeCell ref="B121:K121"/>
    <mergeCell ref="P116:Q116"/>
    <mergeCell ref="U33:V33"/>
    <mergeCell ref="M198:N198"/>
    <mergeCell ref="H183:I183"/>
    <mergeCell ref="AB181:AC181"/>
    <mergeCell ref="H153:K153"/>
    <mergeCell ref="W101:X101"/>
    <mergeCell ref="Z260:AA260"/>
    <mergeCell ref="J243:K243"/>
    <mergeCell ref="N63:O63"/>
    <mergeCell ref="U59:V59"/>
    <mergeCell ref="N221:O221"/>
    <mergeCell ref="U61:V61"/>
    <mergeCell ref="B45:K45"/>
    <mergeCell ref="P258:Q258"/>
    <mergeCell ref="X184:Y184"/>
    <mergeCell ref="N223:O223"/>
    <mergeCell ref="R174:S174"/>
    <mergeCell ref="R17:T17"/>
    <mergeCell ref="R53:T53"/>
    <mergeCell ref="B47:K47"/>
    <mergeCell ref="T238:U238"/>
    <mergeCell ref="B46:K46"/>
    <mergeCell ref="U56:V56"/>
    <mergeCell ref="V182:W182"/>
    <mergeCell ref="L177:M177"/>
    <mergeCell ref="B48:K48"/>
    <mergeCell ref="W145:X145"/>
    <mergeCell ref="L149:M149"/>
    <mergeCell ref="L176:M176"/>
    <mergeCell ref="U201:V201"/>
    <mergeCell ref="N241:O241"/>
    <mergeCell ref="W147:X147"/>
    <mergeCell ref="U114:V114"/>
    <mergeCell ref="B73:K73"/>
    <mergeCell ref="B180:G180"/>
    <mergeCell ref="L178:M178"/>
    <mergeCell ref="R37:T37"/>
    <mergeCell ref="L175:M175"/>
    <mergeCell ref="V220:W220"/>
    <mergeCell ref="U125:V125"/>
    <mergeCell ref="M199:N199"/>
    <mergeCell ref="R120:T120"/>
    <mergeCell ref="V222:W222"/>
    <mergeCell ref="B117:K117"/>
    <mergeCell ref="V221:W221"/>
    <mergeCell ref="U127:V127"/>
    <mergeCell ref="P53:Q53"/>
    <mergeCell ref="M200:N200"/>
    <mergeCell ref="P239:Q239"/>
    <mergeCell ref="B119:K119"/>
    <mergeCell ref="V223:W223"/>
    <mergeCell ref="Y107:Z107"/>
    <mergeCell ref="B112:K112"/>
    <mergeCell ref="M202:N202"/>
    <mergeCell ref="L135:M135"/>
    <mergeCell ref="L257:M257"/>
    <mergeCell ref="L101:M101"/>
    <mergeCell ref="Z256:AA256"/>
    <mergeCell ref="P81:Q81"/>
    <mergeCell ref="B16:K16"/>
    <mergeCell ref="W62:X62"/>
    <mergeCell ref="B18:K18"/>
    <mergeCell ref="R18:T18"/>
    <mergeCell ref="AE199:AF199"/>
    <mergeCell ref="U52:V52"/>
    <mergeCell ref="B11:K11"/>
    <mergeCell ref="N34:O34"/>
    <mergeCell ref="Y32:Z32"/>
    <mergeCell ref="X236:Y236"/>
    <mergeCell ref="N36:O36"/>
    <mergeCell ref="P92:Q92"/>
    <mergeCell ref="U199:V199"/>
    <mergeCell ref="P94:Q94"/>
    <mergeCell ref="X237:Y237"/>
    <mergeCell ref="Y21:Z21"/>
    <mergeCell ref="AB218:AC218"/>
    <mergeCell ref="R62:T62"/>
    <mergeCell ref="Y50:Z50"/>
    <mergeCell ref="B72:K72"/>
    <mergeCell ref="J225:K225"/>
    <mergeCell ref="R72:T72"/>
    <mergeCell ref="Y16:Z16"/>
    <mergeCell ref="Y52:Z52"/>
    <mergeCell ref="Y18:Z18"/>
    <mergeCell ref="N258:O258"/>
    <mergeCell ref="Y45:Z45"/>
    <mergeCell ref="X255:Y255"/>
    <mergeCell ref="B88:K88"/>
    <mergeCell ref="R88:T88"/>
    <mergeCell ref="B82:K82"/>
    <mergeCell ref="P24:Q24"/>
    <mergeCell ref="N260:O260"/>
    <mergeCell ref="W14:X14"/>
    <mergeCell ref="Z173:AA173"/>
    <mergeCell ref="V219:W219"/>
    <mergeCell ref="B235:G235"/>
    <mergeCell ref="R90:T90"/>
    <mergeCell ref="Y42:Z42"/>
    <mergeCell ref="P26:Q26"/>
    <mergeCell ref="Y103:Z103"/>
    <mergeCell ref="U124:V124"/>
    <mergeCell ref="B83:K83"/>
    <mergeCell ref="L184:M184"/>
    <mergeCell ref="B110:K110"/>
    <mergeCell ref="B85:K85"/>
    <mergeCell ref="T181:U181"/>
    <mergeCell ref="Y98:Z98"/>
    <mergeCell ref="N102:O102"/>
    <mergeCell ref="H238:I238"/>
    <mergeCell ref="B141:K141"/>
    <mergeCell ref="V245:W245"/>
    <mergeCell ref="P77:Q77"/>
    <mergeCell ref="L215:M215"/>
    <mergeCell ref="P37:Q37"/>
    <mergeCell ref="W58:X58"/>
    <mergeCell ref="I201:J201"/>
    <mergeCell ref="B136:K136"/>
    <mergeCell ref="R224:S224"/>
    <mergeCell ref="J177:K177"/>
    <mergeCell ref="B13:K13"/>
    <mergeCell ref="W60:X60"/>
    <mergeCell ref="R13:T13"/>
    <mergeCell ref="H235:I235"/>
    <mergeCell ref="Y116:Z116"/>
    <mergeCell ref="B220:G220"/>
    <mergeCell ref="U137:V137"/>
    <mergeCell ref="Y126:Z126"/>
    <mergeCell ref="W53:X53"/>
    <mergeCell ref="R15:T15"/>
    <mergeCell ref="N32:O32"/>
    <mergeCell ref="I204:J204"/>
    <mergeCell ref="Y117:Z117"/>
    <mergeCell ref="I198:J198"/>
    <mergeCell ref="W84:X84"/>
    <mergeCell ref="X181:Y181"/>
    <mergeCell ref="P96:Q96"/>
    <mergeCell ref="V258:W258"/>
    <mergeCell ref="P90:Q90"/>
    <mergeCell ref="B25:K25"/>
    <mergeCell ref="B156:K156"/>
    <mergeCell ref="V260:W260"/>
    <mergeCell ref="Y144:Z144"/>
    <mergeCell ref="X235:Y235"/>
    <mergeCell ref="B149:K149"/>
    <mergeCell ref="P91:Q91"/>
    <mergeCell ref="R33:T33"/>
    <mergeCell ref="AD242:AE242"/>
    <mergeCell ref="J221:K221"/>
    <mergeCell ref="B151:K151"/>
    <mergeCell ref="N60:O60"/>
    <mergeCell ref="AD244:AE244"/>
    <mergeCell ref="J223:K223"/>
    <mergeCell ref="P108:Q108"/>
    <mergeCell ref="R28:T28"/>
    <mergeCell ref="Y41:Z41"/>
    <mergeCell ref="P118:Q118"/>
    <mergeCell ref="N45:O45"/>
    <mergeCell ref="R180:S180"/>
    <mergeCell ref="U35:V35"/>
    <mergeCell ref="H175:I175"/>
    <mergeCell ref="R30:T30"/>
    <mergeCell ref="Y43:Z43"/>
    <mergeCell ref="R182:S182"/>
    <mergeCell ref="P109:Q109"/>
    <mergeCell ref="N47:O47"/>
    <mergeCell ref="Z169:AA169"/>
    <mergeCell ref="B170:G170"/>
    <mergeCell ref="W99:X99"/>
    <mergeCell ref="R86:T86"/>
    <mergeCell ref="L13:M13"/>
    <mergeCell ref="Y74:Z74"/>
    <mergeCell ref="H176:I176"/>
    <mergeCell ref="B172:G172"/>
    <mergeCell ref="B79:K79"/>
    <mergeCell ref="J241:K241"/>
    <mergeCell ref="Y67:Z67"/>
    <mergeCell ref="L15:M15"/>
    <mergeCell ref="H178:I178"/>
    <mergeCell ref="N71:O71"/>
    <mergeCell ref="B81:K81"/>
    <mergeCell ref="R81:T81"/>
    <mergeCell ref="Y69:Z69"/>
    <mergeCell ref="N73:O73"/>
    <mergeCell ref="B197:D197"/>
    <mergeCell ref="P137:Q137"/>
    <mergeCell ref="U54:V54"/>
    <mergeCell ref="W29:X29"/>
    <mergeCell ref="W23:X23"/>
    <mergeCell ref="R220:S220"/>
    <mergeCell ref="S202:T202"/>
    <mergeCell ref="R99:T99"/>
    <mergeCell ref="Y87:Z87"/>
    <mergeCell ref="R222:S222"/>
    <mergeCell ref="J262:K262"/>
    <mergeCell ref="B92:K92"/>
    <mergeCell ref="W24:X24"/>
    <mergeCell ref="T172:U172"/>
    <mergeCell ref="R101:T101"/>
    <mergeCell ref="R221:S221"/>
    <mergeCell ref="L53:M53"/>
    <mergeCell ref="L28:M28"/>
    <mergeCell ref="Y89:Z89"/>
    <mergeCell ref="Z179:AA179"/>
    <mergeCell ref="U105:V105"/>
    <mergeCell ref="B245:G245"/>
    <mergeCell ref="R100:T100"/>
    <mergeCell ref="B94:K94"/>
    <mergeCell ref="I200:J200"/>
    <mergeCell ref="W26:X26"/>
    <mergeCell ref="P59:Q59"/>
    <mergeCell ref="L239:M239"/>
    <mergeCell ref="Y82:Z82"/>
    <mergeCell ref="N117:O117"/>
    <mergeCell ref="U107:V107"/>
    <mergeCell ref="B125:K125"/>
    <mergeCell ref="P61:Q61"/>
    <mergeCell ref="H257:I257"/>
    <mergeCell ref="Z180:AA180"/>
    <mergeCell ref="P219:Q219"/>
    <mergeCell ref="U100:V100"/>
    <mergeCell ref="R127:T127"/>
    <mergeCell ref="L79:M79"/>
    <mergeCell ref="Y140:Z140"/>
    <mergeCell ref="U102:V102"/>
    <mergeCell ref="W42:X42"/>
    <mergeCell ref="L255:M255"/>
    <mergeCell ref="B120:K120"/>
    <mergeCell ref="W77:X77"/>
    <mergeCell ref="L81:M81"/>
    <mergeCell ref="Y141:Z141"/>
    <mergeCell ref="W37:X37"/>
    <mergeCell ref="N145:O145"/>
    <mergeCell ref="L110:M110"/>
    <mergeCell ref="N139:O139"/>
    <mergeCell ref="R24:T24"/>
    <mergeCell ref="Y143:Z143"/>
    <mergeCell ref="P114:Q114"/>
    <mergeCell ref="N16:O16"/>
    <mergeCell ref="AA199:AB199"/>
    <mergeCell ref="N174:O174"/>
    <mergeCell ref="R26:T26"/>
    <mergeCell ref="N51:O51"/>
    <mergeCell ref="W95:X95"/>
    <mergeCell ref="B255:G255"/>
    <mergeCell ref="J245:K245"/>
    <mergeCell ref="U32:V32"/>
    <mergeCell ref="T236:U236"/>
    <mergeCell ref="W97:X97"/>
    <mergeCell ref="L92:M92"/>
    <mergeCell ref="R173:S173"/>
    <mergeCell ref="W96:X96"/>
    <mergeCell ref="N67:O67"/>
    <mergeCell ref="W90:X90"/>
    <mergeCell ref="G204:H204"/>
    <mergeCell ref="R52:T52"/>
    <mergeCell ref="L94:M94"/>
    <mergeCell ref="X216:Y216"/>
    <mergeCell ref="P102:Q102"/>
    <mergeCell ref="T237:U237"/>
    <mergeCell ref="N69:O69"/>
    <mergeCell ref="X218:Y218"/>
    <mergeCell ref="L182:M182"/>
    <mergeCell ref="P133:Q133"/>
    <mergeCell ref="P127:Q127"/>
    <mergeCell ref="U50:V50"/>
    <mergeCell ref="U44:V44"/>
    <mergeCell ref="P135:Q135"/>
    <mergeCell ref="W116:X116"/>
    <mergeCell ref="B179:G179"/>
    <mergeCell ref="W108:X108"/>
    <mergeCell ref="P128:Q128"/>
    <mergeCell ref="R70:T70"/>
    <mergeCell ref="J258:K258"/>
    <mergeCell ref="U45:V45"/>
    <mergeCell ref="T255:U255"/>
    <mergeCell ref="B63:K63"/>
    <mergeCell ref="V171:W171"/>
    <mergeCell ref="W20:X20"/>
    <mergeCell ref="L24:M24"/>
    <mergeCell ref="J260:K260"/>
    <mergeCell ref="L18:M18"/>
    <mergeCell ref="N238:O238"/>
    <mergeCell ref="V173:W173"/>
    <mergeCell ref="W22:X22"/>
    <mergeCell ref="Y78:Z78"/>
    <mergeCell ref="L26:M26"/>
    <mergeCell ref="N82:O82"/>
    <mergeCell ref="AB237:AC237"/>
    <mergeCell ref="U103:V103"/>
    <mergeCell ref="N240:O240"/>
    <mergeCell ref="W134:X134"/>
    <mergeCell ref="Y80:Z80"/>
    <mergeCell ref="Z176:AA176"/>
    <mergeCell ref="Z170:AA170"/>
    <mergeCell ref="R244:S244"/>
    <mergeCell ref="P146:Q146"/>
    <mergeCell ref="R123:T123"/>
    <mergeCell ref="P181:Q181"/>
    <mergeCell ref="Z172:AA172"/>
    <mergeCell ref="U98:V98"/>
    <mergeCell ref="B116:K116"/>
    <mergeCell ref="B236:G236"/>
    <mergeCell ref="R245:S245"/>
    <mergeCell ref="L77:M77"/>
    <mergeCell ref="AB236:AC236"/>
    <mergeCell ref="H215:I215"/>
    <mergeCell ref="N108:O108"/>
    <mergeCell ref="R124:T124"/>
    <mergeCell ref="B118:K118"/>
    <mergeCell ref="R118:T118"/>
    <mergeCell ref="Y106:Z106"/>
    <mergeCell ref="W33:X33"/>
    <mergeCell ref="N141:O141"/>
    <mergeCell ref="L37:M37"/>
    <mergeCell ref="R126:T126"/>
    <mergeCell ref="W35:X35"/>
    <mergeCell ref="N143:O143"/>
    <mergeCell ref="N136:O136"/>
    <mergeCell ref="U126:V126"/>
    <mergeCell ref="W66:X66"/>
    <mergeCell ref="H241:I241"/>
    <mergeCell ref="W59:X59"/>
    <mergeCell ref="H243:I243"/>
    <mergeCell ref="U117:V117"/>
    <mergeCell ref="L63:M63"/>
    <mergeCell ref="G200:H200"/>
    <mergeCell ref="W61:X61"/>
    <mergeCell ref="L96:M96"/>
    <mergeCell ref="R258:S258"/>
    <mergeCell ref="L90:M90"/>
    <mergeCell ref="T174:U174"/>
    <mergeCell ref="R137:T137"/>
    <mergeCell ref="G202:H202"/>
    <mergeCell ref="R260:S260"/>
    <mergeCell ref="V238:W238"/>
    <mergeCell ref="U144:V144"/>
    <mergeCell ref="L91:M91"/>
    <mergeCell ref="P256:Q256"/>
    <mergeCell ref="P222:Q222"/>
    <mergeCell ref="U145:V145"/>
    <mergeCell ref="L116:M116"/>
    <mergeCell ref="U139:V139"/>
    <mergeCell ref="W201:X201"/>
    <mergeCell ref="W114:X114"/>
    <mergeCell ref="U16:V16"/>
    <mergeCell ref="L118:M118"/>
    <mergeCell ref="N180:O180"/>
    <mergeCell ref="N182:O182"/>
    <mergeCell ref="L147:M147"/>
    <mergeCell ref="L109:M109"/>
    <mergeCell ref="V169:W169"/>
    <mergeCell ref="Y49:Z49"/>
    <mergeCell ref="W130:X130"/>
    <mergeCell ref="U67:V67"/>
    <mergeCell ref="W132:X132"/>
    <mergeCell ref="N79:O79"/>
    <mergeCell ref="U69:V69"/>
    <mergeCell ref="H184:I184"/>
    <mergeCell ref="X222:Y222"/>
    <mergeCell ref="W133:X133"/>
    <mergeCell ref="W127:X127"/>
    <mergeCell ref="L137:M137"/>
    <mergeCell ref="V180:W180"/>
    <mergeCell ref="O200:P200"/>
    <mergeCell ref="Y51:Z51"/>
    <mergeCell ref="O202:P202"/>
    <mergeCell ref="U87:V87"/>
    <mergeCell ref="H237:I237"/>
    <mergeCell ref="P172:Q172"/>
    <mergeCell ref="U89:V89"/>
    <mergeCell ref="H239:I239"/>
    <mergeCell ref="L59:M59"/>
    <mergeCell ref="U82:V82"/>
    <mergeCell ref="Y33:Z33"/>
    <mergeCell ref="L61:M61"/>
    <mergeCell ref="Z216:AA216"/>
    <mergeCell ref="L219:M219"/>
    <mergeCell ref="Y121:Z121"/>
    <mergeCell ref="Z241:AA241"/>
    <mergeCell ref="P41:Q41"/>
    <mergeCell ref="X178:Y178"/>
    <mergeCell ref="Z243:AA243"/>
    <mergeCell ref="U141:V141"/>
    <mergeCell ref="U135:V135"/>
    <mergeCell ref="U12:V12"/>
    <mergeCell ref="U143:V143"/>
    <mergeCell ref="L114:M114"/>
    <mergeCell ref="Z244:AA244"/>
    <mergeCell ref="W199:X199"/>
    <mergeCell ref="J174:K174"/>
    <mergeCell ref="W70:X70"/>
    <mergeCell ref="N178:O178"/>
    <mergeCell ref="L143:M143"/>
    <mergeCell ref="B29:K29"/>
    <mergeCell ref="P236:Q236"/>
    <mergeCell ref="U197:V197"/>
    <mergeCell ref="P54:Q54"/>
    <mergeCell ref="N173:O173"/>
    <mergeCell ref="T216:U216"/>
    <mergeCell ref="B24:K24"/>
    <mergeCell ref="P237:Q237"/>
    <mergeCell ref="Z255:AA255"/>
    <mergeCell ref="B32:K32"/>
    <mergeCell ref="B26:K26"/>
    <mergeCell ref="R32:T32"/>
    <mergeCell ref="U25:V25"/>
    <mergeCell ref="L133:M133"/>
    <mergeCell ref="L127:M127"/>
    <mergeCell ref="T219:U219"/>
    <mergeCell ref="B27:K27"/>
    <mergeCell ref="L128:M128"/>
    <mergeCell ref="B42:K42"/>
    <mergeCell ref="N220:O220"/>
    <mergeCell ref="R171:S171"/>
    <mergeCell ref="B44:K44"/>
    <mergeCell ref="N222:O222"/>
    <mergeCell ref="J238:K238"/>
    <mergeCell ref="R16:T16"/>
    <mergeCell ref="B153:F153"/>
    <mergeCell ref="B37:K37"/>
    <mergeCell ref="P110:Q110"/>
    <mergeCell ref="J240:K240"/>
    <mergeCell ref="R45:T45"/>
    <mergeCell ref="L146:M146"/>
    <mergeCell ref="Y58:Z58"/>
    <mergeCell ref="R47:T47"/>
    <mergeCell ref="AC195:AD195"/>
    <mergeCell ref="P39:Q39"/>
    <mergeCell ref="AC197:AD197"/>
    <mergeCell ref="B96:K96"/>
    <mergeCell ref="U106:V106"/>
    <mergeCell ref="P32:Q32"/>
    <mergeCell ref="Y84:Z84"/>
    <mergeCell ref="AB216:AC216"/>
    <mergeCell ref="Z181:AA181"/>
    <mergeCell ref="B98:K98"/>
    <mergeCell ref="Y86:Z86"/>
    <mergeCell ref="V217:W217"/>
    <mergeCell ref="AB245:AC245"/>
    <mergeCell ref="P50:Q50"/>
    <mergeCell ref="P25:Q25"/>
    <mergeCell ref="B124:K124"/>
    <mergeCell ref="P60:Q60"/>
    <mergeCell ref="R116:T116"/>
    <mergeCell ref="P52:Q52"/>
    <mergeCell ref="P174:Q174"/>
    <mergeCell ref="Z171:AA171"/>
    <mergeCell ref="B126:K126"/>
    <mergeCell ref="B109:K109"/>
    <mergeCell ref="T180:U180"/>
    <mergeCell ref="W41:X41"/>
    <mergeCell ref="R238:S238"/>
    <mergeCell ref="R117:T117"/>
    <mergeCell ref="T182:U182"/>
    <mergeCell ref="L256:M256"/>
    <mergeCell ref="J183:K183"/>
    <mergeCell ref="Y99:Z99"/>
    <mergeCell ref="N13:O13"/>
    <mergeCell ref="R119:T119"/>
    <mergeCell ref="S201:T201"/>
    <mergeCell ref="P78:Q78"/>
    <mergeCell ref="Y101:Z101"/>
    <mergeCell ref="P71:Q71"/>
    <mergeCell ref="AD235:AE235"/>
    <mergeCell ref="B137:K137"/>
    <mergeCell ref="R169:S169"/>
    <mergeCell ref="W25:X25"/>
    <mergeCell ref="R12:T12"/>
    <mergeCell ref="U49:V49"/>
    <mergeCell ref="AE198:AF198"/>
    <mergeCell ref="Y30:Z30"/>
    <mergeCell ref="B41:K41"/>
    <mergeCell ref="R41:T41"/>
    <mergeCell ref="Y29:Z29"/>
    <mergeCell ref="N58:O58"/>
    <mergeCell ref="N33:O33"/>
    <mergeCell ref="R43:T43"/>
    <mergeCell ref="V170:W170"/>
    <mergeCell ref="B66:K66"/>
    <mergeCell ref="N244:O244"/>
    <mergeCell ref="Y31:Z31"/>
    <mergeCell ref="K199:L199"/>
    <mergeCell ref="L181:M181"/>
    <mergeCell ref="V172:W172"/>
    <mergeCell ref="AB179:AC179"/>
    <mergeCell ref="B67:K67"/>
    <mergeCell ref="R67:T67"/>
    <mergeCell ref="B61:K61"/>
    <mergeCell ref="K200:L200"/>
    <mergeCell ref="R59:T59"/>
    <mergeCell ref="U51:V51"/>
    <mergeCell ref="W107:X107"/>
    <mergeCell ref="B69:K69"/>
    <mergeCell ref="R69:T69"/>
    <mergeCell ref="K202:L202"/>
    <mergeCell ref="R25:T25"/>
    <mergeCell ref="L170:M170"/>
    <mergeCell ref="N86:O86"/>
    <mergeCell ref="J224:K224"/>
    <mergeCell ref="T256:U256"/>
    <mergeCell ref="N255:O255"/>
    <mergeCell ref="B171:G171"/>
    <mergeCell ref="B64:K64"/>
    <mergeCell ref="N81:O81"/>
    <mergeCell ref="P21:Q21"/>
    <mergeCell ref="Y44:Z44"/>
    <mergeCell ref="P145:Q145"/>
    <mergeCell ref="P23:Q23"/>
    <mergeCell ref="H219:I219"/>
    <mergeCell ref="B122:K122"/>
    <mergeCell ref="P16:Q16"/>
    <mergeCell ref="P147:Q147"/>
    <mergeCell ref="L41:M41"/>
    <mergeCell ref="AB225:AC225"/>
    <mergeCell ref="B200:D200"/>
    <mergeCell ref="T178:U178"/>
    <mergeCell ref="R82:T82"/>
    <mergeCell ref="P18:Q18"/>
    <mergeCell ref="W39:X39"/>
    <mergeCell ref="L34:M34"/>
    <mergeCell ref="Y95:Z95"/>
    <mergeCell ref="V243:W243"/>
    <mergeCell ref="N99:O99"/>
    <mergeCell ref="V242:W242"/>
    <mergeCell ref="V236:W236"/>
    <mergeCell ref="L36:M36"/>
    <mergeCell ref="Y97:Z97"/>
    <mergeCell ref="B195:D195"/>
  </mergeCells>
  <pageMargins left="0.7086614173228347" right="0.7086614173228347" top="0.7480314960629921" bottom="0.7480314960629921" header="0.3149606299212598" footer="0.3149606299212598"/>
  <pageSetup orientation="landscape" paperSize="9" scale="67" horizontalDpi="300" verticalDpi="300"/>
  <headerFooter>
    <oddHeader/>
    <oddFooter>&amp;R&amp;A - &amp;P</oddFooter>
    <evenHeader/>
    <evenFooter/>
    <firstHeader/>
    <firstFooter/>
  </headerFooter>
  <rowBreaks count="5" manualBreakCount="5">
    <brk id="166" min="0" max="16383" man="1"/>
    <brk id="191" min="0" max="16383" man="1"/>
    <brk id="212" min="0" max="16383" man="1"/>
    <brk id="232" min="0" max="16383" man="1"/>
    <brk id="252" min="0" max="16383" man="1"/>
  </rowBreaks>
</worksheet>
</file>

<file path=xl/worksheets/sheet7.xml><?xml version="1.0" encoding="utf-8"?>
<worksheet xmlns="http://schemas.openxmlformats.org/spreadsheetml/2006/main">
  <sheetPr codeName="Sayfa8">
    <tabColor theme="0"/>
    <outlinePr summaryBelow="1" summaryRight="1"/>
    <pageSetUpPr/>
  </sheetPr>
  <dimension ref="A1:AI70"/>
  <sheetViews>
    <sheetView showGridLines="0" showRowColHeaders="0" showZeros="0" zoomScale="80" zoomScaleNormal="80" zoomScaleSheetLayoutView="85" zoomScalePageLayoutView="70" workbookViewId="0">
      <selection activeCell="N21" sqref="N21:O21"/>
    </sheetView>
  </sheetViews>
  <sheetFormatPr baseColWidth="8" defaultColWidth="0" defaultRowHeight="15" zeroHeight="1"/>
  <cols>
    <col width="9.7109375" customWidth="1" style="321" min="1" max="1"/>
    <col width="5.7109375" customWidth="1" style="321" min="2" max="35"/>
    <col width="1" customWidth="1" style="321" min="36" max="36"/>
    <col hidden="1" width="5.7109375" customWidth="1" style="321" min="37" max="80"/>
    <col hidden="1" width="8.85546875" customWidth="1" style="321" min="81" max="16384"/>
  </cols>
  <sheetData>
    <row r="1" ht="3.75" customFormat="1" customHeight="1" s="52">
      <c r="A1" s="12" t="n"/>
    </row>
    <row r="2" ht="3.7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39" t="n"/>
      <c r="AC2" s="39" t="n"/>
      <c r="AD2" s="39" t="n"/>
      <c r="AE2" s="40" t="n"/>
      <c r="AF2" s="40" t="n"/>
      <c r="AG2" s="40" t="n"/>
      <c r="AH2" s="40" t="n"/>
      <c r="AI2" s="40" t="n"/>
    </row>
    <row r="3" ht="3.7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52" t="n"/>
      <c r="AH3" s="52" t="n"/>
      <c r="AI3" s="52" t="n"/>
    </row>
    <row r="4" ht="3.7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42" t="n"/>
      <c r="AH4" s="42" t="n"/>
      <c r="AI4" s="42" t="n"/>
    </row>
    <row r="5" ht="3.7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52" t="n"/>
      <c r="AH5" s="52" t="n"/>
      <c r="AI5" s="52" t="n"/>
    </row>
    <row r="6" ht="3.7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52" t="n"/>
      <c r="AH6" s="52" t="n"/>
      <c r="AI6" s="52" t="n"/>
    </row>
    <row r="7" ht="3.7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52" t="n"/>
      <c r="AH7" s="52" t="n"/>
      <c r="AI7" s="52" t="n"/>
    </row>
    <row r="8" ht="3.75" customFormat="1" customHeight="1" s="52">
      <c r="A8" s="12" t="n"/>
      <c r="B8" s="52" t="n"/>
      <c r="C8" s="52" t="n"/>
      <c r="D8" s="52" t="n"/>
      <c r="E8" s="52" t="n"/>
      <c r="F8" s="52" t="n"/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  <c r="Y8" s="52" t="n"/>
      <c r="Z8" s="52" t="n"/>
      <c r="AA8" s="52" t="n"/>
      <c r="AB8" s="52" t="n"/>
      <c r="AC8" s="52" t="n"/>
      <c r="AD8" s="52" t="n"/>
      <c r="AE8" s="52" t="n"/>
      <c r="AF8" s="52" t="n"/>
      <c r="AG8" s="52" t="n"/>
      <c r="AH8" s="52" t="n"/>
      <c r="AI8" s="52" t="n"/>
    </row>
    <row r="10">
      <c r="B10" s="563" t="inlineStr">
        <is>
          <t>Tablo 14.1-Tahmini Gelir-Gider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3" t="n"/>
      <c r="AE10" s="773" t="n"/>
      <c r="AF10" s="773" t="n"/>
      <c r="AG10" s="774" t="n"/>
      <c r="AH10" s="51" t="n"/>
      <c r="AI10" s="51" t="n"/>
    </row>
    <row r="11" ht="28.5" customHeight="1" s="321">
      <c r="B11" s="656" t="inlineStr">
        <is>
          <t>Endeksler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VeriGiris!I35</f>
        <v/>
      </c>
      <c r="M11" s="774" t="n"/>
      <c r="N11" s="607">
        <f>VeriGiris!K35</f>
        <v/>
      </c>
      <c r="O11" s="774" t="n"/>
      <c r="P11" s="607">
        <f>VeriGiris!M35</f>
        <v/>
      </c>
      <c r="Q11" s="774" t="n"/>
      <c r="R11" s="607">
        <f>VeriGiris!O35</f>
        <v/>
      </c>
      <c r="S11" s="774" t="n"/>
      <c r="T11" s="607">
        <f>VeriGiris!Q35</f>
        <v/>
      </c>
      <c r="U11" s="774" t="n"/>
      <c r="V11" s="607">
        <f>VeriGiris!S35</f>
        <v/>
      </c>
      <c r="W11" s="774" t="n"/>
      <c r="X11" s="607">
        <f>VeriGiris!U35</f>
        <v/>
      </c>
      <c r="Y11" s="774" t="n"/>
      <c r="Z11" s="607">
        <f>VeriGiris!W35</f>
        <v/>
      </c>
      <c r="AA11" s="774" t="n"/>
      <c r="AB11" s="607">
        <f>VeriGiris!Y35</f>
        <v/>
      </c>
      <c r="AC11" s="774" t="n"/>
      <c r="AD11" s="607">
        <f>VeriGiris!AA35</f>
        <v/>
      </c>
      <c r="AE11" s="774" t="n"/>
      <c r="AF11" s="607">
        <f>VeriGiris!AC35</f>
        <v/>
      </c>
      <c r="AG11" s="774" t="n"/>
      <c r="AH11" s="763" t="n"/>
    </row>
    <row r="12" ht="15" customHeight="1" s="321">
      <c r="B12" s="761" t="inlineStr">
        <is>
          <t>I. Gelirler  (1+2+3)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739">
        <f>SUM(L13:M15)</f>
        <v/>
      </c>
      <c r="M12" s="774" t="n"/>
      <c r="N12" s="739">
        <f>SUM(N13:O15)</f>
        <v/>
      </c>
      <c r="O12" s="774" t="n"/>
      <c r="P12" s="739">
        <f>SUM(P13:Q15)</f>
        <v/>
      </c>
      <c r="Q12" s="774" t="n"/>
      <c r="R12" s="739">
        <f>SUM(R13:S15)</f>
        <v/>
      </c>
      <c r="S12" s="774" t="n"/>
      <c r="T12" s="739">
        <f>SUM(T13:U15)</f>
        <v/>
      </c>
      <c r="U12" s="774" t="n"/>
      <c r="V12" s="739">
        <f>SUM(V13:W15)</f>
        <v/>
      </c>
      <c r="W12" s="774" t="n"/>
      <c r="X12" s="739">
        <f>SUM(X13:Y15)</f>
        <v/>
      </c>
      <c r="Y12" s="774" t="n"/>
      <c r="Z12" s="739">
        <f>SUM(Z13:AA15)</f>
        <v/>
      </c>
      <c r="AA12" s="774" t="n"/>
      <c r="AB12" s="739">
        <f>SUM(AB13:AC15)</f>
        <v/>
      </c>
      <c r="AC12" s="774" t="n"/>
      <c r="AD12" s="739">
        <f>SUM(AD13:AE15)</f>
        <v/>
      </c>
      <c r="AE12" s="774" t="n"/>
      <c r="AF12" s="739">
        <f>SUM(AF13:AG15)</f>
        <v/>
      </c>
      <c r="AG12" s="774" t="n"/>
      <c r="AH12" s="762" t="n"/>
      <c r="AI12" s="83" t="n"/>
    </row>
    <row r="13" ht="15" customHeight="1" s="321">
      <c r="B13" s="751" t="inlineStr">
        <is>
          <t xml:space="preserve">    1.Satışlardan Elde Edilen Gelir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749">
        <f>Gelirler!I93</f>
        <v/>
      </c>
      <c r="M13" s="774" t="n"/>
      <c r="N13" s="749">
        <f>Gelirler!K93</f>
        <v/>
      </c>
      <c r="O13" s="774" t="n"/>
      <c r="P13" s="749">
        <f>Gelirler!M93</f>
        <v/>
      </c>
      <c r="Q13" s="774" t="n"/>
      <c r="R13" s="749">
        <f>Gelirler!O93</f>
        <v/>
      </c>
      <c r="S13" s="774" t="n"/>
      <c r="T13" s="749">
        <f>Gelirler!Q93</f>
        <v/>
      </c>
      <c r="U13" s="774" t="n"/>
      <c r="V13" s="749">
        <f>Gelirler!S93</f>
        <v/>
      </c>
      <c r="W13" s="774" t="n"/>
      <c r="X13" s="749">
        <f>Gelirler!U93</f>
        <v/>
      </c>
      <c r="Y13" s="774" t="n"/>
      <c r="Z13" s="749">
        <f>Gelirler!W93</f>
        <v/>
      </c>
      <c r="AA13" s="774" t="n"/>
      <c r="AB13" s="749">
        <f>Gelirler!Y93</f>
        <v/>
      </c>
      <c r="AC13" s="774" t="n"/>
      <c r="AD13" s="749">
        <f>Gelirler!AA93</f>
        <v/>
      </c>
      <c r="AE13" s="774" t="n"/>
      <c r="AF13" s="749">
        <f>Gelirler!AC93</f>
        <v/>
      </c>
      <c r="AG13" s="774" t="n"/>
      <c r="AH13" s="762" t="n"/>
      <c r="AI13" s="83" t="n"/>
    </row>
    <row r="14" ht="15" customHeight="1" s="321">
      <c r="B14" s="751" t="inlineStr">
        <is>
          <t xml:space="preserve">   2. Diğer Gelirler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749">
        <f>Gelirler!I125</f>
        <v/>
      </c>
      <c r="M14" s="774" t="n"/>
      <c r="N14" s="749">
        <f>Gelirler!K125</f>
        <v/>
      </c>
      <c r="O14" s="774" t="n"/>
      <c r="P14" s="749">
        <f>Gelirler!M125</f>
        <v/>
      </c>
      <c r="Q14" s="774" t="n"/>
      <c r="R14" s="749">
        <f>Gelirler!O125</f>
        <v/>
      </c>
      <c r="S14" s="774" t="n"/>
      <c r="T14" s="749">
        <f>Gelirler!Q125</f>
        <v/>
      </c>
      <c r="U14" s="774" t="n"/>
      <c r="V14" s="749">
        <f>Gelirler!S125</f>
        <v/>
      </c>
      <c r="W14" s="774" t="n"/>
      <c r="X14" s="749">
        <f>Gelirler!U125</f>
        <v/>
      </c>
      <c r="Y14" s="774" t="n"/>
      <c r="Z14" s="749">
        <f>Gelirler!W125</f>
        <v/>
      </c>
      <c r="AA14" s="774" t="n"/>
      <c r="AB14" s="749">
        <f>Gelirler!Y125</f>
        <v/>
      </c>
      <c r="AC14" s="774" t="n"/>
      <c r="AD14" s="749">
        <f>Gelirler!AA125</f>
        <v/>
      </c>
      <c r="AE14" s="774" t="n"/>
      <c r="AF14" s="749">
        <f>Gelirler!AC125</f>
        <v/>
      </c>
      <c r="AG14" s="774" t="n"/>
      <c r="AH14" s="762" t="n"/>
      <c r="AI14" s="83" t="n"/>
    </row>
    <row r="15">
      <c r="B15" s="751" t="inlineStr">
        <is>
          <t xml:space="preserve">   3. IPARD Destek Miktarı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749" t="n"/>
      <c r="M15" s="774" t="n"/>
      <c r="N15" s="749">
        <f>VeriGiris!AE7+VeriGiris!AE8+VeriGiris!AE9</f>
        <v/>
      </c>
      <c r="O15" s="774" t="n"/>
      <c r="P15" s="749" t="n"/>
      <c r="Q15" s="774" t="n"/>
      <c r="R15" s="749" t="n"/>
      <c r="S15" s="774" t="n"/>
      <c r="T15" s="749" t="n"/>
      <c r="U15" s="774" t="n"/>
      <c r="V15" s="749" t="n"/>
      <c r="W15" s="774" t="n"/>
      <c r="X15" s="749" t="n"/>
      <c r="Y15" s="774" t="n"/>
      <c r="Z15" s="749" t="n"/>
      <c r="AA15" s="774" t="n"/>
      <c r="AB15" s="749" t="n"/>
      <c r="AC15" s="774" t="n"/>
      <c r="AD15" s="749" t="n"/>
      <c r="AE15" s="774" t="n"/>
      <c r="AF15" s="749" t="n"/>
      <c r="AG15" s="774" t="n"/>
      <c r="AH15" s="762" t="n"/>
      <c r="AI15" s="83" t="n"/>
    </row>
    <row r="16" ht="7.5" customHeight="1" s="321">
      <c r="B16" s="748" t="n"/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16" t="n"/>
      <c r="M16" s="774" t="n"/>
      <c r="N16" s="616" t="n"/>
      <c r="O16" s="774" t="n"/>
      <c r="P16" s="616" t="n"/>
      <c r="Q16" s="774" t="n"/>
      <c r="R16" s="616" t="n"/>
      <c r="S16" s="774" t="n"/>
      <c r="T16" s="616" t="n"/>
      <c r="U16" s="774" t="n"/>
      <c r="V16" s="616" t="n"/>
      <c r="W16" s="774" t="n"/>
      <c r="X16" s="616" t="n"/>
      <c r="Y16" s="774" t="n"/>
      <c r="Z16" s="616" t="n"/>
      <c r="AA16" s="774" t="n"/>
      <c r="AB16" s="616" t="n"/>
      <c r="AC16" s="774" t="n"/>
      <c r="AD16" s="616" t="n"/>
      <c r="AE16" s="774" t="n"/>
      <c r="AF16" s="616" t="n"/>
      <c r="AG16" s="774" t="n"/>
      <c r="AH16" s="762" t="n"/>
      <c r="AI16" s="83" t="n"/>
    </row>
    <row r="17" ht="15" customHeight="1" s="321">
      <c r="B17" s="761" t="inlineStr">
        <is>
          <t>II. Giderler (4+5+6+7+8+9+10+11)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739">
        <f>SUM(L18:M25)</f>
        <v/>
      </c>
      <c r="M17" s="774" t="n"/>
      <c r="N17" s="739">
        <f>SUM(N18:O25)</f>
        <v/>
      </c>
      <c r="O17" s="774" t="n"/>
      <c r="P17" s="739">
        <f>SUM(P18:Q25)</f>
        <v/>
      </c>
      <c r="Q17" s="774" t="n"/>
      <c r="R17" s="739">
        <f>SUM(R18:S25)</f>
        <v/>
      </c>
      <c r="S17" s="774" t="n"/>
      <c r="T17" s="739">
        <f>SUM(T18:U25)</f>
        <v/>
      </c>
      <c r="U17" s="774" t="n"/>
      <c r="V17" s="739">
        <f>SUM(V18:W25)</f>
        <v/>
      </c>
      <c r="W17" s="774" t="n"/>
      <c r="X17" s="739">
        <f>SUM(X18:Y25)</f>
        <v/>
      </c>
      <c r="Y17" s="774" t="n"/>
      <c r="Z17" s="739">
        <f>SUM(Z18:AA25)</f>
        <v/>
      </c>
      <c r="AA17" s="774" t="n"/>
      <c r="AB17" s="739">
        <f>SUM(AB18:AC25)</f>
        <v/>
      </c>
      <c r="AC17" s="774" t="n"/>
      <c r="AD17" s="739">
        <f>SUM(AD18:AE25)</f>
        <v/>
      </c>
      <c r="AE17" s="774" t="n"/>
      <c r="AF17" s="739">
        <f>SUM(AF18:AG25)</f>
        <v/>
      </c>
      <c r="AG17" s="774" t="n"/>
      <c r="AH17" s="762" t="n"/>
      <c r="AI17" s="83" t="n"/>
    </row>
    <row r="18">
      <c r="B18" s="751" t="inlineStr">
        <is>
          <t xml:space="preserve">   4. Direkt İlk Madde ve Malzeme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749">
        <f>Giderler!H170</f>
        <v/>
      </c>
      <c r="M18" s="774" t="n"/>
      <c r="N18" s="749">
        <f>Giderler!J170</f>
        <v/>
      </c>
      <c r="O18" s="774" t="n"/>
      <c r="P18" s="749">
        <f>Giderler!L170</f>
        <v/>
      </c>
      <c r="Q18" s="774" t="n"/>
      <c r="R18" s="749">
        <f>Giderler!N170</f>
        <v/>
      </c>
      <c r="S18" s="774" t="n"/>
      <c r="T18" s="749">
        <f>Giderler!P170</f>
        <v/>
      </c>
      <c r="U18" s="774" t="n"/>
      <c r="V18" s="749">
        <f>Giderler!R170</f>
        <v/>
      </c>
      <c r="W18" s="774" t="n"/>
      <c r="X18" s="749">
        <f>Giderler!T170</f>
        <v/>
      </c>
      <c r="Y18" s="774" t="n"/>
      <c r="Z18" s="749">
        <f>Giderler!V170</f>
        <v/>
      </c>
      <c r="AA18" s="774" t="n"/>
      <c r="AB18" s="749">
        <f>Giderler!X170</f>
        <v/>
      </c>
      <c r="AC18" s="774" t="n"/>
      <c r="AD18" s="749">
        <f>Giderler!Z170</f>
        <v/>
      </c>
      <c r="AE18" s="774" t="n"/>
      <c r="AF18" s="749">
        <f>Giderler!AB170</f>
        <v/>
      </c>
      <c r="AG18" s="774" t="n"/>
      <c r="AH18" s="762" t="n"/>
      <c r="AI18" s="83" t="n"/>
    </row>
    <row r="19">
      <c r="B19" s="751" t="inlineStr">
        <is>
          <t xml:space="preserve">   5.Direkt İşçilik Giderleri 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749">
        <f>Giderler!H174</f>
        <v/>
      </c>
      <c r="M19" s="774" t="n"/>
      <c r="N19" s="749">
        <f>Giderler!J174</f>
        <v/>
      </c>
      <c r="O19" s="774" t="n"/>
      <c r="P19" s="749">
        <f>Giderler!L174</f>
        <v/>
      </c>
      <c r="Q19" s="774" t="n"/>
      <c r="R19" s="749">
        <f>Giderler!N174</f>
        <v/>
      </c>
      <c r="S19" s="774" t="n"/>
      <c r="T19" s="749">
        <f>Giderler!P174</f>
        <v/>
      </c>
      <c r="U19" s="774" t="n"/>
      <c r="V19" s="749">
        <f>Giderler!R174</f>
        <v/>
      </c>
      <c r="W19" s="774" t="n"/>
      <c r="X19" s="749">
        <f>Giderler!T174</f>
        <v/>
      </c>
      <c r="Y19" s="774" t="n"/>
      <c r="Z19" s="749">
        <f>Giderler!V174</f>
        <v/>
      </c>
      <c r="AA19" s="774" t="n"/>
      <c r="AB19" s="749">
        <f>Giderler!X174</f>
        <v/>
      </c>
      <c r="AC19" s="774" t="n"/>
      <c r="AD19" s="749">
        <f>Giderler!Z174</f>
        <v/>
      </c>
      <c r="AE19" s="774" t="n"/>
      <c r="AF19" s="749">
        <f>Giderler!AB174</f>
        <v/>
      </c>
      <c r="AG19" s="774" t="n"/>
      <c r="AH19" s="762" t="n"/>
      <c r="AI19" s="83" t="n"/>
    </row>
    <row r="20">
      <c r="B20" s="751" t="inlineStr">
        <is>
          <t xml:space="preserve">   6.Genel Üretim Gideleri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749">
        <f>Giderler!H175</f>
        <v/>
      </c>
      <c r="M20" s="774" t="n"/>
      <c r="N20" s="749">
        <f>Giderler!J175</f>
        <v/>
      </c>
      <c r="O20" s="774" t="n"/>
      <c r="P20" s="749">
        <f>Giderler!L175</f>
        <v/>
      </c>
      <c r="Q20" s="774" t="n"/>
      <c r="R20" s="749">
        <f>Giderler!N175</f>
        <v/>
      </c>
      <c r="S20" s="774" t="n"/>
      <c r="T20" s="749">
        <f>Giderler!P175</f>
        <v/>
      </c>
      <c r="U20" s="774" t="n"/>
      <c r="V20" s="749">
        <f>Giderler!R175</f>
        <v/>
      </c>
      <c r="W20" s="774" t="n"/>
      <c r="X20" s="749">
        <f>Giderler!T175</f>
        <v/>
      </c>
      <c r="Y20" s="774" t="n"/>
      <c r="Z20" s="749">
        <f>Giderler!V175</f>
        <v/>
      </c>
      <c r="AA20" s="774" t="n"/>
      <c r="AB20" s="749">
        <f>Giderler!X175</f>
        <v/>
      </c>
      <c r="AC20" s="774" t="n"/>
      <c r="AD20" s="749">
        <f>Giderler!Z175</f>
        <v/>
      </c>
      <c r="AE20" s="774" t="n"/>
      <c r="AF20" s="749">
        <f>Giderler!AB175</f>
        <v/>
      </c>
      <c r="AG20" s="774" t="n"/>
      <c r="AH20" s="762" t="n"/>
      <c r="AI20" s="83" t="n"/>
    </row>
    <row r="21">
      <c r="B21" s="751" t="inlineStr">
        <is>
          <t xml:space="preserve">   7.Genel Yönetim Giderleri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749">
        <f>Giderler!H225</f>
        <v/>
      </c>
      <c r="M21" s="774" t="n"/>
      <c r="N21" s="749">
        <f>Giderler!J225</f>
        <v/>
      </c>
      <c r="O21" s="774" t="n"/>
      <c r="P21" s="749">
        <f>Giderler!L225</f>
        <v/>
      </c>
      <c r="Q21" s="774" t="n"/>
      <c r="R21" s="749">
        <f>Giderler!N225</f>
        <v/>
      </c>
      <c r="S21" s="774" t="n"/>
      <c r="T21" s="749">
        <f>Giderler!P225</f>
        <v/>
      </c>
      <c r="U21" s="774" t="n"/>
      <c r="V21" s="749">
        <f>Giderler!R225</f>
        <v/>
      </c>
      <c r="W21" s="774" t="n"/>
      <c r="X21" s="749">
        <f>Giderler!T225</f>
        <v/>
      </c>
      <c r="Y21" s="774" t="n"/>
      <c r="Z21" s="749">
        <f>Giderler!V225</f>
        <v/>
      </c>
      <c r="AA21" s="774" t="n"/>
      <c r="AB21" s="749">
        <f>Giderler!X225</f>
        <v/>
      </c>
      <c r="AC21" s="774" t="n"/>
      <c r="AD21" s="749">
        <f>Giderler!Z225</f>
        <v/>
      </c>
      <c r="AE21" s="774" t="n"/>
      <c r="AF21" s="749">
        <f>Giderler!AB225</f>
        <v/>
      </c>
      <c r="AG21" s="774" t="n"/>
      <c r="AH21" s="762" t="n"/>
      <c r="AI21" s="83" t="n"/>
    </row>
    <row r="22">
      <c r="B22" s="751" t="inlineStr">
        <is>
          <t xml:space="preserve">   8.Pazarlama Satış Dağıtım Giderleri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749">
        <f>Giderler!H245</f>
        <v/>
      </c>
      <c r="M22" s="774" t="n"/>
      <c r="N22" s="749">
        <f>Giderler!J245</f>
        <v/>
      </c>
      <c r="O22" s="774" t="n"/>
      <c r="P22" s="749">
        <f>Giderler!L245</f>
        <v/>
      </c>
      <c r="Q22" s="774" t="n"/>
      <c r="R22" s="749">
        <f>Giderler!N245</f>
        <v/>
      </c>
      <c r="S22" s="774" t="n"/>
      <c r="T22" s="749">
        <f>Giderler!P245</f>
        <v/>
      </c>
      <c r="U22" s="774" t="n"/>
      <c r="V22" s="749">
        <f>Giderler!R245</f>
        <v/>
      </c>
      <c r="W22" s="774" t="n"/>
      <c r="X22" s="749">
        <f>Giderler!T245</f>
        <v/>
      </c>
      <c r="Y22" s="774" t="n"/>
      <c r="Z22" s="749">
        <f>Giderler!V245</f>
        <v/>
      </c>
      <c r="AA22" s="774" t="n"/>
      <c r="AB22" s="749">
        <f>Giderler!X245</f>
        <v/>
      </c>
      <c r="AC22" s="774" t="n"/>
      <c r="AD22" s="749">
        <f>Giderler!Z245</f>
        <v/>
      </c>
      <c r="AE22" s="774" t="n"/>
      <c r="AF22" s="749">
        <f>Giderler!AB245</f>
        <v/>
      </c>
      <c r="AG22" s="774" t="n"/>
      <c r="AH22" s="762" t="n"/>
      <c r="AI22" s="83" t="n"/>
    </row>
    <row r="23">
      <c r="B23" s="751" t="inlineStr">
        <is>
          <t xml:space="preserve">   9.Mali Giderler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749" t="n"/>
      <c r="M23" s="774" t="n"/>
      <c r="N23" s="749">
        <f>Giderler!H259</f>
        <v/>
      </c>
      <c r="O23" s="774" t="n"/>
      <c r="P23" s="749">
        <f>Giderler!J259</f>
        <v/>
      </c>
      <c r="Q23" s="774" t="n"/>
      <c r="R23" s="749">
        <f>Giderler!L259</f>
        <v/>
      </c>
      <c r="S23" s="774" t="n"/>
      <c r="T23" s="749">
        <f>Giderler!N259</f>
        <v/>
      </c>
      <c r="U23" s="774" t="n"/>
      <c r="V23" s="749">
        <f>Giderler!P259</f>
        <v/>
      </c>
      <c r="W23" s="774" t="n"/>
      <c r="X23" s="749">
        <f>Giderler!R259</f>
        <v/>
      </c>
      <c r="Y23" s="774" t="n"/>
      <c r="Z23" s="749">
        <f>Giderler!T259</f>
        <v/>
      </c>
      <c r="AA23" s="774" t="n"/>
      <c r="AB23" s="749">
        <f>Giderler!V259</f>
        <v/>
      </c>
      <c r="AC23" s="774" t="n"/>
      <c r="AD23" s="749">
        <f>Giderler!X259</f>
        <v/>
      </c>
      <c r="AE23" s="774" t="n"/>
      <c r="AF23" s="749">
        <f>Giderler!Z259</f>
        <v/>
      </c>
      <c r="AG23" s="774" t="n"/>
      <c r="AH23" s="762" t="n"/>
      <c r="AI23" s="83" t="n"/>
    </row>
    <row r="24">
      <c r="B24" s="751" t="inlineStr">
        <is>
          <t xml:space="preserve">   10.Beklenebilecek Farklar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749" t="n"/>
      <c r="M24" s="774" t="n"/>
      <c r="N24" s="749">
        <f>IFERROR(VeriGiris!$AA$308+VeriGiris!$AC$308*cur_1,0)</f>
        <v/>
      </c>
      <c r="O24" s="774" t="n"/>
      <c r="P24" s="749">
        <f>IFERROR(VeriGiris!$AA$308+VeriGiris!$AC$308*cur_2,0)</f>
        <v/>
      </c>
      <c r="Q24" s="774" t="n"/>
      <c r="R24" s="749">
        <f>IFERROR(VeriGiris!$AA$308+VeriGiris!$AC$308*cur_3,0)</f>
        <v/>
      </c>
      <c r="S24" s="774" t="n"/>
      <c r="T24" s="749">
        <f>IFERROR(VeriGiris!$AA$308+VeriGiris!$AC$308*cur_4,0)</f>
        <v/>
      </c>
      <c r="U24" s="774" t="n"/>
      <c r="V24" s="749">
        <f>IFERROR(VeriGiris!$AA$308+VeriGiris!$AC$308*cur_5,0)</f>
        <v/>
      </c>
      <c r="W24" s="774" t="n"/>
      <c r="X24" s="749">
        <f>IFERROR(VeriGiris!$AA$308+VeriGiris!$AC$308*cur_6,0)</f>
        <v/>
      </c>
      <c r="Y24" s="774" t="n"/>
      <c r="Z24" s="749">
        <f>IFERROR(VeriGiris!$AA$308+VeriGiris!$AC$308*cur_7,0)</f>
        <v/>
      </c>
      <c r="AA24" s="774" t="n"/>
      <c r="AB24" s="749">
        <f>IFERROR(VeriGiris!$AA$308+VeriGiris!$AC$308*cur_8,0)</f>
        <v/>
      </c>
      <c r="AC24" s="774" t="n"/>
      <c r="AD24" s="749">
        <f>IFERROR(VeriGiris!$AA$308+VeriGiris!$AC$308*cur_9,0)</f>
        <v/>
      </c>
      <c r="AE24" s="774" t="n"/>
      <c r="AF24" s="749">
        <f>IFERROR(VeriGiris!$AA$308+VeriGiris!$AC$308*cur_10,0)</f>
        <v/>
      </c>
      <c r="AG24" s="774" t="n"/>
      <c r="AH24" s="762" t="n"/>
      <c r="AI24" s="83" t="n"/>
    </row>
    <row r="25">
      <c r="B25" s="751" t="inlineStr">
        <is>
          <t xml:space="preserve">   11Amortismanlar 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749">
        <f>Giderler!E205</f>
        <v/>
      </c>
      <c r="M25" s="774" t="n"/>
      <c r="N25" s="749">
        <f>Giderler!G205</f>
        <v/>
      </c>
      <c r="O25" s="774" t="n"/>
      <c r="P25" s="749">
        <f>Giderler!I205</f>
        <v/>
      </c>
      <c r="Q25" s="774" t="n"/>
      <c r="R25" s="749">
        <f>Giderler!K205</f>
        <v/>
      </c>
      <c r="S25" s="774" t="n"/>
      <c r="T25" s="749">
        <f>Giderler!M205</f>
        <v/>
      </c>
      <c r="U25" s="774" t="n"/>
      <c r="V25" s="749">
        <f>Giderler!O205</f>
        <v/>
      </c>
      <c r="W25" s="774" t="n"/>
      <c r="X25" s="749">
        <f>Giderler!Q205</f>
        <v/>
      </c>
      <c r="Y25" s="774" t="n"/>
      <c r="Z25" s="749">
        <f>Giderler!S205</f>
        <v/>
      </c>
      <c r="AA25" s="774" t="n"/>
      <c r="AB25" s="749">
        <f>Giderler!U205</f>
        <v/>
      </c>
      <c r="AC25" s="774" t="n"/>
      <c r="AD25" s="749">
        <f>Giderler!W205</f>
        <v/>
      </c>
      <c r="AE25" s="774" t="n"/>
      <c r="AF25" s="749">
        <f>Giderler!Y205</f>
        <v/>
      </c>
      <c r="AG25" s="774" t="n"/>
      <c r="AH25" s="762" t="n"/>
      <c r="AI25" s="83" t="n"/>
    </row>
    <row r="26" ht="8.25" customHeight="1" s="321">
      <c r="B26" s="748" t="n"/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16" t="n"/>
      <c r="M26" s="774" t="n"/>
      <c r="N26" s="616" t="n"/>
      <c r="O26" s="774" t="n"/>
      <c r="P26" s="616" t="n"/>
      <c r="Q26" s="774" t="n"/>
      <c r="R26" s="616" t="n"/>
      <c r="S26" s="774" t="n"/>
      <c r="T26" s="616" t="n"/>
      <c r="U26" s="774" t="n"/>
      <c r="V26" s="616" t="n"/>
      <c r="W26" s="774" t="n"/>
      <c r="X26" s="616" t="n"/>
      <c r="Y26" s="774" t="n"/>
      <c r="Z26" s="616" t="n"/>
      <c r="AA26" s="774" t="n"/>
      <c r="AB26" s="616" t="n"/>
      <c r="AC26" s="774" t="n"/>
      <c r="AD26" s="616" t="n"/>
      <c r="AE26" s="774" t="n"/>
      <c r="AF26" s="616" t="n"/>
      <c r="AG26" s="774" t="n"/>
      <c r="AH26" s="762" t="n"/>
      <c r="AI26" s="83" t="n"/>
    </row>
    <row r="27" ht="15" customHeight="1" s="321">
      <c r="B27" s="761" t="inlineStr">
        <is>
          <t>III. Vergilendirme Öncesi Kar (I - II)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739">
        <f>L12-L17</f>
        <v/>
      </c>
      <c r="M27" s="774" t="n"/>
      <c r="N27" s="739">
        <f>N12-N17</f>
        <v/>
      </c>
      <c r="O27" s="774" t="n"/>
      <c r="P27" s="739">
        <f>P12-P17</f>
        <v/>
      </c>
      <c r="Q27" s="774" t="n"/>
      <c r="R27" s="739">
        <f>R12-R17</f>
        <v/>
      </c>
      <c r="S27" s="774" t="n"/>
      <c r="T27" s="739">
        <f>T12-T17</f>
        <v/>
      </c>
      <c r="U27" s="774" t="n"/>
      <c r="V27" s="739">
        <f>V12-V17</f>
        <v/>
      </c>
      <c r="W27" s="774" t="n"/>
      <c r="X27" s="739">
        <f>X12-X17</f>
        <v/>
      </c>
      <c r="Y27" s="774" t="n"/>
      <c r="Z27" s="739">
        <f>Z12-Z17</f>
        <v/>
      </c>
      <c r="AA27" s="774" t="n"/>
      <c r="AB27" s="739">
        <f>AB12-AB17</f>
        <v/>
      </c>
      <c r="AC27" s="774" t="n"/>
      <c r="AD27" s="739">
        <f>AD12-AD17</f>
        <v/>
      </c>
      <c r="AE27" s="774" t="n"/>
      <c r="AF27" s="739">
        <f>AF12-AF17</f>
        <v/>
      </c>
      <c r="AG27" s="774" t="n"/>
      <c r="AH27" s="762" t="n"/>
      <c r="AI27" s="83" t="n"/>
    </row>
    <row r="28" ht="15" customHeight="1" s="321">
      <c r="B28" s="761" t="inlineStr">
        <is>
          <t>IV. Vergi İndirimi ve İstisnalar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752" t="n"/>
      <c r="M28" s="784" t="n"/>
      <c r="N28" s="752">
        <f>N15</f>
        <v/>
      </c>
      <c r="O28" s="784" t="n"/>
      <c r="P28" s="752" t="n"/>
      <c r="Q28" s="784" t="n"/>
      <c r="R28" s="752" t="n"/>
      <c r="S28" s="784" t="n"/>
      <c r="T28" s="752" t="n"/>
      <c r="U28" s="784" t="n"/>
      <c r="V28" s="752" t="n"/>
      <c r="W28" s="784" t="n"/>
      <c r="X28" s="752" t="n"/>
      <c r="Y28" s="784" t="n"/>
      <c r="Z28" s="752" t="n"/>
      <c r="AA28" s="784" t="n"/>
      <c r="AB28" s="752" t="n"/>
      <c r="AC28" s="784" t="n"/>
      <c r="AD28" s="752" t="n"/>
      <c r="AE28" s="784" t="n"/>
      <c r="AF28" s="752" t="n"/>
      <c r="AG28" s="784" t="n"/>
      <c r="AH28" s="762" t="n"/>
      <c r="AI28" s="83" t="n"/>
    </row>
    <row r="29" ht="15" customHeight="1" s="321">
      <c r="B29" s="761" t="inlineStr">
        <is>
          <t>V. Vergiler [(III-IV)* % Vergi Oranı]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739">
        <f>IF((L27-L28)&lt;0,0,((L27-L28)*vergi_orani))</f>
        <v/>
      </c>
      <c r="M29" s="774" t="n"/>
      <c r="N29" s="739">
        <f>IF((N27-N28)&lt;0,0,((N27-N28)*vergi_orani))</f>
        <v/>
      </c>
      <c r="O29" s="774" t="n"/>
      <c r="P29" s="739">
        <f>IF((P27-P28)&lt;0,0,((P27-P28)*vergi_orani))</f>
        <v/>
      </c>
      <c r="Q29" s="774" t="n"/>
      <c r="R29" s="739">
        <f>IF((R27-R28)&lt;0,0,((R27-R28)*vergi_orani))</f>
        <v/>
      </c>
      <c r="S29" s="774" t="n"/>
      <c r="T29" s="739">
        <f>IF((T27-T28)&lt;0,0,((T27-T28)*vergi_orani))</f>
        <v/>
      </c>
      <c r="U29" s="774" t="n"/>
      <c r="V29" s="739">
        <f>IF((V27-V28)&lt;0,0,((V27-V28)*vergi_orani))</f>
        <v/>
      </c>
      <c r="W29" s="774" t="n"/>
      <c r="X29" s="739">
        <f>IF((X27-X28)&lt;0,0,((X27-X28)*vergi_orani))</f>
        <v/>
      </c>
      <c r="Y29" s="774" t="n"/>
      <c r="Z29" s="739">
        <f>IF((Z27-Z28)&lt;0,0,((Z27-Z28)*vergi_orani))</f>
        <v/>
      </c>
      <c r="AA29" s="774" t="n"/>
      <c r="AB29" s="739">
        <f>IF((AB27-AB28)&lt;0,0,((AB27-AB28)*vergi_orani))</f>
        <v/>
      </c>
      <c r="AC29" s="774" t="n"/>
      <c r="AD29" s="739">
        <f>IF((AD27-AD28)&lt;0,0,((AD27-AD28)*vergi_orani))</f>
        <v/>
      </c>
      <c r="AE29" s="774" t="n"/>
      <c r="AF29" s="739">
        <f>IF((AF27-AF28)&lt;0,0,((AF27-AF28)*vergi_orani))</f>
        <v/>
      </c>
      <c r="AG29" s="774" t="n"/>
      <c r="AH29" s="762" t="n"/>
      <c r="AI29" s="83" t="n"/>
    </row>
    <row r="30" ht="15" customHeight="1" s="321">
      <c r="B30" s="761" t="inlineStr">
        <is>
          <t>VI. Vergilendirme Sonrası Kar (III - V)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739">
        <f>L27-L29</f>
        <v/>
      </c>
      <c r="M30" s="774" t="n"/>
      <c r="N30" s="739">
        <f>N27-N29</f>
        <v/>
      </c>
      <c r="O30" s="774" t="n"/>
      <c r="P30" s="739">
        <f>P27-P29</f>
        <v/>
      </c>
      <c r="Q30" s="774" t="n"/>
      <c r="R30" s="739">
        <f>R27-R29</f>
        <v/>
      </c>
      <c r="S30" s="774" t="n"/>
      <c r="T30" s="739">
        <f>T27-T29</f>
        <v/>
      </c>
      <c r="U30" s="774" t="n"/>
      <c r="V30" s="739">
        <f>V27-V29</f>
        <v/>
      </c>
      <c r="W30" s="774" t="n"/>
      <c r="X30" s="739">
        <f>X27-X29</f>
        <v/>
      </c>
      <c r="Y30" s="774" t="n"/>
      <c r="Z30" s="739">
        <f>Z27-Z29</f>
        <v/>
      </c>
      <c r="AA30" s="774" t="n"/>
      <c r="AB30" s="739">
        <f>AB27-AB29</f>
        <v/>
      </c>
      <c r="AC30" s="774" t="n"/>
      <c r="AD30" s="739">
        <f>AD27-AD29</f>
        <v/>
      </c>
      <c r="AE30" s="774" t="n"/>
      <c r="AF30" s="739">
        <f>AF27-AF29</f>
        <v/>
      </c>
      <c r="AG30" s="774" t="n"/>
      <c r="AH30" s="762" t="n"/>
      <c r="AI30" s="83" t="n"/>
    </row>
    <row r="31" ht="15" customHeight="1" s="321">
      <c r="B31" s="761" t="inlineStr">
        <is>
          <t>VII. Ödenen Temettüler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752" t="n"/>
      <c r="M31" s="784" t="n"/>
      <c r="N31" s="752">
        <f>VeriGiris!H398</f>
        <v/>
      </c>
      <c r="O31" s="784" t="n"/>
      <c r="P31" s="752">
        <f>VeriGiris!J398</f>
        <v/>
      </c>
      <c r="Q31" s="784" t="n"/>
      <c r="R31" s="752">
        <f>VeriGiris!L398</f>
        <v/>
      </c>
      <c r="S31" s="784" t="n"/>
      <c r="T31" s="752">
        <f>VeriGiris!N398</f>
        <v/>
      </c>
      <c r="U31" s="784" t="n"/>
      <c r="V31" s="752">
        <f>VeriGiris!P398</f>
        <v/>
      </c>
      <c r="W31" s="784" t="n"/>
      <c r="X31" s="752">
        <f>VeriGiris!R398</f>
        <v/>
      </c>
      <c r="Y31" s="784" t="n"/>
      <c r="Z31" s="752">
        <f>VeriGiris!T398</f>
        <v/>
      </c>
      <c r="AA31" s="784" t="n"/>
      <c r="AB31" s="752">
        <f>VeriGiris!V398</f>
        <v/>
      </c>
      <c r="AC31" s="784" t="n"/>
      <c r="AD31" s="752">
        <f>VeriGiris!X398</f>
        <v/>
      </c>
      <c r="AE31" s="784" t="n"/>
      <c r="AF31" s="752">
        <f>VeriGiris!Z398</f>
        <v/>
      </c>
      <c r="AG31" s="784" t="n"/>
      <c r="AH31" s="762" t="n"/>
      <c r="AI31" s="83" t="n"/>
    </row>
    <row r="32" ht="5.25" customHeight="1" s="321"/>
    <row r="33" ht="5.25" customHeight="1" s="321">
      <c r="B33" s="102" t="n"/>
      <c r="C33" s="102" t="n"/>
      <c r="D33" s="102" t="n"/>
      <c r="E33" s="102" t="n"/>
      <c r="F33" s="102" t="n"/>
      <c r="G33" s="102" t="n"/>
      <c r="H33" s="102" t="n"/>
      <c r="I33" s="102" t="n"/>
      <c r="J33" s="102" t="n"/>
      <c r="K33" s="102" t="n"/>
      <c r="L33" s="103" t="n"/>
      <c r="M33" s="103" t="n"/>
      <c r="N33" s="103" t="n"/>
      <c r="O33" s="103" t="n"/>
      <c r="P33" s="103" t="n"/>
      <c r="Q33" s="103" t="n"/>
      <c r="R33" s="103" t="n"/>
      <c r="S33" s="103" t="n"/>
      <c r="T33" s="103" t="n"/>
      <c r="U33" s="103" t="n"/>
      <c r="V33" s="103" t="n"/>
      <c r="W33" s="103" t="n"/>
      <c r="X33" s="103" t="n"/>
      <c r="Y33" s="103" t="n"/>
      <c r="Z33" s="103" t="n"/>
      <c r="AA33" s="103" t="n"/>
      <c r="AB33" s="103" t="n"/>
      <c r="AC33" s="103" t="n"/>
      <c r="AD33" s="103" t="n"/>
      <c r="AE33" s="103" t="n"/>
      <c r="AF33" s="103" t="n"/>
      <c r="AG33" s="103" t="n"/>
      <c r="AH33" s="96" t="n"/>
      <c r="AI33" s="96" t="n"/>
    </row>
    <row r="34" ht="5.25" customHeight="1" s="321">
      <c r="B34" s="102" t="n"/>
      <c r="C34" s="102" t="n"/>
      <c r="D34" s="102" t="n"/>
      <c r="E34" s="102" t="n"/>
      <c r="F34" s="102" t="n"/>
      <c r="G34" s="102" t="n"/>
      <c r="H34" s="102" t="n"/>
      <c r="I34" s="102" t="n"/>
      <c r="J34" s="102" t="n"/>
      <c r="K34" s="102" t="n"/>
      <c r="L34" s="103" t="n"/>
      <c r="M34" s="103" t="n"/>
      <c r="N34" s="103" t="n"/>
      <c r="O34" s="103" t="n"/>
      <c r="P34" s="103" t="n"/>
      <c r="Q34" s="103" t="n"/>
      <c r="R34" s="103" t="n"/>
      <c r="S34" s="103" t="n"/>
      <c r="T34" s="103" t="n"/>
      <c r="U34" s="103" t="n"/>
      <c r="V34" s="103" t="n"/>
      <c r="W34" s="103" t="n"/>
      <c r="X34" s="103" t="n"/>
      <c r="Y34" s="103" t="n"/>
      <c r="Z34" s="103" t="n"/>
      <c r="AA34" s="103" t="n"/>
      <c r="AB34" s="103" t="n"/>
      <c r="AC34" s="103" t="n"/>
      <c r="AD34" s="103" t="n"/>
      <c r="AE34" s="103" t="n"/>
      <c r="AF34" s="103" t="n"/>
      <c r="AG34" s="103" t="n"/>
      <c r="AH34" s="96" t="n"/>
      <c r="AI34" s="96" t="n"/>
    </row>
    <row r="35" ht="5.25" customFormat="1" customHeight="1" s="8">
      <c r="A35" s="7" t="n"/>
    </row>
    <row r="36" ht="5.25" customFormat="1" customHeight="1" s="8">
      <c r="A36" s="7" t="n"/>
      <c r="B36" s="75" t="n"/>
      <c r="C36" s="75" t="n"/>
      <c r="D36" s="75" t="n"/>
      <c r="E36" s="75" t="n"/>
      <c r="F36" s="75" t="n"/>
      <c r="G36" s="75" t="n"/>
      <c r="H36" s="76" t="n"/>
      <c r="I36" s="76" t="n"/>
      <c r="J36" s="76" t="n"/>
      <c r="K36" s="76" t="n"/>
      <c r="L36" s="76" t="n"/>
      <c r="M36" s="76" t="n"/>
      <c r="N36" s="76" t="n"/>
      <c r="O36" s="76" t="n"/>
      <c r="P36" s="76" t="n"/>
      <c r="Q36" s="76" t="n"/>
      <c r="R36" s="76" t="n"/>
      <c r="S36" s="76" t="n"/>
      <c r="T36" s="76" t="n"/>
      <c r="U36" s="76" t="n"/>
      <c r="V36" s="76" t="n"/>
      <c r="W36" s="76" t="n"/>
      <c r="X36" s="76" t="n"/>
      <c r="Y36" s="76" t="n"/>
      <c r="Z36" s="76" t="n"/>
      <c r="AA36" s="76" t="n"/>
    </row>
    <row r="37" ht="5.25" customFormat="1" customHeight="1" s="8">
      <c r="A37" s="7" t="n"/>
      <c r="B37" s="77" t="n"/>
      <c r="C37" s="77" t="n"/>
      <c r="D37" s="77" t="n"/>
      <c r="E37" s="77" t="n"/>
      <c r="F37" s="77" t="n"/>
      <c r="G37" s="77" t="n"/>
      <c r="H37" s="77" t="n"/>
      <c r="I37" s="77" t="n"/>
      <c r="J37" s="77" t="n"/>
      <c r="K37" s="77" t="n"/>
      <c r="L37" s="77" t="n"/>
      <c r="M37" s="77" t="n"/>
      <c r="N37" s="77" t="n"/>
      <c r="O37" s="77" t="n"/>
      <c r="P37" s="77" t="n"/>
      <c r="Q37" s="77" t="n"/>
      <c r="R37" s="77" t="n"/>
      <c r="S37" s="77" t="n"/>
      <c r="T37" s="77" t="n"/>
      <c r="U37" s="77" t="n"/>
      <c r="V37" s="77" t="n"/>
      <c r="W37" s="77" t="n"/>
      <c r="X37" s="77" t="n"/>
      <c r="Y37" s="77" t="n"/>
      <c r="Z37" s="77" t="n"/>
      <c r="AA37" s="77" t="n"/>
    </row>
    <row r="38" ht="5.25" customFormat="1" customHeight="1" s="8">
      <c r="A38" s="7" t="n"/>
      <c r="B38" s="77" t="n"/>
      <c r="C38" s="77" t="n"/>
      <c r="D38" s="77" t="n"/>
      <c r="E38" s="77" t="n"/>
      <c r="F38" s="77" t="n"/>
      <c r="G38" s="77" t="n"/>
      <c r="H38" s="77" t="n"/>
      <c r="I38" s="77" t="n"/>
      <c r="J38" s="77" t="n"/>
      <c r="K38" s="77" t="n"/>
      <c r="L38" s="77" t="n"/>
      <c r="M38" s="77" t="n"/>
      <c r="N38" s="77" t="n"/>
      <c r="O38" s="77" t="n"/>
      <c r="P38" s="77" t="n"/>
      <c r="Q38" s="77" t="n"/>
      <c r="R38" s="77" t="n"/>
      <c r="S38" s="77" t="n"/>
      <c r="T38" s="77" t="n"/>
      <c r="U38" s="77" t="n"/>
      <c r="V38" s="77" t="n"/>
      <c r="W38" s="77" t="n"/>
      <c r="X38" s="48" t="n"/>
      <c r="Y38" s="48" t="n"/>
      <c r="Z38" s="48" t="n"/>
      <c r="AA38" s="48" t="n"/>
    </row>
    <row r="39" ht="5.25" customFormat="1" customHeight="1" s="8">
      <c r="A39" s="7" t="n"/>
      <c r="B39" s="77" t="n"/>
      <c r="C39" s="77" t="n"/>
      <c r="D39" s="77" t="n"/>
      <c r="E39" s="77" t="n"/>
      <c r="F39" s="77" t="n"/>
      <c r="G39" s="77" t="n"/>
      <c r="H39" s="77" t="n"/>
      <c r="I39" s="77" t="n"/>
      <c r="J39" s="77" t="n"/>
      <c r="K39" s="77" t="n"/>
      <c r="L39" s="77" t="n"/>
      <c r="M39" s="77" t="n"/>
      <c r="N39" s="77" t="n"/>
      <c r="O39" s="77" t="n"/>
      <c r="P39" s="77" t="n"/>
      <c r="Q39" s="77" t="n"/>
      <c r="R39" s="77" t="n"/>
      <c r="S39" s="77" t="n"/>
      <c r="T39" s="77" t="n"/>
      <c r="U39" s="77" t="n"/>
      <c r="V39" s="77" t="n"/>
      <c r="W39" s="77" t="n"/>
      <c r="X39" s="48" t="n"/>
      <c r="Y39" s="48" t="n"/>
      <c r="Z39" s="48" t="n"/>
      <c r="AA39" s="48" t="n"/>
    </row>
    <row r="40" ht="5.25" customFormat="1" customHeight="1" s="17">
      <c r="A40" s="13" t="n"/>
    </row>
    <row r="42">
      <c r="B42" s="563" t="inlineStr">
        <is>
          <t>Table 14.2-Tahmini Nakit Akış Tablosu (TL)</t>
        </is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3" t="n"/>
      <c r="L42" s="773" t="n"/>
      <c r="M42" s="773" t="n"/>
      <c r="N42" s="773" t="n"/>
      <c r="O42" s="773" t="n"/>
      <c r="P42" s="773" t="n"/>
      <c r="Q42" s="773" t="n"/>
      <c r="R42" s="773" t="n"/>
      <c r="S42" s="773" t="n"/>
      <c r="T42" s="773" t="n"/>
      <c r="U42" s="773" t="n"/>
      <c r="V42" s="773" t="n"/>
      <c r="W42" s="773" t="n"/>
      <c r="X42" s="773" t="n"/>
      <c r="Y42" s="773" t="n"/>
      <c r="Z42" s="773" t="n"/>
      <c r="AA42" s="773" t="n"/>
      <c r="AB42" s="773" t="n"/>
      <c r="AC42" s="773" t="n"/>
      <c r="AD42" s="773" t="n"/>
      <c r="AE42" s="773" t="n"/>
      <c r="AF42" s="773" t="n"/>
      <c r="AG42" s="774" t="n"/>
      <c r="AH42" s="98" t="n"/>
      <c r="AI42" s="98" t="n"/>
    </row>
    <row r="43" ht="29.25" customHeight="1" s="321">
      <c r="B43" s="656" t="inlineStr">
        <is>
          <t>Endeksler</t>
        </is>
      </c>
      <c r="C43" s="773" t="n"/>
      <c r="D43" s="773" t="n"/>
      <c r="E43" s="773" t="n"/>
      <c r="F43" s="773" t="n"/>
      <c r="G43" s="773" t="n"/>
      <c r="H43" s="773" t="n"/>
      <c r="I43" s="774" t="n"/>
      <c r="J43" s="607">
        <f>L11</f>
        <v/>
      </c>
      <c r="K43" s="774" t="n"/>
      <c r="L43" s="607" t="inlineStr">
        <is>
          <t>Yatırım Dönemi</t>
        </is>
      </c>
      <c r="M43" s="774" t="n"/>
      <c r="N43" s="607">
        <f>N11</f>
        <v/>
      </c>
      <c r="O43" s="774" t="n"/>
      <c r="P43" s="607">
        <f>P11</f>
        <v/>
      </c>
      <c r="Q43" s="774" t="n"/>
      <c r="R43" s="607">
        <f>R11</f>
        <v/>
      </c>
      <c r="S43" s="774" t="n"/>
      <c r="T43" s="607">
        <f>T11</f>
        <v/>
      </c>
      <c r="U43" s="774" t="n"/>
      <c r="V43" s="607">
        <f>V11</f>
        <v/>
      </c>
      <c r="W43" s="774" t="n"/>
      <c r="X43" s="607">
        <f>X11</f>
        <v/>
      </c>
      <c r="Y43" s="774" t="n"/>
      <c r="Z43" s="607">
        <f>Z11</f>
        <v/>
      </c>
      <c r="AA43" s="774" t="n"/>
      <c r="AB43" s="607">
        <f>AB11</f>
        <v/>
      </c>
      <c r="AC43" s="774" t="n"/>
      <c r="AD43" s="607">
        <f>AD11</f>
        <v/>
      </c>
      <c r="AE43" s="774" t="n"/>
      <c r="AF43" s="607">
        <f>AF11</f>
        <v/>
      </c>
      <c r="AG43" s="774" t="n"/>
      <c r="AH43" s="765" t="n"/>
    </row>
    <row r="44">
      <c r="B44" s="741" t="inlineStr">
        <is>
          <t>VIII. Nakit Girişi (12+13+14)</t>
        </is>
      </c>
      <c r="C44" s="773" t="n"/>
      <c r="D44" s="773" t="n"/>
      <c r="E44" s="773" t="n"/>
      <c r="F44" s="773" t="n"/>
      <c r="G44" s="773" t="n"/>
      <c r="H44" s="773" t="n"/>
      <c r="I44" s="774" t="n"/>
      <c r="J44" s="739">
        <f>SUM(J45:K47)</f>
        <v/>
      </c>
      <c r="K44" s="774" t="n"/>
      <c r="L44" s="739">
        <f>SUM(L45:M47)</f>
        <v/>
      </c>
      <c r="M44" s="774" t="n"/>
      <c r="N44" s="739">
        <f>SUM(N45:O47)</f>
        <v/>
      </c>
      <c r="O44" s="774" t="n"/>
      <c r="P44" s="739">
        <f>SUM(P45:Q47)</f>
        <v/>
      </c>
      <c r="Q44" s="774" t="n"/>
      <c r="R44" s="739">
        <f>SUM(R45:S47)</f>
        <v/>
      </c>
      <c r="S44" s="774" t="n"/>
      <c r="T44" s="739">
        <f>SUM(T45:U47)</f>
        <v/>
      </c>
      <c r="U44" s="774" t="n"/>
      <c r="V44" s="739">
        <f>SUM(V45:W47)</f>
        <v/>
      </c>
      <c r="W44" s="774" t="n"/>
      <c r="X44" s="739">
        <f>SUM(X45:Y47)</f>
        <v/>
      </c>
      <c r="Y44" s="774" t="n"/>
      <c r="Z44" s="739">
        <f>SUM(Z45:AA47)</f>
        <v/>
      </c>
      <c r="AA44" s="774" t="n"/>
      <c r="AB44" s="739">
        <f>SUM(AB45:AC47)</f>
        <v/>
      </c>
      <c r="AC44" s="774" t="n"/>
      <c r="AD44" s="739">
        <f>SUM(AD45:AE47)</f>
        <v/>
      </c>
      <c r="AE44" s="774" t="n"/>
      <c r="AF44" s="739">
        <f>SUM(AF45:AG47)</f>
        <v/>
      </c>
      <c r="AG44" s="774" t="n"/>
      <c r="AH44" s="764" t="n"/>
      <c r="AI44" s="83" t="n"/>
    </row>
    <row r="45">
      <c r="B45" s="759" t="inlineStr">
        <is>
          <t>12. Satışlardan Elde Edilen Nakit Girişi</t>
        </is>
      </c>
      <c r="C45" s="773" t="n"/>
      <c r="D45" s="773" t="n"/>
      <c r="E45" s="773" t="n"/>
      <c r="F45" s="773" t="n"/>
      <c r="G45" s="773" t="n"/>
      <c r="H45" s="773" t="n"/>
      <c r="I45" s="774" t="n"/>
      <c r="J45" s="749">
        <f>L13</f>
        <v/>
      </c>
      <c r="K45" s="774" t="n"/>
      <c r="L45" s="749" t="n"/>
      <c r="M45" s="774" t="n"/>
      <c r="N45" s="749">
        <f>N13</f>
        <v/>
      </c>
      <c r="O45" s="774" t="n"/>
      <c r="P45" s="749">
        <f>P13</f>
        <v/>
      </c>
      <c r="Q45" s="774" t="n"/>
      <c r="R45" s="749">
        <f>R13</f>
        <v/>
      </c>
      <c r="S45" s="774" t="n"/>
      <c r="T45" s="749">
        <f>T13</f>
        <v/>
      </c>
      <c r="U45" s="774" t="n"/>
      <c r="V45" s="749">
        <f>V13</f>
        <v/>
      </c>
      <c r="W45" s="774" t="n"/>
      <c r="X45" s="749">
        <f>X13</f>
        <v/>
      </c>
      <c r="Y45" s="774" t="n"/>
      <c r="Z45" s="749">
        <f>Z13</f>
        <v/>
      </c>
      <c r="AA45" s="774" t="n"/>
      <c r="AB45" s="749">
        <f>AB13</f>
        <v/>
      </c>
      <c r="AC45" s="774" t="n"/>
      <c r="AD45" s="749">
        <f>AD13</f>
        <v/>
      </c>
      <c r="AE45" s="774" t="n"/>
      <c r="AF45" s="749">
        <f>AF13</f>
        <v/>
      </c>
      <c r="AG45" s="774" t="n"/>
      <c r="AH45" s="764" t="n"/>
      <c r="AI45" s="83" t="n"/>
    </row>
    <row r="46">
      <c r="B46" s="759" t="inlineStr">
        <is>
          <t>13. Diğer Gelirlerden Nakit Girişi</t>
        </is>
      </c>
      <c r="C46" s="773" t="n"/>
      <c r="D46" s="773" t="n"/>
      <c r="E46" s="773" t="n"/>
      <c r="F46" s="773" t="n"/>
      <c r="G46" s="773" t="n"/>
      <c r="H46" s="773" t="n"/>
      <c r="I46" s="774" t="n"/>
      <c r="J46" s="749">
        <f>L14</f>
        <v/>
      </c>
      <c r="K46" s="774" t="n"/>
      <c r="L46" s="749" t="n"/>
      <c r="M46" s="774" t="n"/>
      <c r="N46" s="749">
        <f>N14</f>
        <v/>
      </c>
      <c r="O46" s="774" t="n"/>
      <c r="P46" s="749">
        <f>P14</f>
        <v/>
      </c>
      <c r="Q46" s="774" t="n"/>
      <c r="R46" s="749">
        <f>R14</f>
        <v/>
      </c>
      <c r="S46" s="774" t="n"/>
      <c r="T46" s="749">
        <f>T14</f>
        <v/>
      </c>
      <c r="U46" s="774" t="n"/>
      <c r="V46" s="749">
        <f>V14</f>
        <v/>
      </c>
      <c r="W46" s="774" t="n"/>
      <c r="X46" s="749">
        <f>X14</f>
        <v/>
      </c>
      <c r="Y46" s="774" t="n"/>
      <c r="Z46" s="749">
        <f>Z14</f>
        <v/>
      </c>
      <c r="AA46" s="774" t="n"/>
      <c r="AB46" s="749">
        <f>AB14</f>
        <v/>
      </c>
      <c r="AC46" s="774" t="n"/>
      <c r="AD46" s="749">
        <f>AD14</f>
        <v/>
      </c>
      <c r="AE46" s="774" t="n"/>
      <c r="AF46" s="749">
        <f>AF14</f>
        <v/>
      </c>
      <c r="AG46" s="774" t="n"/>
      <c r="AH46" s="764" t="n"/>
      <c r="AI46" s="83" t="n"/>
    </row>
    <row r="47">
      <c r="B47" s="759" t="inlineStr">
        <is>
          <t xml:space="preserve">14. Kalıntı Değer </t>
        </is>
      </c>
      <c r="C47" s="773" t="n"/>
      <c r="D47" s="773" t="n"/>
      <c r="E47" s="773" t="n"/>
      <c r="F47" s="773" t="n"/>
      <c r="G47" s="773" t="n"/>
      <c r="H47" s="773" t="n"/>
      <c r="I47" s="774" t="n"/>
      <c r="J47" s="749" t="n"/>
      <c r="K47" s="774" t="n"/>
      <c r="L47" s="749" t="n"/>
      <c r="M47" s="774" t="n"/>
      <c r="N47" s="749" t="n"/>
      <c r="O47" s="774" t="n"/>
      <c r="P47" s="749" t="n"/>
      <c r="Q47" s="774" t="n"/>
      <c r="R47" s="749" t="n"/>
      <c r="S47" s="774" t="n"/>
      <c r="T47" s="749" t="n"/>
      <c r="U47" s="774" t="n"/>
      <c r="V47" s="749" t="n"/>
      <c r="W47" s="774" t="n"/>
      <c r="X47" s="749" t="n"/>
      <c r="Y47" s="774" t="n"/>
      <c r="Z47" s="749" t="n"/>
      <c r="AA47" s="774" t="n"/>
      <c r="AB47" s="749" t="n"/>
      <c r="AC47" s="774" t="n"/>
      <c r="AD47" s="749" t="n"/>
      <c r="AE47" s="774" t="n"/>
      <c r="AF47" s="749">
        <f>VeriGiris!AF381+(IF((IsletmeSer!AC71-IsletmeSer!I71)&gt;0,(IsletmeSer!AC71-IsletmeSer!I71),0))</f>
        <v/>
      </c>
      <c r="AG47" s="774" t="n"/>
      <c r="AH47" s="764" t="n"/>
      <c r="AI47" s="83" t="n"/>
    </row>
    <row r="48">
      <c r="B48" s="911" t="inlineStr">
        <is>
          <t>IX. IPARD Destek Miktarı</t>
        </is>
      </c>
      <c r="C48" s="804" t="n"/>
      <c r="D48" s="804" t="n"/>
      <c r="E48" s="804" t="n"/>
      <c r="F48" s="804" t="n"/>
      <c r="G48" s="804" t="n"/>
      <c r="H48" s="804" t="n"/>
      <c r="I48" s="805" t="n"/>
      <c r="J48" s="739" t="n"/>
      <c r="K48" s="774" t="n"/>
      <c r="L48" s="739">
        <f>VeriGiris!V23</f>
        <v/>
      </c>
      <c r="M48" s="774" t="n"/>
      <c r="N48" s="739">
        <f>N15-L48</f>
        <v/>
      </c>
      <c r="O48" s="774" t="n"/>
      <c r="P48" s="739" t="n"/>
      <c r="Q48" s="774" t="n"/>
      <c r="R48" s="739" t="n"/>
      <c r="S48" s="774" t="n"/>
      <c r="T48" s="739" t="n"/>
      <c r="U48" s="774" t="n"/>
      <c r="V48" s="739" t="n"/>
      <c r="W48" s="774" t="n"/>
      <c r="X48" s="739" t="n"/>
      <c r="Y48" s="774" t="n"/>
      <c r="Z48" s="739" t="n"/>
      <c r="AA48" s="774" t="n"/>
      <c r="AB48" s="739" t="n"/>
      <c r="AC48" s="774" t="n"/>
      <c r="AD48" s="739" t="n"/>
      <c r="AE48" s="774" t="n"/>
      <c r="AF48" s="739" t="n"/>
      <c r="AG48" s="774" t="n"/>
      <c r="AH48" s="764" t="n"/>
      <c r="AI48" s="83" t="n"/>
    </row>
    <row r="49">
      <c r="B49" s="911" t="inlineStr">
        <is>
          <t>X. Özkaynaklar</t>
        </is>
      </c>
      <c r="C49" s="804" t="n"/>
      <c r="D49" s="804" t="n"/>
      <c r="E49" s="804" t="n"/>
      <c r="F49" s="804" t="n"/>
      <c r="G49" s="804" t="n"/>
      <c r="H49" s="804" t="n"/>
      <c r="I49" s="805" t="n"/>
      <c r="J49" s="752" t="n"/>
      <c r="K49" s="784" t="n"/>
      <c r="L49" s="752">
        <f>VeriGiris!V21</f>
        <v/>
      </c>
      <c r="M49" s="784" t="n"/>
      <c r="N49" s="752" t="n"/>
      <c r="O49" s="784" t="n"/>
      <c r="P49" s="752" t="n"/>
      <c r="Q49" s="784" t="n"/>
      <c r="R49" s="752" t="n"/>
      <c r="S49" s="784" t="n"/>
      <c r="T49" s="752" t="n"/>
      <c r="U49" s="784" t="n"/>
      <c r="V49" s="752" t="n"/>
      <c r="W49" s="784" t="n"/>
      <c r="X49" s="752" t="n"/>
      <c r="Y49" s="784" t="n"/>
      <c r="Z49" s="752" t="n"/>
      <c r="AA49" s="784" t="n"/>
      <c r="AB49" s="752" t="n"/>
      <c r="AC49" s="784" t="n"/>
      <c r="AD49" s="752" t="n"/>
      <c r="AE49" s="784" t="n"/>
      <c r="AF49" s="752" t="n"/>
      <c r="AG49" s="784" t="n"/>
      <c r="AH49" s="764" t="n"/>
      <c r="AI49" s="83" t="n"/>
    </row>
    <row r="50">
      <c r="B50" s="741" t="inlineStr">
        <is>
          <t>XI.Banka  Kredisi</t>
        </is>
      </c>
      <c r="C50" s="773" t="n"/>
      <c r="D50" s="773" t="n"/>
      <c r="E50" s="773" t="n"/>
      <c r="F50" s="773" t="n"/>
      <c r="G50" s="773" t="n"/>
      <c r="H50" s="773" t="n"/>
      <c r="I50" s="774" t="n"/>
      <c r="J50" s="752" t="n"/>
      <c r="K50" s="784" t="n"/>
      <c r="L50" s="752">
        <f>VeriGiris!V22</f>
        <v/>
      </c>
      <c r="M50" s="784" t="n"/>
      <c r="N50" s="752" t="n"/>
      <c r="O50" s="784" t="n"/>
      <c r="P50" s="752" t="n"/>
      <c r="Q50" s="784" t="n"/>
      <c r="R50" s="752" t="n"/>
      <c r="S50" s="784" t="n"/>
      <c r="T50" s="752" t="n"/>
      <c r="U50" s="784" t="n"/>
      <c r="V50" s="752" t="n"/>
      <c r="W50" s="784" t="n"/>
      <c r="X50" s="752" t="n"/>
      <c r="Y50" s="784" t="n"/>
      <c r="Z50" s="752" t="n"/>
      <c r="AA50" s="784" t="n"/>
      <c r="AB50" s="752" t="n"/>
      <c r="AC50" s="784" t="n"/>
      <c r="AD50" s="752" t="n"/>
      <c r="AE50" s="784" t="n"/>
      <c r="AF50" s="752" t="n"/>
      <c r="AG50" s="784" t="n"/>
      <c r="AH50" s="764" t="n"/>
      <c r="AI50" s="83" t="n"/>
    </row>
    <row r="51">
      <c r="B51" s="741" t="inlineStr">
        <is>
          <t>XII. Diğer Kaynaklar</t>
        </is>
      </c>
      <c r="C51" s="773" t="n"/>
      <c r="D51" s="773" t="n"/>
      <c r="E51" s="773" t="n"/>
      <c r="F51" s="773" t="n"/>
      <c r="G51" s="773" t="n"/>
      <c r="H51" s="773" t="n"/>
      <c r="I51" s="774" t="n"/>
      <c r="J51" s="752" t="n"/>
      <c r="K51" s="784" t="n"/>
      <c r="L51" s="752">
        <f>VeriGiris!V26</f>
        <v/>
      </c>
      <c r="M51" s="784" t="n"/>
      <c r="N51" s="752" t="n"/>
      <c r="O51" s="784" t="n"/>
      <c r="P51" s="752" t="n"/>
      <c r="Q51" s="784" t="n"/>
      <c r="R51" s="752" t="n"/>
      <c r="S51" s="784" t="n"/>
      <c r="T51" s="752" t="n"/>
      <c r="U51" s="784" t="n"/>
      <c r="V51" s="752" t="n"/>
      <c r="W51" s="784" t="n"/>
      <c r="X51" s="752" t="n"/>
      <c r="Y51" s="784" t="n"/>
      <c r="Z51" s="752" t="n"/>
      <c r="AA51" s="784" t="n"/>
      <c r="AB51" s="752" t="n"/>
      <c r="AC51" s="784" t="n"/>
      <c r="AD51" s="752" t="n"/>
      <c r="AE51" s="784" t="n"/>
      <c r="AF51" s="752" t="n"/>
      <c r="AG51" s="784" t="n"/>
      <c r="AH51" s="764" t="n"/>
      <c r="AI51" s="83" t="n"/>
    </row>
    <row r="52" ht="8.25" customHeight="1" s="321">
      <c r="B52" s="748" t="n"/>
      <c r="C52" s="773" t="n"/>
      <c r="D52" s="773" t="n"/>
      <c r="E52" s="773" t="n"/>
      <c r="F52" s="773" t="n"/>
      <c r="G52" s="773" t="n"/>
      <c r="H52" s="773" t="n"/>
      <c r="I52" s="774" t="n"/>
      <c r="J52" s="616" t="n"/>
      <c r="K52" s="774" t="n"/>
      <c r="L52" s="616" t="n"/>
      <c r="M52" s="774" t="n"/>
      <c r="N52" s="616" t="n"/>
      <c r="O52" s="774" t="n"/>
      <c r="P52" s="616" t="n"/>
      <c r="Q52" s="774" t="n"/>
      <c r="R52" s="616" t="n"/>
      <c r="S52" s="774" t="n"/>
      <c r="T52" s="616" t="n"/>
      <c r="U52" s="774" t="n"/>
      <c r="V52" s="616" t="n"/>
      <c r="W52" s="774" t="n"/>
      <c r="X52" s="616" t="n"/>
      <c r="Y52" s="774" t="n"/>
      <c r="Z52" s="616" t="n"/>
      <c r="AA52" s="774" t="n"/>
      <c r="AB52" s="616" t="n"/>
      <c r="AC52" s="774" t="n"/>
      <c r="AD52" s="616" t="n"/>
      <c r="AE52" s="774" t="n"/>
      <c r="AF52" s="616" t="n"/>
      <c r="AG52" s="774" t="n"/>
      <c r="AH52" s="764" t="n"/>
      <c r="AI52" s="83" t="n"/>
    </row>
    <row r="53">
      <c r="B53" s="911" t="inlineStr">
        <is>
          <t>XIII. Toplam Nakit Çıkışı (15 +II)</t>
        </is>
      </c>
      <c r="C53" s="804" t="n"/>
      <c r="D53" s="804" t="n"/>
      <c r="E53" s="804" t="n"/>
      <c r="F53" s="804" t="n"/>
      <c r="G53" s="804" t="n"/>
      <c r="H53" s="804" t="n"/>
      <c r="I53" s="805" t="n"/>
      <c r="J53" s="739">
        <f>J54+J57</f>
        <v/>
      </c>
      <c r="K53" s="774" t="n"/>
      <c r="L53" s="739">
        <f>L54+L57</f>
        <v/>
      </c>
      <c r="M53" s="774" t="n"/>
      <c r="N53" s="739">
        <f>N54+N57</f>
        <v/>
      </c>
      <c r="O53" s="774" t="n"/>
      <c r="P53" s="739">
        <f>P54+P57</f>
        <v/>
      </c>
      <c r="Q53" s="774" t="n"/>
      <c r="R53" s="739">
        <f>R54+R57</f>
        <v/>
      </c>
      <c r="S53" s="774" t="n"/>
      <c r="T53" s="739">
        <f>T54+T57</f>
        <v/>
      </c>
      <c r="U53" s="774" t="n"/>
      <c r="V53" s="739">
        <f>V54+V57</f>
        <v/>
      </c>
      <c r="W53" s="774" t="n"/>
      <c r="X53" s="739">
        <f>X54+X57</f>
        <v/>
      </c>
      <c r="Y53" s="774" t="n"/>
      <c r="Z53" s="739">
        <f>Z54+Z57</f>
        <v/>
      </c>
      <c r="AA53" s="774" t="n"/>
      <c r="AB53" s="739">
        <f>AB54+AB57</f>
        <v/>
      </c>
      <c r="AC53" s="774" t="n"/>
      <c r="AD53" s="739">
        <f>AD54+AD57</f>
        <v/>
      </c>
      <c r="AE53" s="774" t="n"/>
      <c r="AF53" s="739">
        <f>AF54+AF57</f>
        <v/>
      </c>
      <c r="AG53" s="774" t="n"/>
      <c r="AH53" s="764" t="n"/>
      <c r="AI53" s="83" t="n"/>
    </row>
    <row r="54">
      <c r="B54" s="751" t="inlineStr">
        <is>
          <t>15.Toplam Yatırım Harcamaları</t>
        </is>
      </c>
      <c r="C54" s="773" t="n"/>
      <c r="D54" s="773" t="n"/>
      <c r="E54" s="773" t="n"/>
      <c r="F54" s="773" t="n"/>
      <c r="G54" s="773" t="n"/>
      <c r="H54" s="773" t="n"/>
      <c r="I54" s="774" t="n"/>
      <c r="J54" s="749" t="n">
        <v>0</v>
      </c>
      <c r="K54" s="774" t="n"/>
      <c r="L54" s="749">
        <f>L55+L56</f>
        <v/>
      </c>
      <c r="M54" s="774" t="n"/>
      <c r="N54" s="749">
        <f>N55+N56</f>
        <v/>
      </c>
      <c r="O54" s="774" t="n"/>
      <c r="P54" s="749">
        <f>P55+P56</f>
        <v/>
      </c>
      <c r="Q54" s="774" t="n"/>
      <c r="R54" s="749">
        <f>R55+R56</f>
        <v/>
      </c>
      <c r="S54" s="774" t="n"/>
      <c r="T54" s="749">
        <f>T55+T56</f>
        <v/>
      </c>
      <c r="U54" s="774" t="n"/>
      <c r="V54" s="749">
        <f>V55+V56</f>
        <v/>
      </c>
      <c r="W54" s="774" t="n"/>
      <c r="X54" s="749">
        <f>X55+X56</f>
        <v/>
      </c>
      <c r="Y54" s="774" t="n"/>
      <c r="Z54" s="749">
        <f>Z55+Z56</f>
        <v/>
      </c>
      <c r="AA54" s="774" t="n"/>
      <c r="AB54" s="749">
        <f>AB55+AB56</f>
        <v/>
      </c>
      <c r="AC54" s="774" t="n"/>
      <c r="AD54" s="749">
        <f>AD55+AD56</f>
        <v/>
      </c>
      <c r="AE54" s="774" t="n"/>
      <c r="AF54" s="749">
        <f>AF55+AF56</f>
        <v/>
      </c>
      <c r="AG54" s="774" t="n"/>
      <c r="AH54" s="764" t="n"/>
      <c r="AI54" s="83" t="n"/>
    </row>
    <row r="55">
      <c r="B55" s="751" t="inlineStr">
        <is>
          <t xml:space="preserve">   15.1. İşletme Sermayesindeki Değişim</t>
        </is>
      </c>
      <c r="C55" s="773" t="n"/>
      <c r="D55" s="773" t="n"/>
      <c r="E55" s="773" t="n"/>
      <c r="F55" s="773" t="n"/>
      <c r="G55" s="773" t="n"/>
      <c r="H55" s="773" t="n"/>
      <c r="I55" s="774" t="n"/>
      <c r="J55" s="749" t="n"/>
      <c r="K55" s="774" t="n"/>
      <c r="L55" s="749">
        <f>IsletmeSer!K72</f>
        <v/>
      </c>
      <c r="M55" s="774" t="n"/>
      <c r="N55" s="749">
        <f>IsletmeSer!M72</f>
        <v/>
      </c>
      <c r="O55" s="774" t="n"/>
      <c r="P55" s="749">
        <f>IsletmeSer!O72</f>
        <v/>
      </c>
      <c r="Q55" s="774" t="n"/>
      <c r="R55" s="749">
        <f>IsletmeSer!Q72</f>
        <v/>
      </c>
      <c r="S55" s="774" t="n"/>
      <c r="T55" s="749">
        <f>IsletmeSer!S72</f>
        <v/>
      </c>
      <c r="U55" s="774" t="n"/>
      <c r="V55" s="749">
        <f>IsletmeSer!U72</f>
        <v/>
      </c>
      <c r="W55" s="774" t="n"/>
      <c r="X55" s="749">
        <f>IsletmeSer!W72</f>
        <v/>
      </c>
      <c r="Y55" s="774" t="n"/>
      <c r="Z55" s="749">
        <f>IsletmeSer!Y72</f>
        <v/>
      </c>
      <c r="AA55" s="774" t="n"/>
      <c r="AB55" s="749">
        <f>IsletmeSer!AA72</f>
        <v/>
      </c>
      <c r="AC55" s="774" t="n"/>
      <c r="AD55" s="749">
        <f>IsletmeSer!AC72</f>
        <v/>
      </c>
      <c r="AE55" s="774" t="n"/>
      <c r="AF55" s="749" t="n">
        <v>0</v>
      </c>
      <c r="AG55" s="774" t="n"/>
      <c r="AH55" s="764" t="n"/>
      <c r="AI55" s="83" t="n"/>
    </row>
    <row r="56">
      <c r="B56" s="751" t="inlineStr">
        <is>
          <t xml:space="preserve">   15.2. Sabit Yatırım Harcaması</t>
        </is>
      </c>
      <c r="C56" s="773" t="n"/>
      <c r="D56" s="773" t="n"/>
      <c r="E56" s="773" t="n"/>
      <c r="F56" s="773" t="n"/>
      <c r="G56" s="773" t="n"/>
      <c r="H56" s="773" t="n"/>
      <c r="I56" s="774" t="n"/>
      <c r="J56" s="749" t="n"/>
      <c r="K56" s="774" t="n"/>
      <c r="L56" s="749">
        <f>VeriGiris!V20-VeriGiris!V17</f>
        <v/>
      </c>
      <c r="M56" s="774" t="n"/>
      <c r="N56" s="749">
        <f>VeriGiris!H408</f>
        <v/>
      </c>
      <c r="O56" s="774" t="n"/>
      <c r="P56" s="749">
        <f>VeriGiris!J408</f>
        <v/>
      </c>
      <c r="Q56" s="774" t="n"/>
      <c r="R56" s="749">
        <f>VeriGiris!L408</f>
        <v/>
      </c>
      <c r="S56" s="774" t="n"/>
      <c r="T56" s="749">
        <f>VeriGiris!N408</f>
        <v/>
      </c>
      <c r="U56" s="774" t="n"/>
      <c r="V56" s="749">
        <f>VeriGiris!P408</f>
        <v/>
      </c>
      <c r="W56" s="774" t="n"/>
      <c r="X56" s="749">
        <f>VeriGiris!R408</f>
        <v/>
      </c>
      <c r="Y56" s="774" t="n"/>
      <c r="Z56" s="749">
        <f>VeriGiris!T408</f>
        <v/>
      </c>
      <c r="AA56" s="774" t="n"/>
      <c r="AB56" s="749">
        <f>VeriGiris!V408</f>
        <v/>
      </c>
      <c r="AC56" s="774" t="n"/>
      <c r="AD56" s="749">
        <f>VeriGiris!X408</f>
        <v/>
      </c>
      <c r="AE56" s="774" t="n"/>
      <c r="AF56" s="749">
        <f>VeriGiris!Z408</f>
        <v/>
      </c>
      <c r="AG56" s="774" t="n"/>
      <c r="AH56" s="764" t="n"/>
      <c r="AI56" s="83" t="n"/>
    </row>
    <row r="57">
      <c r="B57" s="911" t="inlineStr">
        <is>
          <t>II. Giderler</t>
        </is>
      </c>
      <c r="C57" s="804" t="n"/>
      <c r="D57" s="804" t="n"/>
      <c r="E57" s="804" t="n"/>
      <c r="F57" s="804" t="n"/>
      <c r="G57" s="804" t="n"/>
      <c r="H57" s="804" t="n"/>
      <c r="I57" s="805" t="n"/>
      <c r="J57" s="739">
        <f>L17</f>
        <v/>
      </c>
      <c r="K57" s="774" t="n"/>
      <c r="L57" s="739" t="n"/>
      <c r="M57" s="774" t="n"/>
      <c r="N57" s="739">
        <f>N17</f>
        <v/>
      </c>
      <c r="O57" s="774" t="n"/>
      <c r="P57" s="739">
        <f>P17</f>
        <v/>
      </c>
      <c r="Q57" s="774" t="n"/>
      <c r="R57" s="739">
        <f>R17</f>
        <v/>
      </c>
      <c r="S57" s="774" t="n"/>
      <c r="T57" s="739">
        <f>T17</f>
        <v/>
      </c>
      <c r="U57" s="774" t="n"/>
      <c r="V57" s="739">
        <f>V17</f>
        <v/>
      </c>
      <c r="W57" s="774" t="n"/>
      <c r="X57" s="739">
        <f>X17</f>
        <v/>
      </c>
      <c r="Y57" s="774" t="n"/>
      <c r="Z57" s="739">
        <f>Z17</f>
        <v/>
      </c>
      <c r="AA57" s="774" t="n"/>
      <c r="AB57" s="739">
        <f>AB17</f>
        <v/>
      </c>
      <c r="AC57" s="774" t="n"/>
      <c r="AD57" s="739">
        <f>AD17</f>
        <v/>
      </c>
      <c r="AE57" s="774" t="n"/>
      <c r="AF57" s="739">
        <f>AF17</f>
        <v/>
      </c>
      <c r="AG57" s="774" t="n"/>
      <c r="AH57" s="764" t="n"/>
      <c r="AI57" s="83" t="n"/>
    </row>
    <row r="58">
      <c r="B58" s="911" t="inlineStr">
        <is>
          <t>XIV. Amortismanlar</t>
        </is>
      </c>
      <c r="C58" s="804" t="n"/>
      <c r="D58" s="804" t="n"/>
      <c r="E58" s="804" t="n"/>
      <c r="F58" s="804" t="n"/>
      <c r="G58" s="804" t="n"/>
      <c r="H58" s="804" t="n"/>
      <c r="I58" s="805" t="n"/>
      <c r="J58" s="739">
        <f>L25</f>
        <v/>
      </c>
      <c r="K58" s="774" t="n"/>
      <c r="L58" s="739" t="n"/>
      <c r="M58" s="774" t="n"/>
      <c r="N58" s="739">
        <f>N25</f>
        <v/>
      </c>
      <c r="O58" s="774" t="n"/>
      <c r="P58" s="739">
        <f>P25</f>
        <v/>
      </c>
      <c r="Q58" s="774" t="n"/>
      <c r="R58" s="739">
        <f>R25</f>
        <v/>
      </c>
      <c r="S58" s="774" t="n"/>
      <c r="T58" s="739">
        <f>T25</f>
        <v/>
      </c>
      <c r="U58" s="774" t="n"/>
      <c r="V58" s="739">
        <f>V25</f>
        <v/>
      </c>
      <c r="W58" s="774" t="n"/>
      <c r="X58" s="739">
        <f>X25</f>
        <v/>
      </c>
      <c r="Y58" s="774" t="n"/>
      <c r="Z58" s="739">
        <f>Z25</f>
        <v/>
      </c>
      <c r="AA58" s="774" t="n"/>
      <c r="AB58" s="739">
        <f>AB25</f>
        <v/>
      </c>
      <c r="AC58" s="774" t="n"/>
      <c r="AD58" s="739">
        <f>AD25</f>
        <v/>
      </c>
      <c r="AE58" s="774" t="n"/>
      <c r="AF58" s="739">
        <f>AF25</f>
        <v/>
      </c>
      <c r="AG58" s="774" t="n"/>
      <c r="AH58" s="764" t="n"/>
      <c r="AI58" s="83" t="n"/>
    </row>
    <row r="59" ht="6.75" customHeight="1" s="321">
      <c r="B59" s="748" t="n"/>
      <c r="C59" s="773" t="n"/>
      <c r="D59" s="773" t="n"/>
      <c r="E59" s="773" t="n"/>
      <c r="F59" s="773" t="n"/>
      <c r="G59" s="773" t="n"/>
      <c r="H59" s="773" t="n"/>
      <c r="I59" s="774" t="n"/>
      <c r="J59" s="616" t="n"/>
      <c r="K59" s="774" t="n"/>
      <c r="L59" s="616" t="n"/>
      <c r="M59" s="774" t="n"/>
      <c r="N59" s="616" t="n"/>
      <c r="O59" s="774" t="n"/>
      <c r="P59" s="616" t="n"/>
      <c r="Q59" s="774" t="n"/>
      <c r="R59" s="616" t="n"/>
      <c r="S59" s="774" t="n"/>
      <c r="T59" s="616" t="n"/>
      <c r="U59" s="774" t="n"/>
      <c r="V59" s="616" t="n"/>
      <c r="W59" s="774" t="n"/>
      <c r="X59" s="616" t="n"/>
      <c r="Y59" s="774" t="n"/>
      <c r="Z59" s="616" t="n"/>
      <c r="AA59" s="774" t="n"/>
      <c r="AB59" s="616" t="n"/>
      <c r="AC59" s="774" t="n"/>
      <c r="AD59" s="616" t="n"/>
      <c r="AE59" s="774" t="n"/>
      <c r="AF59" s="616" t="n"/>
      <c r="AG59" s="774" t="n"/>
      <c r="AH59" s="764" t="n"/>
      <c r="AI59" s="83" t="n"/>
    </row>
    <row r="60">
      <c r="B60" s="911" t="inlineStr">
        <is>
          <t xml:space="preserve">XV. Kredi Anapara Ödemesi </t>
        </is>
      </c>
      <c r="C60" s="804" t="n"/>
      <c r="D60" s="804" t="n"/>
      <c r="E60" s="804" t="n"/>
      <c r="F60" s="804" t="n"/>
      <c r="G60" s="804" t="n"/>
      <c r="H60" s="804" t="n"/>
      <c r="I60" s="805" t="n"/>
      <c r="J60" s="739" t="n"/>
      <c r="K60" s="774" t="n"/>
      <c r="L60" s="739" t="n"/>
      <c r="M60" s="774" t="n"/>
      <c r="N60" s="739">
        <f>VeriGiris!H390</f>
        <v/>
      </c>
      <c r="O60" s="774" t="n"/>
      <c r="P60" s="739">
        <f>VeriGiris!J390</f>
        <v/>
      </c>
      <c r="Q60" s="774" t="n"/>
      <c r="R60" s="739">
        <f>VeriGiris!L390</f>
        <v/>
      </c>
      <c r="S60" s="774" t="n"/>
      <c r="T60" s="739">
        <f>VeriGiris!N390</f>
        <v/>
      </c>
      <c r="U60" s="774" t="n"/>
      <c r="V60" s="739">
        <f>VeriGiris!P390</f>
        <v/>
      </c>
      <c r="W60" s="774" t="n"/>
      <c r="X60" s="739">
        <f>VeriGiris!R390</f>
        <v/>
      </c>
      <c r="Y60" s="774" t="n"/>
      <c r="Z60" s="739">
        <f>VeriGiris!T390</f>
        <v/>
      </c>
      <c r="AA60" s="774" t="n"/>
      <c r="AB60" s="739">
        <f>VeriGiris!V390</f>
        <v/>
      </c>
      <c r="AC60" s="774" t="n"/>
      <c r="AD60" s="739">
        <f>VeriGiris!X390</f>
        <v/>
      </c>
      <c r="AE60" s="774" t="n"/>
      <c r="AF60" s="739">
        <f>VeriGiris!Z390</f>
        <v/>
      </c>
      <c r="AG60" s="774" t="n"/>
      <c r="AH60" s="764" t="n"/>
      <c r="AI60" s="83" t="n"/>
    </row>
    <row r="61" ht="27" customHeight="1" s="321">
      <c r="B61" s="761" t="inlineStr">
        <is>
          <t>XVI. Net Nakit Akışı  (VIII +XIV+IX+X+XI+XII-XIII-XV-V-VII-14)</t>
        </is>
      </c>
      <c r="C61" s="773" t="n"/>
      <c r="D61" s="773" t="n"/>
      <c r="E61" s="773" t="n"/>
      <c r="F61" s="773" t="n"/>
      <c r="G61" s="773" t="n"/>
      <c r="H61" s="773" t="n"/>
      <c r="I61" s="774" t="n"/>
      <c r="J61" s="739">
        <f>J44+J58+J48+J49+J50+J51-J53-J60-L29-L31-J47</f>
        <v/>
      </c>
      <c r="K61" s="774" t="n"/>
      <c r="L61" s="739">
        <f>L44+L58+L48+L49+L50+L51-L53-L60-L47</f>
        <v/>
      </c>
      <c r="M61" s="774" t="n"/>
      <c r="N61" s="739">
        <f>N44+N58+N48+N49+N50+N51-N53-N60-N29-N31-N47</f>
        <v/>
      </c>
      <c r="O61" s="774" t="n"/>
      <c r="P61" s="739">
        <f>P44+P58+P48+P49+P50+P51-P53-P60-P29-P31-P47</f>
        <v/>
      </c>
      <c r="Q61" s="774" t="n"/>
      <c r="R61" s="739">
        <f>R44+R58+R48+R49+R50+R51-R53-R60-R29-R31-R47</f>
        <v/>
      </c>
      <c r="S61" s="774" t="n"/>
      <c r="T61" s="739">
        <f>T44+T58+T48+T49+T50+T51-T53-T60-T29-T31-T47</f>
        <v/>
      </c>
      <c r="U61" s="774" t="n"/>
      <c r="V61" s="739">
        <f>V44+V58+V48+V49+V50+V51-V53-V60-V29-V31-V47</f>
        <v/>
      </c>
      <c r="W61" s="774" t="n"/>
      <c r="X61" s="739">
        <f>X44+X58+X48+X49+X50+X51-X53-X60-X29-X31-X47</f>
        <v/>
      </c>
      <c r="Y61" s="774" t="n"/>
      <c r="Z61" s="739">
        <f>Z44+Z58+Z48+Z49+Z50+Z51-Z53-Z60-Z29-Z31-Z47</f>
        <v/>
      </c>
      <c r="AA61" s="774" t="n"/>
      <c r="AB61" s="739">
        <f>AB44+AB58+AB48+AB49+AB50+AB51-AB53-AB60-AB29-AB31-AB47</f>
        <v/>
      </c>
      <c r="AC61" s="774" t="n"/>
      <c r="AD61" s="739">
        <f>AD44+AD58+AD48+AD49+AD50+AD51-AD53-AD60-AD29-AD31-AD47</f>
        <v/>
      </c>
      <c r="AE61" s="774" t="n"/>
      <c r="AF61" s="739">
        <f>AF44+AF58+AF48+AF49+AF50+AF51-AF53-AF60-AF29-AF31-AF47</f>
        <v/>
      </c>
      <c r="AG61" s="774" t="n"/>
      <c r="AH61" s="764" t="n"/>
      <c r="AI61" s="83" t="n"/>
    </row>
    <row r="62">
      <c r="B62" s="911" t="inlineStr">
        <is>
          <t xml:space="preserve">XVII.Kümülatif Net Nakit Akışı </t>
        </is>
      </c>
      <c r="C62" s="804" t="n"/>
      <c r="D62" s="804" t="n"/>
      <c r="E62" s="804" t="n"/>
      <c r="F62" s="804" t="n"/>
      <c r="G62" s="804" t="n"/>
      <c r="H62" s="804" t="n"/>
      <c r="I62" s="805" t="n"/>
      <c r="J62" s="739" t="n"/>
      <c r="K62" s="774" t="n"/>
      <c r="L62" s="739">
        <f>L61</f>
        <v/>
      </c>
      <c r="M62" s="774" t="n"/>
      <c r="N62" s="739">
        <f>L62+N61</f>
        <v/>
      </c>
      <c r="O62" s="774" t="n"/>
      <c r="P62" s="739">
        <f>N62+P61</f>
        <v/>
      </c>
      <c r="Q62" s="774" t="n"/>
      <c r="R62" s="739">
        <f>P62+R61</f>
        <v/>
      </c>
      <c r="S62" s="774" t="n"/>
      <c r="T62" s="739">
        <f>R62+T61</f>
        <v/>
      </c>
      <c r="U62" s="774" t="n"/>
      <c r="V62" s="739">
        <f>T62+V61</f>
        <v/>
      </c>
      <c r="W62" s="774" t="n"/>
      <c r="X62" s="739">
        <f>V62+X61</f>
        <v/>
      </c>
      <c r="Y62" s="774" t="n"/>
      <c r="Z62" s="739">
        <f>X62+Z61</f>
        <v/>
      </c>
      <c r="AA62" s="774" t="n"/>
      <c r="AB62" s="739">
        <f>Z62+AB61</f>
        <v/>
      </c>
      <c r="AC62" s="774" t="n"/>
      <c r="AD62" s="739">
        <f>AB62+AD61</f>
        <v/>
      </c>
      <c r="AE62" s="774" t="n"/>
      <c r="AF62" s="739">
        <f>AD62+AF61</f>
        <v/>
      </c>
      <c r="AG62" s="774" t="n"/>
      <c r="AH62" s="764" t="n"/>
      <c r="AI62" s="83" t="n"/>
    </row>
    <row r="63">
      <c r="B63" s="911" t="inlineStr">
        <is>
          <t>XVIII. Brüt Nakit Akışı (VIII +IX-XIII+ XIV+9)</t>
        </is>
      </c>
      <c r="C63" s="804" t="n"/>
      <c r="D63" s="804" t="n"/>
      <c r="E63" s="804" t="n"/>
      <c r="F63" s="804" t="n"/>
      <c r="G63" s="804" t="n"/>
      <c r="H63" s="804" t="n"/>
      <c r="I63" s="805" t="n"/>
      <c r="J63" s="739">
        <f>J44+J48-J53+J58+L23</f>
        <v/>
      </c>
      <c r="K63" s="774" t="n"/>
      <c r="L63" s="739">
        <f>L44+L48-L53+L58</f>
        <v/>
      </c>
      <c r="M63" s="774" t="n"/>
      <c r="N63" s="739">
        <f>N44+N48-N53+N58+N23</f>
        <v/>
      </c>
      <c r="O63" s="774" t="n"/>
      <c r="P63" s="739">
        <f>P44+P48-P53+P58+P23</f>
        <v/>
      </c>
      <c r="Q63" s="774" t="n"/>
      <c r="R63" s="739">
        <f>R44+R48-R53+R58+R23</f>
        <v/>
      </c>
      <c r="S63" s="774" t="n"/>
      <c r="T63" s="739">
        <f>T44+T48-T53+T58+T23</f>
        <v/>
      </c>
      <c r="U63" s="774" t="n"/>
      <c r="V63" s="739">
        <f>V44+V48-V53+V58+V23</f>
        <v/>
      </c>
      <c r="W63" s="774" t="n"/>
      <c r="X63" s="739">
        <f>X44+X48-X53+X58+X23</f>
        <v/>
      </c>
      <c r="Y63" s="774" t="n"/>
      <c r="Z63" s="739">
        <f>Z44+Z48-Z53+Z58+Z23</f>
        <v/>
      </c>
      <c r="AA63" s="774" t="n"/>
      <c r="AB63" s="739">
        <f>AB44+AB48-AB53+AB58+AB23</f>
        <v/>
      </c>
      <c r="AC63" s="774" t="n"/>
      <c r="AD63" s="739">
        <f>AD44+AD48-AD53+AD58+AD23</f>
        <v/>
      </c>
      <c r="AE63" s="774" t="n"/>
      <c r="AF63" s="739">
        <f>AF44+AF48-AF53+AF58+AF23</f>
        <v/>
      </c>
      <c r="AG63" s="774" t="n"/>
      <c r="AH63" s="764" t="n"/>
      <c r="AI63" s="83" t="n"/>
    </row>
    <row r="64">
      <c r="B64" s="741" t="inlineStr">
        <is>
          <t>XIX. İlave Brüt Nakit Akışı</t>
        </is>
      </c>
      <c r="C64" s="773" t="n"/>
      <c r="D64" s="773" t="n"/>
      <c r="E64" s="773" t="n"/>
      <c r="F64" s="773" t="n"/>
      <c r="G64" s="773" t="n"/>
      <c r="H64" s="773" t="n"/>
      <c r="I64" s="774" t="n"/>
      <c r="J64" s="739" t="n">
        <v>0</v>
      </c>
      <c r="K64" s="774" t="n"/>
      <c r="L64" s="739">
        <f>L63</f>
        <v/>
      </c>
      <c r="M64" s="774" t="n"/>
      <c r="N64" s="739">
        <f>IF($J$63&lt;0,N63,N63-$J$63)</f>
        <v/>
      </c>
      <c r="O64" s="774" t="n"/>
      <c r="P64" s="739">
        <f>IF($J$63&lt;0,P63,P63-$J$63)</f>
        <v/>
      </c>
      <c r="Q64" s="774" t="n"/>
      <c r="R64" s="739">
        <f>IF($J$63&lt;0,R63,R63-$J$63)</f>
        <v/>
      </c>
      <c r="S64" s="774" t="n"/>
      <c r="T64" s="739">
        <f>IF($J$63&lt;0,T63,T63-$J$63)</f>
        <v/>
      </c>
      <c r="U64" s="774" t="n"/>
      <c r="V64" s="739">
        <f>IF($J$63&lt;0,V63,V63-$J$63)</f>
        <v/>
      </c>
      <c r="W64" s="774" t="n"/>
      <c r="X64" s="739">
        <f>IF($J$63&lt;0,X63,X63-$J$63)</f>
        <v/>
      </c>
      <c r="Y64" s="774" t="n"/>
      <c r="Z64" s="739">
        <f>IF($J$63&lt;0,Z63,Z63-$J$63)</f>
        <v/>
      </c>
      <c r="AA64" s="774" t="n"/>
      <c r="AB64" s="739">
        <f>IF($J$63&lt;0,AB63,AB63-$J$63)</f>
        <v/>
      </c>
      <c r="AC64" s="774" t="n"/>
      <c r="AD64" s="739">
        <f>IF($J$63&lt;0,AD63,AD63-$J$63)</f>
        <v/>
      </c>
      <c r="AE64" s="774" t="n"/>
      <c r="AF64" s="739">
        <f>IF($J$63&lt;0,AF63,AF63-$J$63)</f>
        <v/>
      </c>
      <c r="AG64" s="774" t="n"/>
      <c r="AH64" s="764" t="n"/>
      <c r="AI64" s="83" t="n"/>
    </row>
    <row r="65" ht="15.75" customHeight="1" s="321">
      <c r="J65" s="107" t="n"/>
      <c r="K65" s="107" t="n"/>
      <c r="L65" s="740">
        <f>IF(L62&lt;0,1,0)</f>
        <v/>
      </c>
      <c r="M65" s="804" t="n"/>
      <c r="N65" s="740">
        <f>IF(N62&lt;0,1,0)</f>
        <v/>
      </c>
      <c r="O65" s="804" t="n"/>
      <c r="P65" s="740">
        <f>IF(P62&lt;0,1,0)</f>
        <v/>
      </c>
      <c r="Q65" s="804" t="n"/>
      <c r="R65" s="740">
        <f>IF(R62&lt;0,1,0)</f>
        <v/>
      </c>
      <c r="S65" s="804" t="n"/>
      <c r="T65" s="740">
        <f>IF(T62&lt;0,1,0)</f>
        <v/>
      </c>
      <c r="U65" s="804" t="n"/>
      <c r="V65" s="740">
        <f>IF(V62&lt;0,1,0)</f>
        <v/>
      </c>
      <c r="W65" s="804" t="n"/>
      <c r="X65" s="740">
        <f>IF(X62&lt;0,1,0)</f>
        <v/>
      </c>
      <c r="Y65" s="804" t="n"/>
      <c r="Z65" s="740">
        <f>IF(Z62&lt;0,1,0)</f>
        <v/>
      </c>
      <c r="AA65" s="804" t="n"/>
      <c r="AB65" s="740">
        <f>IF(AB62&lt;0,1,0)</f>
        <v/>
      </c>
      <c r="AC65" s="804" t="n"/>
      <c r="AD65" s="740">
        <f>IF(AD62&lt;0,1,0)</f>
        <v/>
      </c>
      <c r="AE65" s="804" t="n"/>
      <c r="AF65" s="740">
        <f>IF(AF62&lt;0,1,0)</f>
        <v/>
      </c>
      <c r="AG65" s="804" t="n"/>
      <c r="AH65" s="107" t="n"/>
      <c r="AI65" s="107" t="n"/>
    </row>
    <row r="66" ht="9.75" customFormat="1" customHeight="1" s="8">
      <c r="A66" s="7" t="n"/>
    </row>
    <row r="67" ht="9.75" customFormat="1" customHeight="1" s="8">
      <c r="A67" s="7" t="n"/>
      <c r="B67" s="75" t="n"/>
      <c r="C67" s="75" t="n"/>
      <c r="D67" s="75" t="n"/>
      <c r="E67" s="75" t="n"/>
      <c r="F67" s="75" t="n"/>
      <c r="G67" s="75" t="n"/>
      <c r="H67" s="76" t="n"/>
      <c r="I67" s="76" t="n"/>
      <c r="J67" s="76" t="n"/>
      <c r="K67" s="76" t="n"/>
      <c r="L67" s="76" t="n"/>
      <c r="M67" s="76" t="n"/>
      <c r="N67" s="76" t="n"/>
      <c r="O67" s="76" t="n"/>
      <c r="P67" s="76" t="n"/>
      <c r="Q67" s="76" t="n"/>
      <c r="R67" s="76" t="n"/>
      <c r="S67" s="76" t="n"/>
      <c r="T67" s="76" t="n"/>
      <c r="U67" s="76" t="n"/>
      <c r="V67" s="76" t="n"/>
      <c r="W67" s="76" t="n"/>
      <c r="X67" s="76" t="n"/>
      <c r="Y67" s="76" t="n"/>
      <c r="Z67" s="76" t="n"/>
      <c r="AA67" s="76" t="n"/>
    </row>
    <row r="68" ht="9.75" customFormat="1" customHeight="1" s="8" thickBot="1">
      <c r="A68" s="7" t="n"/>
      <c r="B68" s="77" t="n"/>
      <c r="C68" s="77" t="n"/>
      <c r="D68" s="77" t="n"/>
      <c r="E68" s="77" t="n"/>
      <c r="F68" s="77" t="n"/>
      <c r="G68" s="77" t="n"/>
      <c r="H68" s="77" t="n"/>
      <c r="I68" s="77" t="n"/>
      <c r="J68" s="77" t="n"/>
      <c r="K68" s="77" t="n"/>
      <c r="L68" s="77" t="n"/>
      <c r="M68" s="77" t="n"/>
      <c r="N68" s="77" t="n"/>
      <c r="O68" s="77" t="n"/>
      <c r="P68" s="77" t="n"/>
      <c r="Q68" s="77" t="n"/>
      <c r="R68" s="77" t="n"/>
      <c r="S68" s="77" t="n"/>
      <c r="T68" s="77" t="n"/>
      <c r="U68" s="77" t="n"/>
      <c r="V68" s="77" t="n"/>
      <c r="W68" s="77" t="n"/>
      <c r="X68" s="77" t="n"/>
      <c r="Y68" s="77" t="n"/>
      <c r="Z68" s="77" t="n"/>
      <c r="AA68" s="77" t="n"/>
    </row>
    <row r="69" ht="23.45" customFormat="1" customHeight="1" s="8" thickBot="1">
      <c r="A69" s="7" t="n"/>
      <c r="B69" s="912" t="inlineStr">
        <is>
          <t>PROJE MALİ OLARAK SÜRDÜRÜLEBİLİR Mİ?</t>
        </is>
      </c>
      <c r="C69" s="767" t="n"/>
      <c r="D69" s="767" t="n"/>
      <c r="E69" s="767" t="n"/>
      <c r="F69" s="767" t="n"/>
      <c r="G69" s="767" t="n"/>
      <c r="H69" s="767" t="n"/>
      <c r="I69" s="768" t="n"/>
      <c r="J69" s="731">
        <f>IF(AND(YatirimButcesi!B41="",SUM(L65:AG65)=0),"EVET","HAYIR")</f>
        <v/>
      </c>
      <c r="K69" s="813" t="n"/>
      <c r="L69" s="104" t="n"/>
      <c r="M69" s="104" t="n"/>
      <c r="N69" s="104" t="n"/>
      <c r="O69" s="733" t="inlineStr">
        <is>
          <t xml:space="preserve">NET BUGÜNKÜ DEĞER : </t>
        </is>
      </c>
      <c r="P69" s="767" t="n"/>
      <c r="Q69" s="767" t="n"/>
      <c r="R69" s="767" t="n"/>
      <c r="S69" s="767" t="n"/>
      <c r="T69" s="913">
        <f>L64+NPV(iskonto_orani,N64:AG64)</f>
        <v/>
      </c>
      <c r="U69" s="767" t="n"/>
      <c r="V69" s="767" t="n"/>
      <c r="W69" s="768" t="n"/>
      <c r="X69" s="48" t="n"/>
      <c r="Y69" s="48" t="n"/>
      <c r="Z69" s="48" t="n"/>
      <c r="AA69" s="48" t="n"/>
    </row>
    <row r="70" ht="61.5" customFormat="1" customHeight="1" s="8">
      <c r="A70" s="7" t="n"/>
      <c r="B70" s="105">
        <f>IF(C70="","","!")</f>
        <v/>
      </c>
      <c r="C70" s="738">
        <f>IF(AND(YatirimButcesi!B41="",SUM(L65:AG65)=0),"","'YatırımButcesi' sayfasında ve yukarıdaki tabloda bulunan 'Kümülatif Nakit Akış' satırlarındaki hiçbir değer negatif olmamalıdır.")</f>
        <v/>
      </c>
      <c r="L70" s="106" t="n"/>
      <c r="M70" s="106" t="n"/>
      <c r="N70" s="106" t="n"/>
      <c r="O70" s="105">
        <f>IF(P70="","","!")</f>
        <v/>
      </c>
      <c r="P70" s="738">
        <f>IF(T69&gt;=0,"","Net Bugünkü Değer Negatif Olmamalıdır.")</f>
        <v/>
      </c>
      <c r="X70" s="48" t="n"/>
      <c r="Y70" s="48" t="n"/>
      <c r="Z70" s="48" t="n"/>
      <c r="AA70" s="48" t="n"/>
    </row>
    <row r="71" ht="70.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ghcNRzIFrYkXMd3aMBI1RQ==" formatRows="0" sort="1" spinCount="100000" hashValue="g3cDzzT40VqArRfQKx5szaPsicCQvKvZ8/UViOFND/DUydOEvxZNMD04LUeIz7j3UNzpUbPP4wPyB6DX2kIaXw=="/>
  <mergeCells count="600">
    <mergeCell ref="AB45:AC45"/>
    <mergeCell ref="J59:K59"/>
    <mergeCell ref="Z53:AA53"/>
    <mergeCell ref="V20:W20"/>
    <mergeCell ref="B48:I48"/>
    <mergeCell ref="AB47:AC47"/>
    <mergeCell ref="AB59:AC59"/>
    <mergeCell ref="T62:U62"/>
    <mergeCell ref="AB46:AC46"/>
    <mergeCell ref="AD46:AE46"/>
    <mergeCell ref="AH48:AI48"/>
    <mergeCell ref="L29:M29"/>
    <mergeCell ref="AB61:AC61"/>
    <mergeCell ref="R51:S51"/>
    <mergeCell ref="V15:W15"/>
    <mergeCell ref="AF15:AG15"/>
    <mergeCell ref="T51:U51"/>
    <mergeCell ref="AF12:AG12"/>
    <mergeCell ref="X15:Y15"/>
    <mergeCell ref="V51:W51"/>
    <mergeCell ref="N29:O29"/>
    <mergeCell ref="AB48:AC48"/>
    <mergeCell ref="L31:M31"/>
    <mergeCell ref="N31:O31"/>
    <mergeCell ref="B17:K17"/>
    <mergeCell ref="AH45:AI45"/>
    <mergeCell ref="N24:O24"/>
    <mergeCell ref="J62:K62"/>
    <mergeCell ref="P24:Q24"/>
    <mergeCell ref="R18:S18"/>
    <mergeCell ref="B19:K19"/>
    <mergeCell ref="AH47:AI47"/>
    <mergeCell ref="N26:O26"/>
    <mergeCell ref="J64:K64"/>
    <mergeCell ref="P26:Q26"/>
    <mergeCell ref="J57:K57"/>
    <mergeCell ref="L57:M57"/>
    <mergeCell ref="R19:S19"/>
    <mergeCell ref="AD59:AE59"/>
    <mergeCell ref="Z43:AA43"/>
    <mergeCell ref="AF63:AG63"/>
    <mergeCell ref="AD28:AE28"/>
    <mergeCell ref="AH63:AI63"/>
    <mergeCell ref="AH50:AI50"/>
    <mergeCell ref="N52:O52"/>
    <mergeCell ref="AD30:AE30"/>
    <mergeCell ref="B42:AG42"/>
    <mergeCell ref="AF30:AG30"/>
    <mergeCell ref="N44:O44"/>
    <mergeCell ref="AD61:AE61"/>
    <mergeCell ref="AF31:AG31"/>
    <mergeCell ref="B64:I64"/>
    <mergeCell ref="B51:I51"/>
    <mergeCell ref="B13:K13"/>
    <mergeCell ref="P14:Q14"/>
    <mergeCell ref="AH22:AI22"/>
    <mergeCell ref="R14:S14"/>
    <mergeCell ref="AB62:AC62"/>
    <mergeCell ref="V65:W65"/>
    <mergeCell ref="AD62:AE62"/>
    <mergeCell ref="AD56:AE56"/>
    <mergeCell ref="V21:W21"/>
    <mergeCell ref="X21:Y21"/>
    <mergeCell ref="AF56:AG56"/>
    <mergeCell ref="T57:U57"/>
    <mergeCell ref="T29:U29"/>
    <mergeCell ref="AB64:AC64"/>
    <mergeCell ref="AD64:AE64"/>
    <mergeCell ref="V23:W23"/>
    <mergeCell ref="X23:Y23"/>
    <mergeCell ref="L47:M47"/>
    <mergeCell ref="T58:U58"/>
    <mergeCell ref="X16:Y16"/>
    <mergeCell ref="T54:U54"/>
    <mergeCell ref="Z16:AA16"/>
    <mergeCell ref="AB16:AC16"/>
    <mergeCell ref="V24:W24"/>
    <mergeCell ref="B25:K25"/>
    <mergeCell ref="P27:Q27"/>
    <mergeCell ref="X18:Y18"/>
    <mergeCell ref="R27:S27"/>
    <mergeCell ref="Z18:AA18"/>
    <mergeCell ref="B22:K22"/>
    <mergeCell ref="L58:M58"/>
    <mergeCell ref="R20:S20"/>
    <mergeCell ref="Z17:AA17"/>
    <mergeCell ref="AD49:AE49"/>
    <mergeCell ref="V49:W49"/>
    <mergeCell ref="AB11:AC11"/>
    <mergeCell ref="L50:M50"/>
    <mergeCell ref="L25:M25"/>
    <mergeCell ref="AD11:AE11"/>
    <mergeCell ref="AB57:AC57"/>
    <mergeCell ref="T60:U60"/>
    <mergeCell ref="L60:M60"/>
    <mergeCell ref="R22:S22"/>
    <mergeCell ref="N60:O60"/>
    <mergeCell ref="L52:M52"/>
    <mergeCell ref="AD50:AE50"/>
    <mergeCell ref="N45:O45"/>
    <mergeCell ref="P45:Q45"/>
    <mergeCell ref="AD52:AE52"/>
    <mergeCell ref="V55:W55"/>
    <mergeCell ref="T69:W69"/>
    <mergeCell ref="N47:O47"/>
    <mergeCell ref="R11:S11"/>
    <mergeCell ref="B15:K15"/>
    <mergeCell ref="R13:S13"/>
    <mergeCell ref="L13:M13"/>
    <mergeCell ref="V29:W29"/>
    <mergeCell ref="T65:U65"/>
    <mergeCell ref="R15:S15"/>
    <mergeCell ref="L15:M15"/>
    <mergeCell ref="V31:W31"/>
    <mergeCell ref="J55:K55"/>
    <mergeCell ref="L55:M55"/>
    <mergeCell ref="X49:Y49"/>
    <mergeCell ref="B44:I44"/>
    <mergeCell ref="AF21:AG21"/>
    <mergeCell ref="X24:Y24"/>
    <mergeCell ref="AD57:AE57"/>
    <mergeCell ref="V60:W60"/>
    <mergeCell ref="V45:W45"/>
    <mergeCell ref="V26:W26"/>
    <mergeCell ref="AF23:AG23"/>
    <mergeCell ref="X26:Y26"/>
    <mergeCell ref="AB17:AC17"/>
    <mergeCell ref="AF50:AG50"/>
    <mergeCell ref="AH16:AI16"/>
    <mergeCell ref="Z19:AA19"/>
    <mergeCell ref="V57:W57"/>
    <mergeCell ref="AB19:AC19"/>
    <mergeCell ref="AF52:AG52"/>
    <mergeCell ref="AF27:AG27"/>
    <mergeCell ref="B28:K28"/>
    <mergeCell ref="X27:Y27"/>
    <mergeCell ref="AF18:AG18"/>
    <mergeCell ref="AB58:AC58"/>
    <mergeCell ref="B30:K30"/>
    <mergeCell ref="V58:W58"/>
    <mergeCell ref="R28:S28"/>
    <mergeCell ref="V52:W52"/>
    <mergeCell ref="AF49:AG49"/>
    <mergeCell ref="L28:M28"/>
    <mergeCell ref="L53:M53"/>
    <mergeCell ref="N53:O53"/>
    <mergeCell ref="X52:Y52"/>
    <mergeCell ref="AB60:AC60"/>
    <mergeCell ref="AD60:AE60"/>
    <mergeCell ref="R30:S30"/>
    <mergeCell ref="P59:Q59"/>
    <mergeCell ref="N46:O46"/>
    <mergeCell ref="P46:Q46"/>
    <mergeCell ref="N61:O61"/>
    <mergeCell ref="P61:Q61"/>
    <mergeCell ref="R12:S12"/>
    <mergeCell ref="N48:O48"/>
    <mergeCell ref="T12:U12"/>
    <mergeCell ref="P48:Q48"/>
    <mergeCell ref="X20:Y20"/>
    <mergeCell ref="AF55:AG55"/>
    <mergeCell ref="R54:S54"/>
    <mergeCell ref="Z13:AA13"/>
    <mergeCell ref="AB13:AC13"/>
    <mergeCell ref="R56:S56"/>
    <mergeCell ref="L21:M21"/>
    <mergeCell ref="P43:Q43"/>
    <mergeCell ref="T56:U56"/>
    <mergeCell ref="R43:S43"/>
    <mergeCell ref="T43:U43"/>
    <mergeCell ref="Z63:AA63"/>
    <mergeCell ref="Z15:AA15"/>
    <mergeCell ref="V47:W47"/>
    <mergeCell ref="B45:I45"/>
    <mergeCell ref="AD58:AE58"/>
    <mergeCell ref="L16:M16"/>
    <mergeCell ref="B47:I47"/>
    <mergeCell ref="N16:O16"/>
    <mergeCell ref="AF24:AG24"/>
    <mergeCell ref="AH24:AI24"/>
    <mergeCell ref="Z27:AA27"/>
    <mergeCell ref="B59:I59"/>
    <mergeCell ref="AH18:AI18"/>
    <mergeCell ref="N51:O51"/>
    <mergeCell ref="B46:I46"/>
    <mergeCell ref="V48:W48"/>
    <mergeCell ref="R59:S59"/>
    <mergeCell ref="AH17:AI17"/>
    <mergeCell ref="Z25:AA25"/>
    <mergeCell ref="AF53:AG53"/>
    <mergeCell ref="R25:S25"/>
    <mergeCell ref="AB25:AC25"/>
    <mergeCell ref="AH53:AI53"/>
    <mergeCell ref="T25:U25"/>
    <mergeCell ref="J49:K49"/>
    <mergeCell ref="P11:Q11"/>
    <mergeCell ref="AH19:AI19"/>
    <mergeCell ref="Z22:AA22"/>
    <mergeCell ref="AB22:AC22"/>
    <mergeCell ref="AH55:AI55"/>
    <mergeCell ref="L30:M30"/>
    <mergeCell ref="P70:W70"/>
    <mergeCell ref="B31:K31"/>
    <mergeCell ref="X45:Y45"/>
    <mergeCell ref="L44:M44"/>
    <mergeCell ref="T64:U64"/>
    <mergeCell ref="T31:U31"/>
    <mergeCell ref="V53:W53"/>
    <mergeCell ref="X59:Y59"/>
    <mergeCell ref="P62:Q62"/>
    <mergeCell ref="V46:W46"/>
    <mergeCell ref="Z59:AA59"/>
    <mergeCell ref="X46:Y46"/>
    <mergeCell ref="Z46:AA46"/>
    <mergeCell ref="V61:W61"/>
    <mergeCell ref="AH12:AI12"/>
    <mergeCell ref="AD48:AE48"/>
    <mergeCell ref="P64:Q64"/>
    <mergeCell ref="AB15:AC15"/>
    <mergeCell ref="AF48:AG48"/>
    <mergeCell ref="R64:S64"/>
    <mergeCell ref="P51:Q51"/>
    <mergeCell ref="T15:U15"/>
    <mergeCell ref="X48:Y48"/>
    <mergeCell ref="Z54:AA54"/>
    <mergeCell ref="AH14:AI14"/>
    <mergeCell ref="R57:S57"/>
    <mergeCell ref="AB54:AC54"/>
    <mergeCell ref="R49:S49"/>
    <mergeCell ref="AH43:AI43"/>
    <mergeCell ref="L24:M24"/>
    <mergeCell ref="L18:M18"/>
    <mergeCell ref="C70:K70"/>
    <mergeCell ref="N18:O18"/>
    <mergeCell ref="B61:I61"/>
    <mergeCell ref="N17:O17"/>
    <mergeCell ref="L26:M26"/>
    <mergeCell ref="P17:Q17"/>
    <mergeCell ref="B69:I69"/>
    <mergeCell ref="B12:K12"/>
    <mergeCell ref="N19:O19"/>
    <mergeCell ref="P19:Q19"/>
    <mergeCell ref="AH27:AI27"/>
    <mergeCell ref="X51:Y51"/>
    <mergeCell ref="R62:S62"/>
    <mergeCell ref="B14:K14"/>
    <mergeCell ref="P12:Q12"/>
    <mergeCell ref="J50:K50"/>
    <mergeCell ref="AH25:AI25"/>
    <mergeCell ref="Z28:AA28"/>
    <mergeCell ref="AB28:AC28"/>
    <mergeCell ref="T28:U28"/>
    <mergeCell ref="R52:S52"/>
    <mergeCell ref="J52:K52"/>
    <mergeCell ref="Z30:AA30"/>
    <mergeCell ref="AD21:AE21"/>
    <mergeCell ref="AB30:AC30"/>
    <mergeCell ref="J44:K44"/>
    <mergeCell ref="T30:U30"/>
    <mergeCell ref="AB29:AC29"/>
    <mergeCell ref="AD29:AE29"/>
    <mergeCell ref="X61:Y61"/>
    <mergeCell ref="AD23:AE23"/>
    <mergeCell ref="Z61:AA61"/>
    <mergeCell ref="T47:U47"/>
    <mergeCell ref="B43:I43"/>
    <mergeCell ref="X62:Y62"/>
    <mergeCell ref="P65:Q65"/>
    <mergeCell ref="Z62:AA62"/>
    <mergeCell ref="B57:I57"/>
    <mergeCell ref="R65:S65"/>
    <mergeCell ref="R21:S21"/>
    <mergeCell ref="Z56:AA56"/>
    <mergeCell ref="T21:U21"/>
    <mergeCell ref="AB56:AC56"/>
    <mergeCell ref="AB43:AC43"/>
    <mergeCell ref="AF64:AG64"/>
    <mergeCell ref="AH64:AI64"/>
    <mergeCell ref="AH15:AI15"/>
    <mergeCell ref="X64:Y64"/>
    <mergeCell ref="AF51:AG51"/>
    <mergeCell ref="Z64:AA64"/>
    <mergeCell ref="J63:K63"/>
    <mergeCell ref="AH51:AI51"/>
    <mergeCell ref="R50:S50"/>
    <mergeCell ref="Z51:AA51"/>
    <mergeCell ref="T23:U23"/>
    <mergeCell ref="L63:M63"/>
    <mergeCell ref="AH30:AI30"/>
    <mergeCell ref="J47:K47"/>
    <mergeCell ref="T16:U16"/>
    <mergeCell ref="V16:W16"/>
    <mergeCell ref="T52:U52"/>
    <mergeCell ref="L27:M27"/>
    <mergeCell ref="T18:U18"/>
    <mergeCell ref="N27:O27"/>
    <mergeCell ref="V18:W18"/>
    <mergeCell ref="AD17:AE17"/>
    <mergeCell ref="B62:I62"/>
    <mergeCell ref="N20:O20"/>
    <mergeCell ref="V17:W17"/>
    <mergeCell ref="P20:Q20"/>
    <mergeCell ref="X11:Y11"/>
    <mergeCell ref="T49:U49"/>
    <mergeCell ref="Z11:AA11"/>
    <mergeCell ref="N22:O22"/>
    <mergeCell ref="J60:K60"/>
    <mergeCell ref="P22:Q22"/>
    <mergeCell ref="Z50:AA50"/>
    <mergeCell ref="J53:K53"/>
    <mergeCell ref="AB44:AC44"/>
    <mergeCell ref="T50:U50"/>
    <mergeCell ref="T44:U44"/>
    <mergeCell ref="AB31:AC31"/>
    <mergeCell ref="J45:K45"/>
    <mergeCell ref="V44:W44"/>
    <mergeCell ref="AD31:AE31"/>
    <mergeCell ref="L45:M45"/>
    <mergeCell ref="Z52:AA52"/>
    <mergeCell ref="R55:S55"/>
    <mergeCell ref="AF59:AG59"/>
    <mergeCell ref="AH59:AI59"/>
    <mergeCell ref="AH46:AI46"/>
    <mergeCell ref="P13:Q13"/>
    <mergeCell ref="AD26:AE26"/>
    <mergeCell ref="AH61:AI61"/>
    <mergeCell ref="AF26:AG26"/>
    <mergeCell ref="N15:O15"/>
    <mergeCell ref="P15:Q15"/>
    <mergeCell ref="AH54:AI54"/>
    <mergeCell ref="P58:Q58"/>
    <mergeCell ref="R58:S58"/>
    <mergeCell ref="J58:K58"/>
    <mergeCell ref="AB49:AC49"/>
    <mergeCell ref="Z65:AA65"/>
    <mergeCell ref="AH56:AI56"/>
    <mergeCell ref="AB65:AC65"/>
    <mergeCell ref="T24:U24"/>
    <mergeCell ref="R60:S60"/>
    <mergeCell ref="AB63:AC63"/>
    <mergeCell ref="AD63:AE63"/>
    <mergeCell ref="X17:Y17"/>
    <mergeCell ref="AB50:AC50"/>
    <mergeCell ref="T53:U53"/>
    <mergeCell ref="AD44:AE44"/>
    <mergeCell ref="V19:W19"/>
    <mergeCell ref="AF16:AG16"/>
    <mergeCell ref="X19:Y19"/>
    <mergeCell ref="T55:U55"/>
    <mergeCell ref="Z12:AA12"/>
    <mergeCell ref="AD45:AE45"/>
    <mergeCell ref="AF45:AG45"/>
    <mergeCell ref="AB12:AC12"/>
    <mergeCell ref="X58:Y58"/>
    <mergeCell ref="AF20:AG20"/>
    <mergeCell ref="B21:K21"/>
    <mergeCell ref="AH49:AI49"/>
    <mergeCell ref="AF14:AG14"/>
    <mergeCell ref="N28:O28"/>
    <mergeCell ref="AB52:AC52"/>
    <mergeCell ref="AF11:AG11"/>
    <mergeCell ref="X14:Y14"/>
    <mergeCell ref="P28:Q28"/>
    <mergeCell ref="AH11:AI11"/>
    <mergeCell ref="Z14:AA14"/>
    <mergeCell ref="X60:Y60"/>
    <mergeCell ref="AD22:AE22"/>
    <mergeCell ref="Z60:AA60"/>
    <mergeCell ref="B23:K23"/>
    <mergeCell ref="N30:O30"/>
    <mergeCell ref="L59:M59"/>
    <mergeCell ref="P30:Q30"/>
    <mergeCell ref="J46:K46"/>
    <mergeCell ref="L46:M46"/>
    <mergeCell ref="J61:K61"/>
    <mergeCell ref="AD47:AE47"/>
    <mergeCell ref="R23:S23"/>
    <mergeCell ref="L61:M61"/>
    <mergeCell ref="J48:K48"/>
    <mergeCell ref="L48:M48"/>
    <mergeCell ref="Z55:AA55"/>
    <mergeCell ref="AB55:AC55"/>
    <mergeCell ref="N54:O54"/>
    <mergeCell ref="AH62:AI62"/>
    <mergeCell ref="V13:W13"/>
    <mergeCell ref="X13:Y13"/>
    <mergeCell ref="N56:O56"/>
    <mergeCell ref="L43:M43"/>
    <mergeCell ref="P56:Q56"/>
    <mergeCell ref="N43:O43"/>
    <mergeCell ref="T63:U63"/>
    <mergeCell ref="V63:W63"/>
    <mergeCell ref="P49:Q49"/>
    <mergeCell ref="Z58:AA58"/>
    <mergeCell ref="V27:W27"/>
    <mergeCell ref="N59:O59"/>
    <mergeCell ref="AF17:AG17"/>
    <mergeCell ref="AB53:AC53"/>
    <mergeCell ref="Z20:AA20"/>
    <mergeCell ref="AD53:AE53"/>
    <mergeCell ref="AF47:AG47"/>
    <mergeCell ref="L11:M11"/>
    <mergeCell ref="B29:K29"/>
    <mergeCell ref="V22:W22"/>
    <mergeCell ref="AF22:AG22"/>
    <mergeCell ref="AF19:AG19"/>
    <mergeCell ref="X22:Y22"/>
    <mergeCell ref="AF46:AG46"/>
    <mergeCell ref="AD55:AE55"/>
    <mergeCell ref="P54:Q54"/>
    <mergeCell ref="P29:Q29"/>
    <mergeCell ref="AF61:AG61"/>
    <mergeCell ref="R29:S29"/>
    <mergeCell ref="T45:U45"/>
    <mergeCell ref="P44:Q44"/>
    <mergeCell ref="B24:K24"/>
    <mergeCell ref="AH52:AI52"/>
    <mergeCell ref="J69:K69"/>
    <mergeCell ref="P31:Q31"/>
    <mergeCell ref="R31:S31"/>
    <mergeCell ref="B26:K26"/>
    <mergeCell ref="T59:U59"/>
    <mergeCell ref="R24:S24"/>
    <mergeCell ref="L62:M62"/>
    <mergeCell ref="V59:W59"/>
    <mergeCell ref="N62:O62"/>
    <mergeCell ref="L64:M64"/>
    <mergeCell ref="R26:S26"/>
    <mergeCell ref="N64:O64"/>
    <mergeCell ref="T26:U26"/>
    <mergeCell ref="L51:M51"/>
    <mergeCell ref="B27:K27"/>
    <mergeCell ref="AD54:AE54"/>
    <mergeCell ref="V54:W54"/>
    <mergeCell ref="N57:O57"/>
    <mergeCell ref="P57:Q57"/>
    <mergeCell ref="AD43:AE43"/>
    <mergeCell ref="L17:M17"/>
    <mergeCell ref="N11:O11"/>
    <mergeCell ref="R44:S44"/>
    <mergeCell ref="B54:I54"/>
    <mergeCell ref="L19:M19"/>
    <mergeCell ref="B20:K20"/>
    <mergeCell ref="B56:I56"/>
    <mergeCell ref="L12:M12"/>
    <mergeCell ref="N12:O12"/>
    <mergeCell ref="AD25:AE25"/>
    <mergeCell ref="V28:W28"/>
    <mergeCell ref="AF25:AG25"/>
    <mergeCell ref="AH20:AI20"/>
    <mergeCell ref="X28:Y28"/>
    <mergeCell ref="L14:M14"/>
    <mergeCell ref="AF62:AG62"/>
    <mergeCell ref="N14:O14"/>
    <mergeCell ref="V30:W30"/>
    <mergeCell ref="Z21:AA21"/>
    <mergeCell ref="X30:Y30"/>
    <mergeCell ref="AB21:AC21"/>
    <mergeCell ref="X29:Y29"/>
    <mergeCell ref="Z29:AA29"/>
    <mergeCell ref="T61:U61"/>
    <mergeCell ref="Z23:AA23"/>
    <mergeCell ref="AB23:AC23"/>
    <mergeCell ref="P47:Q47"/>
    <mergeCell ref="X54:Y54"/>
    <mergeCell ref="AD16:AE16"/>
    <mergeCell ref="L65:M65"/>
    <mergeCell ref="Z24:AA24"/>
    <mergeCell ref="AF13:AG13"/>
    <mergeCell ref="T27:U27"/>
    <mergeCell ref="V62:W62"/>
    <mergeCell ref="AH13:AI13"/>
    <mergeCell ref="AB18:AC18"/>
    <mergeCell ref="V56:W56"/>
    <mergeCell ref="X56:Y56"/>
    <mergeCell ref="AD18:AE18"/>
    <mergeCell ref="N65:O65"/>
    <mergeCell ref="AF43:AG43"/>
    <mergeCell ref="V43:W43"/>
    <mergeCell ref="X43:Y43"/>
    <mergeCell ref="N63:O63"/>
    <mergeCell ref="AB51:AC51"/>
    <mergeCell ref="P63:Q63"/>
    <mergeCell ref="AD51:AE51"/>
    <mergeCell ref="Z49:AA49"/>
    <mergeCell ref="N25:O25"/>
    <mergeCell ref="N50:O50"/>
    <mergeCell ref="P50:Q50"/>
    <mergeCell ref="P25:Q25"/>
    <mergeCell ref="R63:S63"/>
    <mergeCell ref="AF57:AG57"/>
    <mergeCell ref="X57:Y57"/>
    <mergeCell ref="P60:Q60"/>
    <mergeCell ref="Z57:AA57"/>
    <mergeCell ref="R16:S16"/>
    <mergeCell ref="P52:Q52"/>
    <mergeCell ref="R45:S45"/>
    <mergeCell ref="L20:M20"/>
    <mergeCell ref="T11:U11"/>
    <mergeCell ref="V11:W11"/>
    <mergeCell ref="R47:S47"/>
    <mergeCell ref="T22:U22"/>
    <mergeCell ref="N13:O13"/>
    <mergeCell ref="L22:M22"/>
    <mergeCell ref="B49:I49"/>
    <mergeCell ref="V50:W50"/>
    <mergeCell ref="X44:Y44"/>
    <mergeCell ref="J51:K51"/>
    <mergeCell ref="AF28:AG28"/>
    <mergeCell ref="X31:Y31"/>
    <mergeCell ref="AH28:AI28"/>
    <mergeCell ref="Z31:AA31"/>
    <mergeCell ref="B63:I63"/>
    <mergeCell ref="N55:O55"/>
    <mergeCell ref="B50:I50"/>
    <mergeCell ref="P55:Q55"/>
    <mergeCell ref="AH21:AI21"/>
    <mergeCell ref="AB24:AC24"/>
    <mergeCell ref="AD24:AE24"/>
    <mergeCell ref="AH23:AI23"/>
    <mergeCell ref="Z26:AA26"/>
    <mergeCell ref="V64:W64"/>
    <mergeCell ref="AB26:AC26"/>
    <mergeCell ref="AF54:AG54"/>
    <mergeCell ref="AD19:AE19"/>
    <mergeCell ref="N58:O58"/>
    <mergeCell ref="AD65:AE65"/>
    <mergeCell ref="AB27:AC27"/>
    <mergeCell ref="O69:S69"/>
    <mergeCell ref="X65:Y65"/>
    <mergeCell ref="AD27:AE27"/>
    <mergeCell ref="AF58:AG58"/>
    <mergeCell ref="X63:Y63"/>
    <mergeCell ref="R17:S17"/>
    <mergeCell ref="T17:U17"/>
    <mergeCell ref="X50:Y50"/>
    <mergeCell ref="P53:Q53"/>
    <mergeCell ref="R53:S53"/>
    <mergeCell ref="Z44:AA44"/>
    <mergeCell ref="B10:AG10"/>
    <mergeCell ref="AF60:AG60"/>
    <mergeCell ref="B55:I55"/>
    <mergeCell ref="R46:S46"/>
    <mergeCell ref="T19:U19"/>
    <mergeCell ref="T46:U46"/>
    <mergeCell ref="R61:S61"/>
    <mergeCell ref="AD12:AE12"/>
    <mergeCell ref="V12:W12"/>
    <mergeCell ref="Z45:AA45"/>
    <mergeCell ref="R48:S48"/>
    <mergeCell ref="X12:Y12"/>
    <mergeCell ref="T48:U48"/>
    <mergeCell ref="AB20:AC20"/>
    <mergeCell ref="AB14:AC14"/>
    <mergeCell ref="AD20:AE20"/>
    <mergeCell ref="T20:U20"/>
    <mergeCell ref="AD14:AE14"/>
    <mergeCell ref="T14:U14"/>
    <mergeCell ref="V14:W14"/>
    <mergeCell ref="AD13:AE13"/>
    <mergeCell ref="B58:I58"/>
    <mergeCell ref="B52:I52"/>
    <mergeCell ref="N21:O21"/>
    <mergeCell ref="AF29:AG29"/>
    <mergeCell ref="P21:Q21"/>
    <mergeCell ref="AH29:AI29"/>
    <mergeCell ref="AF65:AG65"/>
    <mergeCell ref="X53:Y53"/>
    <mergeCell ref="AD15:AE15"/>
    <mergeCell ref="B60:I60"/>
    <mergeCell ref="AF44:AG44"/>
    <mergeCell ref="L23:M23"/>
    <mergeCell ref="B16:K16"/>
    <mergeCell ref="AH44:AI44"/>
    <mergeCell ref="N23:O23"/>
    <mergeCell ref="Z47:AA47"/>
    <mergeCell ref="X47:Y47"/>
    <mergeCell ref="P23:Q23"/>
    <mergeCell ref="AH31:AI31"/>
    <mergeCell ref="AH58:AI58"/>
    <mergeCell ref="B53:I53"/>
    <mergeCell ref="X55:Y55"/>
    <mergeCell ref="B18:K18"/>
    <mergeCell ref="P16:Q16"/>
    <mergeCell ref="J54:K54"/>
    <mergeCell ref="L54:M54"/>
    <mergeCell ref="AH60:AI60"/>
    <mergeCell ref="Z48:AA48"/>
    <mergeCell ref="B11:K11"/>
    <mergeCell ref="T13:U13"/>
    <mergeCell ref="J56:K56"/>
    <mergeCell ref="P18:Q18"/>
    <mergeCell ref="AH26:AI26"/>
    <mergeCell ref="L56:M56"/>
    <mergeCell ref="J43:K43"/>
    <mergeCell ref="V25:W25"/>
    <mergeCell ref="X25:Y25"/>
    <mergeCell ref="L49:M49"/>
    <mergeCell ref="N49:O49"/>
    <mergeCell ref="AH57:AI57"/>
  </mergeCells>
  <conditionalFormatting sqref="B70:K70">
    <cfRule type="cellIs" priority="7" operator="notEqual" dxfId="2">
      <formula>""</formula>
    </cfRule>
  </conditionalFormatting>
  <conditionalFormatting sqref="J69:K69">
    <cfRule type="cellIs" priority="5" operator="equal" dxfId="1">
      <formula>"HAYIR"</formula>
    </cfRule>
    <cfRule type="cellIs" priority="6" operator="equal" dxfId="0">
      <formula>"EVET"</formula>
    </cfRule>
  </conditionalFormatting>
  <conditionalFormatting sqref="O70:W70">
    <cfRule type="cellIs" priority="4" operator="notEqual" dxfId="2">
      <formula>""</formula>
    </cfRule>
  </conditionalFormatting>
  <conditionalFormatting sqref="O70">
    <cfRule type="cellIs" priority="3" operator="notEqual" dxfId="2">
      <formula>""</formula>
    </cfRule>
  </conditionalFormatting>
  <conditionalFormatting sqref="T69:W69">
    <cfRule type="cellIs" priority="1" operator="lessThan" dxfId="1">
      <formula>0</formula>
    </cfRule>
    <cfRule type="cellIs" priority="2" operator="greaterThanOrEqual" dxfId="0">
      <formula>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65" horizontalDpi="300" verticalDpi="300"/>
  <headerFooter>
    <oddHeader/>
    <oddFooter>&amp;R&amp;A - &amp;P</oddFooter>
    <evenHeader/>
    <evenFooter/>
    <firstHeader/>
    <firstFooter/>
  </headerFooter>
  <rowBreaks count="1" manualBreakCount="1">
    <brk id="40" min="0" max="40" man="1"/>
  </rowBreak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Yazar</dc:creator>
  <dcterms:created xmlns:dcterms="http://purl.org/dc/terms/" xmlns:xsi="http://www.w3.org/2001/XMLSchema-instance" xsi:type="dcterms:W3CDTF">2010-12-28T07:59:37Z</dcterms:created>
  <dcterms:modified xmlns:dcterms="http://purl.org/dc/terms/" xmlns:xsi="http://www.w3.org/2001/XMLSchema-instance" xsi:type="dcterms:W3CDTF">2026-08-30T12:48:03Z</dcterms:modified>
  <cp:lastModifiedBy>Merve UNAL</cp:lastModifiedBy>
  <cp:lastPrinted>2011-08-02T14:45:32Z</cp:lastPrinted>
</cp:coreProperties>
</file>