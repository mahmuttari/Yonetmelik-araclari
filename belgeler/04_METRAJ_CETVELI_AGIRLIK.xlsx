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SILOSU BETONARME KAIDELERI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12" customHeight="1">
      <c r="A120" s="6" t="n"/>
      <c r="B120" s="23" t="inlineStr">
        <is>
          <t>Kaideler 2,90 x 2,90 x 0,50 m³, 2 adet; 90 kg/m³</t>
        </is>
      </c>
      <c r="C120" s="6" t="n"/>
      <c r="D120" s="28" t="n">
        <v>2</v>
      </c>
      <c r="E120" s="28" t="n">
        <v>1</v>
      </c>
      <c r="F120" s="29" t="n">
        <v>8.41</v>
      </c>
      <c r="G120" s="29" t="n">
        <v>0.5</v>
      </c>
      <c r="H120" s="36" t="inlineStr">
        <is>
          <t>ø8-12 nervürlü</t>
        </is>
      </c>
      <c r="I120" s="33" t="n">
        <v>0.09</v>
      </c>
      <c r="J120" s="34">
        <f>D120*E120*F120*G120*I120</f>
        <v/>
      </c>
      <c r="K120" s="6" t="n"/>
    </row>
    <row r="121">
      <c r="A121" s="22" t="n"/>
      <c r="B121" s="25" t="inlineStr">
        <is>
          <t>SL/M26 GENEL TOPLAM</t>
        </is>
      </c>
      <c r="C121" s="26" t="inlineStr">
        <is>
          <t>ton</t>
        </is>
      </c>
      <c r="D121" s="22" t="n"/>
      <c r="E121" s="22" t="n"/>
      <c r="F121" s="22" t="n"/>
      <c r="G121" s="22" t="n"/>
      <c r="H121" s="22" t="n"/>
      <c r="I121" s="22" t="n"/>
      <c r="J121" s="22" t="n"/>
      <c r="K121" s="35">
        <f>SUM(J120:J120)</f>
        <v/>
      </c>
    </row>
    <row r="123" ht="20" customHeight="1">
      <c r="A123" s="18" t="inlineStr">
        <is>
          <t>Yapı/Bina Adı: SU DEPOSU</t>
        </is>
      </c>
    </row>
    <row r="124" ht="28" customHeight="1">
      <c r="A124" s="7" t="inlineStr">
        <is>
          <t>Poz No</t>
        </is>
      </c>
      <c r="B124" s="7" t="inlineStr">
        <is>
          <t>Tanımı</t>
        </is>
      </c>
      <c r="C124" s="7" t="inlineStr">
        <is>
          <t>Birim</t>
        </is>
      </c>
      <c r="D124" s="7" t="inlineStr">
        <is>
          <t>Benzer</t>
        </is>
      </c>
      <c r="E124" s="7" t="inlineStr">
        <is>
          <t>Adet</t>
        </is>
      </c>
      <c r="F124" s="7" t="inlineStr">
        <is>
          <t>Boy (m)</t>
        </is>
      </c>
      <c r="G124" s="7" t="inlineStr">
        <is>
          <t>En (m)</t>
        </is>
      </c>
      <c r="H124" s="7" t="inlineStr">
        <is>
          <t>Demir çapı veya profil tipi</t>
        </is>
      </c>
      <c r="I124" s="7" t="inlineStr">
        <is>
          <t>Birim Ağırlık</t>
        </is>
      </c>
      <c r="J124" s="7" t="inlineStr">
        <is>
          <t>Toplam Ağırlık</t>
        </is>
      </c>
      <c r="K124" s="7" t="inlineStr">
        <is>
          <t>Genel Toplam</t>
        </is>
      </c>
    </row>
    <row r="125" ht="22" customHeight="1">
      <c r="A125" s="20" t="inlineStr">
        <is>
          <t>15.160.1003</t>
        </is>
      </c>
      <c r="B125" s="8" t="inlineStr">
        <is>
          <t>[M26]  Ø 8 - Ø 12 mm nervürlü beton çelik çubuğu, çubukların kesilmesi, bükülmesi ve yerine konulması</t>
        </is>
      </c>
      <c r="C125" s="19" t="inlineStr">
        <is>
          <t>ton</t>
        </is>
      </c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 ht="20" customHeight="1">
      <c r="A126" s="6" t="n"/>
      <c r="B126" s="23" t="inlineStr">
        <is>
          <t>Radye ve üst döşeme — proje metrajı 223,70 + 32,90 = 256,60 kg</t>
        </is>
      </c>
      <c r="C126" s="6" t="n"/>
      <c r="D126" s="28" t="n">
        <v>1</v>
      </c>
      <c r="E126" s="28" t="n">
        <v>1</v>
      </c>
      <c r="F126" s="6" t="n"/>
      <c r="G126" s="6" t="n"/>
      <c r="H126" s="36" t="inlineStr">
        <is>
          <t>ø8-12 nervürlü</t>
        </is>
      </c>
      <c r="I126" s="33" t="n">
        <v>0.2566</v>
      </c>
      <c r="J126" s="34">
        <f>D126*E126*I126</f>
        <v/>
      </c>
      <c r="K126" s="6" t="n"/>
    </row>
    <row r="127" ht="12" customHeight="1">
      <c r="A127" s="6" t="n"/>
      <c r="B127" s="23" t="inlineStr">
        <is>
          <t>Perdeler 13,00 x 0,25 x 3,00 m³; 100 kg/m³</t>
        </is>
      </c>
      <c r="C127" s="6" t="n"/>
      <c r="D127" s="28" t="n">
        <v>1</v>
      </c>
      <c r="E127" s="28" t="n">
        <v>1</v>
      </c>
      <c r="F127" s="29" t="n">
        <v>3.25</v>
      </c>
      <c r="G127" s="29" t="n">
        <v>3</v>
      </c>
      <c r="H127" s="36" t="inlineStr">
        <is>
          <t>ø8-12 nervürlü</t>
        </is>
      </c>
      <c r="I127" s="33" t="n">
        <v>0.1</v>
      </c>
      <c r="J127" s="34">
        <f>D127*E127*F127*G127*I127</f>
        <v/>
      </c>
      <c r="K127" s="6" t="n"/>
    </row>
    <row r="128">
      <c r="A128" s="22" t="n"/>
      <c r="B128" s="25" t="inlineStr">
        <is>
          <t>SD/M26 GENEL TOPLAM</t>
        </is>
      </c>
      <c r="C128" s="26" t="inlineStr">
        <is>
          <t>ton</t>
        </is>
      </c>
      <c r="D128" s="22" t="n"/>
      <c r="E128" s="22" t="n"/>
      <c r="F128" s="22" t="n"/>
      <c r="G128" s="22" t="n"/>
      <c r="H128" s="22" t="n"/>
      <c r="I128" s="22" t="n"/>
      <c r="J128" s="22" t="n"/>
      <c r="K128" s="35">
        <f>SUM(J126:J127)</f>
        <v/>
      </c>
    </row>
    <row r="130" ht="20" customHeight="1">
      <c r="A130" s="18" t="inlineStr">
        <is>
          <t>Yapı/Bina Adı: YAĞMUR SUYU DEPOSU</t>
        </is>
      </c>
    </row>
    <row r="131" ht="28" customHeight="1">
      <c r="A131" s="7" t="inlineStr">
        <is>
          <t>Poz No</t>
        </is>
      </c>
      <c r="B131" s="7" t="inlineStr">
        <is>
          <t>Tanımı</t>
        </is>
      </c>
      <c r="C131" s="7" t="inlineStr">
        <is>
          <t>Birim</t>
        </is>
      </c>
      <c r="D131" s="7" t="inlineStr">
        <is>
          <t>Benzer</t>
        </is>
      </c>
      <c r="E131" s="7" t="inlineStr">
        <is>
          <t>Adet</t>
        </is>
      </c>
      <c r="F131" s="7" t="inlineStr">
        <is>
          <t>Boy (m)</t>
        </is>
      </c>
      <c r="G131" s="7" t="inlineStr">
        <is>
          <t>En (m)</t>
        </is>
      </c>
      <c r="H131" s="7" t="inlineStr">
        <is>
          <t>Demir çapı veya profil tipi</t>
        </is>
      </c>
      <c r="I131" s="7" t="inlineStr">
        <is>
          <t>Birim Ağırlık</t>
        </is>
      </c>
      <c r="J131" s="7" t="inlineStr">
        <is>
          <t>Toplam Ağırlık</t>
        </is>
      </c>
      <c r="K131" s="7" t="inlineStr">
        <is>
          <t>Genel Toplam</t>
        </is>
      </c>
    </row>
    <row r="132" ht="22" customHeight="1">
      <c r="A132" s="20" t="inlineStr">
        <is>
          <t>15.160.1003</t>
        </is>
      </c>
      <c r="B132" s="8" t="inlineStr">
        <is>
          <t>[M26]  Ø 8 - Ø 12 mm nervürlü beton çelik çubuğu, çubukların kesilmesi, bükülmesi ve yerine konulması</t>
        </is>
      </c>
      <c r="C132" s="19" t="inlineStr">
        <is>
          <t>ton</t>
        </is>
      </c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 ht="12" customHeight="1">
      <c r="A133" s="6" t="n"/>
      <c r="B133" s="23" t="inlineStr">
        <is>
          <t>Radye 3,00 x 3,00 x 0,30 m³; 100 kg/m³</t>
        </is>
      </c>
      <c r="C133" s="6" t="n"/>
      <c r="D133" s="28" t="n">
        <v>1</v>
      </c>
      <c r="E133" s="28" t="n">
        <v>1</v>
      </c>
      <c r="F133" s="29" t="n">
        <v>9</v>
      </c>
      <c r="G133" s="29" t="n">
        <v>0.3</v>
      </c>
      <c r="H133" s="36" t="inlineStr">
        <is>
          <t>ø8-12 nervürlü</t>
        </is>
      </c>
      <c r="I133" s="33" t="n">
        <v>0.1</v>
      </c>
      <c r="J133" s="34">
        <f>D133*E133*F133*G133*I133</f>
        <v/>
      </c>
      <c r="K133" s="6" t="n"/>
    </row>
    <row r="134" ht="12" customHeight="1">
      <c r="A134" s="6" t="n"/>
      <c r="B134" s="23" t="inlineStr">
        <is>
          <t>Perdeler 11,00 x 0,25 x 3,00 m³; 100 kg/m³</t>
        </is>
      </c>
      <c r="C134" s="6" t="n"/>
      <c r="D134" s="28" t="n">
        <v>1</v>
      </c>
      <c r="E134" s="28" t="n">
        <v>1</v>
      </c>
      <c r="F134" s="29" t="n">
        <v>2.75</v>
      </c>
      <c r="G134" s="29" t="n">
        <v>3</v>
      </c>
      <c r="H134" s="36" t="inlineStr">
        <is>
          <t>ø8-12 nervürlü</t>
        </is>
      </c>
      <c r="I134" s="33" t="n">
        <v>0.1</v>
      </c>
      <c r="J134" s="34">
        <f>D134*E134*F134*G134*I134</f>
        <v/>
      </c>
      <c r="K134" s="6" t="n"/>
    </row>
    <row r="135" ht="12" customHeight="1">
      <c r="A135" s="6" t="n"/>
      <c r="B135" s="23" t="inlineStr">
        <is>
          <t>Üst döşeme 3,00 x 3,00 x 0,15 m³; 100 kg/m³</t>
        </is>
      </c>
      <c r="C135" s="6" t="n"/>
      <c r="D135" s="28" t="n">
        <v>1</v>
      </c>
      <c r="E135" s="28" t="n">
        <v>1</v>
      </c>
      <c r="F135" s="29" t="n">
        <v>9</v>
      </c>
      <c r="G135" s="29" t="n">
        <v>0.15</v>
      </c>
      <c r="H135" s="36" t="inlineStr">
        <is>
          <t>ø8-12 nervürlü</t>
        </is>
      </c>
      <c r="I135" s="33" t="n">
        <v>0.1</v>
      </c>
      <c r="J135" s="34">
        <f>D135*E135*F135*G135*I135</f>
        <v/>
      </c>
      <c r="K135" s="6" t="n"/>
    </row>
    <row r="136">
      <c r="A136" s="22" t="n"/>
      <c r="B136" s="25" t="inlineStr">
        <is>
          <t>YD/M26 GENEL TOPLAM</t>
        </is>
      </c>
      <c r="C136" s="26" t="inlineStr">
        <is>
          <t>ton</t>
        </is>
      </c>
      <c r="D136" s="22" t="n"/>
      <c r="E136" s="22" t="n"/>
      <c r="F136" s="22" t="n"/>
      <c r="G136" s="22" t="n"/>
      <c r="H136" s="22" t="n"/>
      <c r="I136" s="22" t="n"/>
      <c r="J136" s="22" t="n"/>
      <c r="K136" s="35">
        <f>SUM(J133:J135)</f>
        <v/>
      </c>
    </row>
    <row r="138" ht="20" customHeight="1">
      <c r="A138" s="18" t="inlineStr">
        <is>
          <t>Yapı/Bina Adı: ÇEVRE DÜZENLEMESI VE SAHA ALTYAPISI</t>
        </is>
      </c>
    </row>
    <row r="139" ht="28" customHeight="1">
      <c r="A139" s="7" t="inlineStr">
        <is>
          <t>Poz No</t>
        </is>
      </c>
      <c r="B139" s="7" t="inlineStr">
        <is>
          <t>Tanımı</t>
        </is>
      </c>
      <c r="C139" s="7" t="inlineStr">
        <is>
          <t>Birim</t>
        </is>
      </c>
      <c r="D139" s="7" t="inlineStr">
        <is>
          <t>Benzer</t>
        </is>
      </c>
      <c r="E139" s="7" t="inlineStr">
        <is>
          <t>Adet</t>
        </is>
      </c>
      <c r="F139" s="7" t="inlineStr">
        <is>
          <t>Boy (m)</t>
        </is>
      </c>
      <c r="G139" s="7" t="inlineStr">
        <is>
          <t>En (m)</t>
        </is>
      </c>
      <c r="H139" s="7" t="inlineStr">
        <is>
          <t>Demir çapı veya profil tipi</t>
        </is>
      </c>
      <c r="I139" s="7" t="inlineStr">
        <is>
          <t>Birim Ağırlık</t>
        </is>
      </c>
      <c r="J139" s="7" t="inlineStr">
        <is>
          <t>Toplam Ağırlık</t>
        </is>
      </c>
      <c r="K139" s="7" t="inlineStr">
        <is>
          <t>Genel Toplam</t>
        </is>
      </c>
    </row>
    <row r="140" ht="22" customHeight="1">
      <c r="A140" s="20" t="inlineStr">
        <is>
          <t>15.160.1003</t>
        </is>
      </c>
      <c r="B140" s="8" t="inlineStr">
        <is>
          <t>[M61C]  Ø 8 - Ø 12 mm nervürlü beton çelik çubuğu, çubukların kesilmesi, bükülmesi ve yerine konulması</t>
        </is>
      </c>
      <c r="C140" s="19" t="inlineStr">
        <is>
          <t>ton</t>
        </is>
      </c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 ht="20" customHeight="1">
      <c r="A141" s="6" t="n"/>
      <c r="B141" s="23" t="inlineStr">
        <is>
          <t>Betonarme rögarlar — beton hacmi 1,566 m³, ortalama donatı oranı 90 kg/m³</t>
        </is>
      </c>
      <c r="C141" s="6" t="n"/>
      <c r="D141" s="28" t="n">
        <v>1</v>
      </c>
      <c r="E141" s="28" t="n">
        <v>1</v>
      </c>
      <c r="F141" s="29" t="n">
        <v>1.566</v>
      </c>
      <c r="G141" s="6" t="n"/>
      <c r="H141" s="36" t="inlineStr">
        <is>
          <t>ø8-12 nervürlü</t>
        </is>
      </c>
      <c r="I141" s="33" t="n">
        <v>0.09</v>
      </c>
      <c r="J141" s="34">
        <f>D141*E141*F141*I141</f>
        <v/>
      </c>
      <c r="K141" s="6" t="n"/>
    </row>
    <row r="142">
      <c r="A142" s="22" t="n"/>
      <c r="B142" s="25" t="inlineStr">
        <is>
          <t>SA/M61C GENEL TOPLAM</t>
        </is>
      </c>
      <c r="C142" s="26" t="inlineStr">
        <is>
          <t>ton</t>
        </is>
      </c>
      <c r="D142" s="22" t="n"/>
      <c r="E142" s="22" t="n"/>
      <c r="F142" s="22" t="n"/>
      <c r="G142" s="22" t="n"/>
      <c r="H142" s="22" t="n"/>
      <c r="I142" s="22" t="n"/>
      <c r="J142" s="22" t="n"/>
      <c r="K142" s="35">
        <f>SUM(J141:J141)</f>
        <v/>
      </c>
    </row>
    <row r="144">
      <c r="A144" s="16" t="inlineStr">
        <is>
          <t>AÇIKLAMALAR VE VARSAYIMLAR</t>
        </is>
      </c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1" t="n"/>
    </row>
    <row r="145" ht="13" customHeight="1">
      <c r="A145" s="17" t="inlineStr">
        <is>
          <t>•  SARI zeminli 'demir çapı veya profil tipi' hücreleri, proje toplamını tutturmak üzere yapılan dağıtımı gösterir.</t>
        </is>
      </c>
    </row>
    <row r="146" ht="33" customHeight="1">
      <c r="A14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47" ht="22" customHeight="1">
      <c r="A14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48" ht="13" customHeight="1">
      <c r="A148" s="17" t="inlineStr">
        <is>
          <t>•  Gübre çukuru ve müştemilat donatısı, projedeki METRAJ tablolarından ve eleman hacmi x birim donatı oranı (kg/m³) esasıyla hesaplanmıştır.</t>
        </is>
      </c>
    </row>
    <row r="149" ht="22" customHeight="1">
      <c r="A14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49:K149"/>
    <mergeCell ref="A145:K145"/>
    <mergeCell ref="A3:K3"/>
    <mergeCell ref="A130:K130"/>
    <mergeCell ref="A147:K147"/>
    <mergeCell ref="A148:K148"/>
    <mergeCell ref="A2:K2"/>
    <mergeCell ref="A52:K52"/>
    <mergeCell ref="A99:K99"/>
    <mergeCell ref="A117:K117"/>
    <mergeCell ref="A5:K5"/>
    <mergeCell ref="A123:K123"/>
    <mergeCell ref="A138:K138"/>
    <mergeCell ref="A1:K1"/>
    <mergeCell ref="A110:K110"/>
    <mergeCell ref="A146:K146"/>
    <mergeCell ref="A144:K14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2026-09-02T21:06:34Z</dcterms:created>
  <dcterms:modified xmlns:dcterms="http://purl.org/dc/terms/" xmlns:xsi="http://www.w3.org/2001/XMLSchema-instance" xsi:type="dcterms:W3CDTF">2026-09-02T21:06:35Z</dcterms:modified>
</cp:coreProperties>
</file>