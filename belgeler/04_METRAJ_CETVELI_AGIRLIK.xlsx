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39" ht="22" customHeight="1">
      <c r="A39" s="20" t="inlineStr">
        <is>
          <t>TKDK-0115</t>
        </is>
      </c>
      <c r="B39" s="8" t="inlineStr">
        <is>
          <t>[M35]  Galvanizli düz sacdan yağmur oluğu (dere) yapılması ve yerine konulması</t>
        </is>
      </c>
      <c r="C39" s="19" t="inlineStr">
        <is>
          <t>kg</t>
        </is>
      </c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 ht="40" customHeight="1">
      <c r="A40" s="6" t="n"/>
      <c r="B40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40" s="6" t="n"/>
      <c r="D40" s="28" t="n">
        <v>2</v>
      </c>
      <c r="E40" s="28" t="n">
        <v>1</v>
      </c>
      <c r="F40" s="29" t="n">
        <v>79.8</v>
      </c>
      <c r="G40" s="6" t="n"/>
      <c r="H40" s="36" t="inlineStr">
        <is>
          <t>0,50 mm galvanizli düz sac</t>
        </is>
      </c>
      <c r="I40" s="33" t="n">
        <v>2</v>
      </c>
      <c r="J40" s="34">
        <f>D40*E40*F40*I40</f>
        <v/>
      </c>
      <c r="K40" s="6" t="n"/>
    </row>
    <row r="41">
      <c r="A41" s="22" t="n"/>
      <c r="B41" s="25" t="inlineStr">
        <is>
          <t>KA/M35 GENEL TOPLAM</t>
        </is>
      </c>
      <c r="C41" s="26" t="inlineStr">
        <is>
          <t>kg</t>
        </is>
      </c>
      <c r="D41" s="22" t="n"/>
      <c r="E41" s="22" t="n"/>
      <c r="F41" s="22" t="n"/>
      <c r="G41" s="22" t="n"/>
      <c r="H41" s="22" t="n"/>
      <c r="I41" s="22" t="n"/>
      <c r="J41" s="22" t="n"/>
      <c r="K41" s="35">
        <f>SUM(J40:J40)</f>
        <v/>
      </c>
    </row>
    <row r="42" ht="22" customHeight="1">
      <c r="A42" s="20" t="inlineStr">
        <is>
          <t>15.550.1002</t>
        </is>
      </c>
      <c r="B42" s="8" t="inlineStr">
        <is>
          <t>[M43F]  1,50 mm kalınlığında sıcak haddelenmiş sacdan bükme kapı kasası yapılması ve yerine konulması</t>
        </is>
      </c>
      <c r="C42" s="19" t="inlineStr">
        <is>
          <t>kg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23" t="inlineStr">
        <is>
          <t>Servis bölümü iç kapıları — blok başına 3 adet; kasa çevresi 2x2,10+0,90 = 5,10 m, 1,50 mm sacdan bükme kasa 3,55 kg/m</t>
        </is>
      </c>
      <c r="C43" s="6" t="n"/>
      <c r="D43" s="28" t="n">
        <v>3</v>
      </c>
      <c r="E43" s="28" t="n">
        <v>1</v>
      </c>
      <c r="F43" s="29" t="n">
        <v>5.1</v>
      </c>
      <c r="G43" s="6" t="n"/>
      <c r="H43" s="36" t="inlineStr">
        <is>
          <t>1,50 mm bükme sac kasa</t>
        </is>
      </c>
      <c r="I43" s="33" t="n">
        <v>3.55</v>
      </c>
      <c r="J43" s="34">
        <f>D43*E43*F43*I43</f>
        <v/>
      </c>
      <c r="K43" s="6" t="n"/>
    </row>
    <row r="44">
      <c r="A44" s="22" t="n"/>
      <c r="B44" s="25" t="inlineStr">
        <is>
          <t>KA/M43F GENEL TOPLAM</t>
        </is>
      </c>
      <c r="C44" s="26" t="inlineStr">
        <is>
          <t>kg</t>
        </is>
      </c>
      <c r="D44" s="22" t="n"/>
      <c r="E44" s="22" t="n"/>
      <c r="F44" s="22" t="n"/>
      <c r="G44" s="22" t="n"/>
      <c r="H44" s="22" t="n"/>
      <c r="I44" s="22" t="n"/>
      <c r="J44" s="22" t="n"/>
      <c r="K44" s="35">
        <f>SUM(J43:J43)</f>
        <v/>
      </c>
    </row>
    <row r="45" ht="22" customHeight="1">
      <c r="A45" s="20" t="inlineStr">
        <is>
          <t>35.190.1100</t>
        </is>
      </c>
      <c r="B45" s="8" t="inlineStr">
        <is>
          <t>[M87]  Kablo tava sistemleri — 200x60x1,0 mm sıcak daldırma galvanizli perfore kablo tavası</t>
        </is>
      </c>
      <c r="C45" s="19" t="inlineStr">
        <is>
          <t>kg</t>
        </is>
      </c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 ht="30" customHeight="1">
      <c r="A46" s="6" t="n"/>
      <c r="B46" s="23" t="inlineStr">
        <is>
          <t>Kümes içi ana kablo güzergâhı — blok başına 200 m; 200x60x1,0 mm perfore tava açınımı 0,320 m x 7,85 kg/m² = 2,510 kg/m</t>
        </is>
      </c>
      <c r="C46" s="6" t="n"/>
      <c r="D46" s="28" t="n">
        <v>1</v>
      </c>
      <c r="E46" s="28" t="n">
        <v>1</v>
      </c>
      <c r="F46" s="29" t="n">
        <v>200</v>
      </c>
      <c r="G46" s="6" t="n"/>
      <c r="H46" s="36" t="inlineStr">
        <is>
          <t>200x60x1,0 galvanizli perfore tava</t>
        </is>
      </c>
      <c r="I46" s="33" t="n">
        <v>2.51</v>
      </c>
      <c r="J46" s="34">
        <f>D46*E46*F46*I46</f>
        <v/>
      </c>
      <c r="K46" s="6" t="n"/>
    </row>
    <row r="47">
      <c r="A47" s="22" t="n"/>
      <c r="B47" s="25" t="inlineStr">
        <is>
          <t>KA/M87 GENEL TOPLAM</t>
        </is>
      </c>
      <c r="C47" s="26" t="inlineStr">
        <is>
          <t>kg</t>
        </is>
      </c>
      <c r="D47" s="22" t="n"/>
      <c r="E47" s="22" t="n"/>
      <c r="F47" s="22" t="n"/>
      <c r="G47" s="22" t="n"/>
      <c r="H47" s="22" t="n"/>
      <c r="I47" s="22" t="n"/>
      <c r="J47" s="22" t="n"/>
      <c r="K47" s="35">
        <f>SUM(J46:J46)</f>
        <v/>
      </c>
    </row>
    <row r="48" ht="22" customHeight="1">
      <c r="A48" s="20" t="inlineStr">
        <is>
          <t>35.190.1101</t>
        </is>
      </c>
      <c r="B48" s="8" t="inlineStr">
        <is>
          <t>[M89]  Kablo tava sistemleri kapak sacı — 35.190.1100 pozuna uygun 1,0 mm sıcak daldırma galvanizli sac</t>
        </is>
      </c>
      <c r="C48" s="19" t="inlineStr">
        <is>
          <t>kg</t>
        </is>
      </c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 ht="20" customHeight="1">
      <c r="A49" s="6" t="n"/>
      <c r="B49" s="23" t="inlineStr">
        <is>
          <t>Tava güzergâhının tamamı — blok başına 200 m; kapak sacı açınımı 0,230 m x 7,85 kg/m² = 1,806 kg/m</t>
        </is>
      </c>
      <c r="C49" s="6" t="n"/>
      <c r="D49" s="28" t="n">
        <v>1</v>
      </c>
      <c r="E49" s="28" t="n">
        <v>1</v>
      </c>
      <c r="F49" s="29" t="n">
        <v>200</v>
      </c>
      <c r="G49" s="6" t="n"/>
      <c r="H49" s="36" t="inlineStr">
        <is>
          <t>1,0 mm galvanizli kapak sacı</t>
        </is>
      </c>
      <c r="I49" s="33" t="n">
        <v>1.806</v>
      </c>
      <c r="J49" s="34">
        <f>D49*E49*F49*I49</f>
        <v/>
      </c>
      <c r="K49" s="6" t="n"/>
    </row>
    <row r="50">
      <c r="A50" s="22" t="n"/>
      <c r="B50" s="25" t="inlineStr">
        <is>
          <t>KA/M89 GENEL TOPLAM</t>
        </is>
      </c>
      <c r="C50" s="26" t="inlineStr">
        <is>
          <t>kg</t>
        </is>
      </c>
      <c r="D50" s="22" t="n"/>
      <c r="E50" s="22" t="n"/>
      <c r="F50" s="22" t="n"/>
      <c r="G50" s="22" t="n"/>
      <c r="H50" s="22" t="n"/>
      <c r="I50" s="22" t="n"/>
      <c r="J50" s="22" t="n"/>
      <c r="K50" s="35">
        <f>SUM(J49:J49)</f>
        <v/>
      </c>
    </row>
    <row r="52" ht="20" customHeight="1">
      <c r="A52" s="18" t="inlineStr">
        <is>
          <t>Yapı/Bina Adı: KÜMES B BLOK</t>
        </is>
      </c>
    </row>
    <row r="53" ht="28" customHeight="1">
      <c r="A53" s="7" t="inlineStr">
        <is>
          <t>Poz No</t>
        </is>
      </c>
      <c r="B53" s="7" t="inlineStr">
        <is>
          <t>Tanımı</t>
        </is>
      </c>
      <c r="C53" s="7" t="inlineStr">
        <is>
          <t>Birim</t>
        </is>
      </c>
      <c r="D53" s="7" t="inlineStr">
        <is>
          <t>Benzer</t>
        </is>
      </c>
      <c r="E53" s="7" t="inlineStr">
        <is>
          <t>Adet</t>
        </is>
      </c>
      <c r="F53" s="7" t="inlineStr">
        <is>
          <t>Boy (m)</t>
        </is>
      </c>
      <c r="G53" s="7" t="inlineStr">
        <is>
          <t>En (m)</t>
        </is>
      </c>
      <c r="H53" s="7" t="inlineStr">
        <is>
          <t>Demir çapı veya profil tipi</t>
        </is>
      </c>
      <c r="I53" s="7" t="inlineStr">
        <is>
          <t>Birim Ağırlık</t>
        </is>
      </c>
      <c r="J53" s="7" t="inlineStr">
        <is>
          <t>Toplam Ağırlık</t>
        </is>
      </c>
      <c r="K53" s="7" t="inlineStr">
        <is>
          <t>Genel Toplam</t>
        </is>
      </c>
    </row>
    <row r="54" ht="22" customHeight="1">
      <c r="A54" s="20" t="inlineStr">
        <is>
          <t>15.160.1003</t>
        </is>
      </c>
      <c r="B54" s="8" t="inlineStr">
        <is>
          <t>[M22]  Ø 8 - Ø 12 mm nervürlü beton çelik çubuğu, çubukların kesilmesi, bükülmesi ve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31" t="inlineStr">
        <is>
          <t>Şerit temel etriyesi T1…T21 (50/60), ø8/20 — aks başına 13,55/0,20 = 68 adet, 21 aks; etriye açılım boyu 2x(0,44+0,54)+0,20 kanca = 2,16 m (blok başına)</t>
        </is>
      </c>
      <c r="C55" s="6" t="n"/>
      <c r="D55" s="28" t="n">
        <v>1</v>
      </c>
      <c r="E55" s="28" t="n">
        <v>1428</v>
      </c>
      <c r="F55" s="29" t="n">
        <v>2.16</v>
      </c>
      <c r="G55" s="6" t="n"/>
      <c r="H55" s="32" t="inlineStr">
        <is>
          <t>ø8 nervürlü</t>
        </is>
      </c>
      <c r="I55" s="33" t="n">
        <v>0.000395</v>
      </c>
      <c r="J55" s="34">
        <f>D55*E55*F55*I55</f>
        <v/>
      </c>
      <c r="K55" s="6" t="n"/>
    </row>
    <row r="56" ht="20" customHeight="1">
      <c r="A56" s="6" t="n"/>
      <c r="B56" s="31" t="inlineStr">
        <is>
          <t>Şerit temel gövde ve montaj donatısı ø12 — aks başına 4 adet, 21 aks, aks boyu 13,55 m (blok başına)</t>
        </is>
      </c>
      <c r="C56" s="6" t="n"/>
      <c r="D56" s="28" t="n">
        <v>1</v>
      </c>
      <c r="E56" s="28" t="n">
        <v>84</v>
      </c>
      <c r="F56" s="29" t="n">
        <v>13.55</v>
      </c>
      <c r="G56" s="6" t="n"/>
      <c r="H56" s="32" t="inlineStr">
        <is>
          <t>ø12 nervürlü</t>
        </is>
      </c>
      <c r="I56" s="33" t="n">
        <v>0.000888</v>
      </c>
      <c r="J56" s="34">
        <f>D56*E56*F56*I56</f>
        <v/>
      </c>
      <c r="K56" s="6" t="n"/>
    </row>
    <row r="57" ht="30" customHeight="1">
      <c r="A57" s="6" t="n"/>
      <c r="B57" s="31" t="inlineStr">
        <is>
          <t>Bağ kirişi etriyesi BK (30/30), ø8/20 — hat başına 78.55/0,20 = 393 adet, 4 hat; etriye açılım boyu 2x(0,24+0,24)+0,20 kanca = 1,16 m (blok başına)</t>
        </is>
      </c>
      <c r="C57" s="6" t="n"/>
      <c r="D57" s="28" t="n">
        <v>1</v>
      </c>
      <c r="E57" s="28" t="n">
        <v>1572</v>
      </c>
      <c r="F57" s="29" t="n">
        <v>1.16</v>
      </c>
      <c r="G57" s="6" t="n"/>
      <c r="H57" s="32" t="inlineStr">
        <is>
          <t>ø8 nervürlü</t>
        </is>
      </c>
      <c r="I57" s="33" t="n">
        <v>0.000395</v>
      </c>
      <c r="J57" s="34">
        <f>D57*E57*F57*I57</f>
        <v/>
      </c>
      <c r="K57" s="6" t="n"/>
    </row>
    <row r="58" ht="20" customHeight="1">
      <c r="A58" s="6" t="n"/>
      <c r="B58" s="31" t="inlineStr">
        <is>
          <t>Kolon ankraj ve guse donatısı ø12 — 21 aks x 4 kolon = 84 adet, boy 2,50 m (blok başına)</t>
        </is>
      </c>
      <c r="C58" s="6" t="n"/>
      <c r="D58" s="28" t="n">
        <v>1</v>
      </c>
      <c r="E58" s="28" t="n">
        <v>84</v>
      </c>
      <c r="F58" s="29" t="n">
        <v>2.5</v>
      </c>
      <c r="G58" s="6" t="n"/>
      <c r="H58" s="32" t="inlineStr">
        <is>
          <t>ø12 nervürlü</t>
        </is>
      </c>
      <c r="I58" s="33" t="n">
        <v>0.000888</v>
      </c>
      <c r="J58" s="34">
        <f>D58*E58*F58*I58</f>
        <v/>
      </c>
      <c r="K58" s="6" t="n"/>
    </row>
    <row r="59" ht="30" customHeight="1">
      <c r="A59" s="6" t="n"/>
      <c r="B59" s="31" t="inlineStr">
        <is>
          <t>Montaj donatısı, çiroz, pilye ve bindirme payı — betonarme proje METRAJ tablosundaki blok başına 4.159,89 kg toplamını tamamlayan fark</t>
        </is>
      </c>
      <c r="C59" s="6" t="n"/>
      <c r="D59" s="28" t="n">
        <v>1</v>
      </c>
      <c r="E59" s="28" t="n">
        <v>1</v>
      </c>
      <c r="F59" s="6" t="n"/>
      <c r="G59" s="6" t="n"/>
      <c r="H59" s="32" t="inlineStr">
        <is>
          <t>ø8-12 nervürlü</t>
        </is>
      </c>
      <c r="I59" s="33" t="n">
        <v>1.0240284</v>
      </c>
      <c r="J59" s="34">
        <f>D59*E59*I59</f>
        <v/>
      </c>
      <c r="K59" s="6" t="n"/>
    </row>
    <row r="60">
      <c r="A60" s="22" t="n"/>
      <c r="B60" s="25" t="inlineStr">
        <is>
          <t>KB/M22 GENEL TOPLAM</t>
        </is>
      </c>
      <c r="C60" s="26" t="inlineStr">
        <is>
          <t>ton</t>
        </is>
      </c>
      <c r="D60" s="22" t="n"/>
      <c r="E60" s="22" t="n"/>
      <c r="F60" s="22" t="n"/>
      <c r="G60" s="22" t="n"/>
      <c r="H60" s="22" t="n"/>
      <c r="I60" s="22" t="n"/>
      <c r="J60" s="22" t="n"/>
      <c r="K60" s="35">
        <f>SUM(J55:J59)</f>
        <v/>
      </c>
    </row>
    <row r="61" ht="22" customHeight="1">
      <c r="A61" s="20" t="inlineStr">
        <is>
          <t>15.160.1004</t>
        </is>
      </c>
      <c r="B61" s="8" t="inlineStr">
        <is>
          <t>[M23]  Ø 14 - Ø 28 mm nervürlü beton çelik çubuğu, çubukların kesilmesi, bükülmesi ve yerine konulması</t>
        </is>
      </c>
      <c r="C61" s="19" t="inlineStr">
        <is>
          <t>ton</t>
        </is>
      </c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 ht="30" customHeight="1">
      <c r="A62" s="6" t="n"/>
      <c r="B62" s="31" t="inlineStr">
        <is>
          <t>Şerit temel boyuna donatısı ø16 — aks başına 6 alt + 4 üst = 10 adet, 21 aks, aks boyu 13,55 m (blok başına)</t>
        </is>
      </c>
      <c r="C62" s="6" t="n"/>
      <c r="D62" s="28" t="n">
        <v>1</v>
      </c>
      <c r="E62" s="28" t="n">
        <v>210</v>
      </c>
      <c r="F62" s="29" t="n">
        <v>13.55</v>
      </c>
      <c r="G62" s="6" t="n"/>
      <c r="H62" s="32" t="inlineStr">
        <is>
          <t>ø16 nervürlü</t>
        </is>
      </c>
      <c r="I62" s="33" t="n">
        <v>0.00158</v>
      </c>
      <c r="J62" s="34">
        <f>D62*E62*F62*I62</f>
        <v/>
      </c>
      <c r="K62" s="6" t="n"/>
    </row>
    <row r="63" ht="20" customHeight="1">
      <c r="A63" s="6" t="n"/>
      <c r="B63" s="31" t="inlineStr">
        <is>
          <t>Bağ kirişi boyuna donatısı ø14 — hat başına 3 alt + 3 üst = 6 adet, 4 hat, hat boyu 78.55 m (blok başına)</t>
        </is>
      </c>
      <c r="C63" s="6" t="n"/>
      <c r="D63" s="28" t="n">
        <v>1</v>
      </c>
      <c r="E63" s="28" t="n">
        <v>24</v>
      </c>
      <c r="F63" s="29" t="n">
        <v>78.55</v>
      </c>
      <c r="G63" s="6" t="n"/>
      <c r="H63" s="32" t="inlineStr">
        <is>
          <t>ø14 nervürlü</t>
        </is>
      </c>
      <c r="I63" s="33" t="n">
        <v>0.00121</v>
      </c>
      <c r="J63" s="34">
        <f>D63*E63*F63*I63</f>
        <v/>
      </c>
      <c r="K63" s="6" t="n"/>
    </row>
    <row r="64" ht="30" customHeight="1">
      <c r="A64" s="6" t="n"/>
      <c r="B64" s="31" t="inlineStr">
        <is>
          <t>Bindirme, filiz ve gönye payı — betonarme proje METRAJ tablosundaki blok başına 7.287,50 kg toplamını tamamlayan fark</t>
        </is>
      </c>
      <c r="C64" s="6" t="n"/>
      <c r="D64" s="28" t="n">
        <v>1</v>
      </c>
      <c r="E64" s="28" t="n">
        <v>1</v>
      </c>
      <c r="F64" s="6" t="n"/>
      <c r="G64" s="6" t="n"/>
      <c r="H64" s="32" t="inlineStr">
        <is>
          <t>ø14-28 nervürlü</t>
        </is>
      </c>
      <c r="I64" s="33" t="n">
        <v>0.510518</v>
      </c>
      <c r="J64" s="34">
        <f>D64*E64*I64</f>
        <v/>
      </c>
      <c r="K64" s="6" t="n"/>
    </row>
    <row r="65">
      <c r="A65" s="22" t="n"/>
      <c r="B65" s="25" t="inlineStr">
        <is>
          <t>KB/M23 GENEL TOPLAM</t>
        </is>
      </c>
      <c r="C65" s="26" t="inlineStr">
        <is>
          <t>ton</t>
        </is>
      </c>
      <c r="D65" s="22" t="n"/>
      <c r="E65" s="22" t="n"/>
      <c r="F65" s="22" t="n"/>
      <c r="G65" s="22" t="n"/>
      <c r="H65" s="22" t="n"/>
      <c r="I65" s="22" t="n"/>
      <c r="J65" s="22" t="n"/>
      <c r="K65" s="35">
        <f>SUM(J62:J64)</f>
        <v/>
      </c>
    </row>
    <row r="66" ht="15" customHeight="1">
      <c r="A66" s="20" t="inlineStr">
        <is>
          <t>15.160.1002</t>
        </is>
      </c>
      <c r="B66" s="8" t="inlineStr">
        <is>
          <t>[M27]  Nervürlü çelik hasırın yerine konulması</t>
        </is>
      </c>
      <c r="C66" s="19" t="inlineStr">
        <is>
          <t>ton</t>
        </is>
      </c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 ht="30" customHeight="1">
      <c r="A67" s="6" t="n"/>
      <c r="B67" s="23" t="inlineStr">
        <is>
          <t>Kümes zemin döşemesi 78.00 x 13,90 (servis bölümü hariç); Q188 hasır = 3,05 kg/m², %10 bindirme payı ile 3,355 kg/m² (blok başına)</t>
        </is>
      </c>
      <c r="C67" s="6" t="n"/>
      <c r="D67" s="28" t="n">
        <v>1</v>
      </c>
      <c r="E67" s="28" t="n">
        <v>1</v>
      </c>
      <c r="F67" s="29" t="n">
        <v>78</v>
      </c>
      <c r="G67" s="29" t="n">
        <v>13.9</v>
      </c>
      <c r="H67" s="36" t="inlineStr">
        <is>
          <t>Q188 çelik hasır</t>
        </is>
      </c>
      <c r="I67" s="33" t="n">
        <v>0.003355</v>
      </c>
      <c r="J67" s="34">
        <f>D67*E67*F67*G67*I67</f>
        <v/>
      </c>
      <c r="K67" s="6" t="n"/>
    </row>
    <row r="68">
      <c r="A68" s="22" t="n"/>
      <c r="B68" s="25" t="inlineStr">
        <is>
          <t>KB/M27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SUM(J67:J67)</f>
        <v/>
      </c>
    </row>
    <row r="69" ht="22" customHeight="1">
      <c r="A69" s="20" t="inlineStr">
        <is>
          <t>15.165.1003</t>
        </is>
      </c>
      <c r="B69" s="8" t="inlineStr">
        <is>
          <t>[M31]  Her çeşit profil, çelik çubuk ve saclarla karkas (çerçeve) inşaat yapılması, yerine tespiti</t>
        </is>
      </c>
      <c r="C69" s="19" t="inlineStr">
        <is>
          <t>ton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20" customHeight="1">
      <c r="A70" s="6" t="n"/>
      <c r="B70" s="23" t="inlineStr">
        <is>
          <t>KLN dış kolonlar — 21 çerçeve x 2 adet, boy 2,84 m (kolon üstü kotu +2,84)</t>
        </is>
      </c>
      <c r="C70" s="6" t="n"/>
      <c r="D70" s="28" t="n">
        <v>21</v>
      </c>
      <c r="E70" s="28" t="n">
        <v>2</v>
      </c>
      <c r="F70" s="29" t="n">
        <v>2.84</v>
      </c>
      <c r="G70" s="6" t="n"/>
      <c r="H70" s="36" t="inlineStr">
        <is>
          <t>SHS 150x150x6</t>
        </is>
      </c>
      <c r="I70" s="33" t="n">
        <v>0.02689</v>
      </c>
      <c r="J70" s="34">
        <f>D70*E70*F70*I70</f>
        <v/>
      </c>
      <c r="K70" s="6" t="n"/>
    </row>
    <row r="71" ht="20" customHeight="1">
      <c r="A71" s="6" t="n"/>
      <c r="B71" s="23" t="inlineStr">
        <is>
          <t>KLN iç kolonlar — 21 çerçeve x 2 adet, ortalama boy 3,68 m (eğik kiriş altında)</t>
        </is>
      </c>
      <c r="C71" s="6" t="n"/>
      <c r="D71" s="28" t="n">
        <v>21</v>
      </c>
      <c r="E71" s="28" t="n">
        <v>2</v>
      </c>
      <c r="F71" s="29" t="n">
        <v>3.6755</v>
      </c>
      <c r="G71" s="6" t="n"/>
      <c r="H71" s="36" t="inlineStr">
        <is>
          <t>SHS 150x150x6</t>
        </is>
      </c>
      <c r="I71" s="33" t="n">
        <v>0.02689</v>
      </c>
      <c r="J71" s="34">
        <f>D71*E71*F71*I71</f>
        <v/>
      </c>
      <c r="K71" s="6" t="n"/>
    </row>
    <row r="72" ht="20" customHeight="1">
      <c r="A72" s="6" t="n"/>
      <c r="B72" s="23" t="inlineStr">
        <is>
          <t>AKR ana kirişler — 21 çerçeve x 2 adet, eğik boy 6,94 m (yarım açıklık 6,775 / kot farkı 1,50)</t>
        </is>
      </c>
      <c r="C72" s="6" t="n"/>
      <c r="D72" s="28" t="n">
        <v>21</v>
      </c>
      <c r="E72" s="28" t="n">
        <v>2</v>
      </c>
      <c r="F72" s="29" t="n">
        <v>6.939</v>
      </c>
      <c r="G72" s="6" t="n"/>
      <c r="H72" s="36" t="inlineStr">
        <is>
          <t>SHS 150x150x6</t>
        </is>
      </c>
      <c r="I72" s="33" t="n">
        <v>0.02689</v>
      </c>
      <c r="J72" s="34">
        <f>D72*E72*F72*I72</f>
        <v/>
      </c>
      <c r="K72" s="6" t="n"/>
    </row>
    <row r="73" ht="20" customHeight="1">
      <c r="A73" s="6" t="n"/>
      <c r="B73" s="23" t="inlineStr">
        <is>
          <t>SKR boyuna kirişler — 2 saçak + 1 mahya hattı, boy 79,00 m</t>
        </is>
      </c>
      <c r="C73" s="6" t="n"/>
      <c r="D73" s="28" t="n">
        <v>3</v>
      </c>
      <c r="E73" s="28" t="n">
        <v>1</v>
      </c>
      <c r="F73" s="29" t="n">
        <v>79</v>
      </c>
      <c r="G73" s="6" t="n"/>
      <c r="H73" s="36" t="inlineStr">
        <is>
          <t>SHS 150x150x6</t>
        </is>
      </c>
      <c r="I73" s="33" t="n">
        <v>0.02689</v>
      </c>
      <c r="J73" s="34">
        <f>D73*E73*F73*I73</f>
        <v/>
      </c>
      <c r="K73" s="6" t="n"/>
    </row>
    <row r="74" ht="20" customHeight="1">
      <c r="A74" s="6" t="n"/>
      <c r="B74" s="23" t="inlineStr">
        <is>
          <t>CAS çatı aşıkları — kesitte sayılan 16 hat, boy 79,80 m (saçak payı dâhil)</t>
        </is>
      </c>
      <c r="C74" s="6" t="n"/>
      <c r="D74" s="28" t="n">
        <v>16</v>
      </c>
      <c r="E74" s="28" t="n">
        <v>1</v>
      </c>
      <c r="F74" s="29" t="n">
        <v>79.8</v>
      </c>
      <c r="G74" s="6" t="n"/>
      <c r="H74" s="36" t="inlineStr">
        <is>
          <t>RHS 100x50x3</t>
        </is>
      </c>
      <c r="I74" s="33" t="n">
        <v>0.00672</v>
      </c>
      <c r="J74" s="34">
        <f>D74*E74*F74*I74</f>
        <v/>
      </c>
      <c r="K74" s="6" t="n"/>
    </row>
    <row r="75" ht="20" customHeight="1">
      <c r="A75" s="6" t="n"/>
      <c r="B75" s="23" t="inlineStr">
        <is>
          <t>YAS uzun cephe kuşakları — 4 seviye x 2 cephe, boy 79,00 m</t>
        </is>
      </c>
      <c r="C75" s="6" t="n"/>
      <c r="D75" s="28" t="n">
        <v>8</v>
      </c>
      <c r="E75" s="28" t="n">
        <v>1</v>
      </c>
      <c r="F75" s="29" t="n">
        <v>79</v>
      </c>
      <c r="G75" s="6" t="n"/>
      <c r="H75" s="36" t="inlineStr">
        <is>
          <t>RHS 100x50x3</t>
        </is>
      </c>
      <c r="I75" s="33" t="n">
        <v>0.00672</v>
      </c>
      <c r="J75" s="34">
        <f>D75*E75*F75*I75</f>
        <v/>
      </c>
      <c r="K75" s="6" t="n"/>
    </row>
    <row r="76" ht="20" customHeight="1">
      <c r="A76" s="6" t="n"/>
      <c r="B76" s="23" t="inlineStr">
        <is>
          <t>YAS alınlık kuşakları — 4 seviye x 2 alınlık, boy 13,55 m</t>
        </is>
      </c>
      <c r="C76" s="6" t="n"/>
      <c r="D76" s="28" t="n">
        <v>8</v>
      </c>
      <c r="E76" s="28" t="n">
        <v>1</v>
      </c>
      <c r="F76" s="29" t="n">
        <v>13.55</v>
      </c>
      <c r="G76" s="6" t="n"/>
      <c r="H76" s="36" t="inlineStr">
        <is>
          <t>RHS 100x50x3</t>
        </is>
      </c>
      <c r="I76" s="33" t="n">
        <v>0.00672</v>
      </c>
      <c r="J76" s="34">
        <f>D76*E76*F76*I76</f>
        <v/>
      </c>
      <c r="K76" s="6" t="n"/>
    </row>
    <row r="77" ht="20" customHeight="1">
      <c r="A77" s="6" t="n"/>
      <c r="B77" s="23" t="inlineStr">
        <is>
          <t>KS iç kuşaklar — 21 çerçeve x 2 adet, orta açıklık 6,00 m</t>
        </is>
      </c>
      <c r="C77" s="6" t="n"/>
      <c r="D77" s="28" t="n">
        <v>21</v>
      </c>
      <c r="E77" s="28" t="n">
        <v>2</v>
      </c>
      <c r="F77" s="29" t="n">
        <v>6</v>
      </c>
      <c r="G77" s="6" t="n"/>
      <c r="H77" s="36" t="inlineStr">
        <is>
          <t>RHS 100x50x3</t>
        </is>
      </c>
      <c r="I77" s="33" t="n">
        <v>0.00672</v>
      </c>
      <c r="J77" s="34">
        <f>D77*E77*F77*I77</f>
        <v/>
      </c>
      <c r="K77" s="6" t="n"/>
    </row>
    <row r="78" ht="20" customHeight="1">
      <c r="A78" s="6" t="n"/>
      <c r="B78" s="23" t="inlineStr">
        <is>
          <t>CCPR ve YCPR çatı ve cephe çaprazları — toplam 270,00 m</t>
        </is>
      </c>
      <c r="C78" s="6" t="n"/>
      <c r="D78" s="28" t="n">
        <v>1</v>
      </c>
      <c r="E78" s="28" t="n">
        <v>1</v>
      </c>
      <c r="F78" s="29" t="n">
        <v>270</v>
      </c>
      <c r="G78" s="6" t="n"/>
      <c r="H78" s="36" t="inlineStr">
        <is>
          <t>SHS 100x100x4</t>
        </is>
      </c>
      <c r="I78" s="33" t="n">
        <v>0.01195</v>
      </c>
      <c r="J78" s="34">
        <f>D78*E78*F78*I78</f>
        <v/>
      </c>
      <c r="K78" s="6" t="n"/>
    </row>
    <row r="79" ht="20" customHeight="1">
      <c r="A79" s="6" t="n"/>
      <c r="B79" s="31" t="inlineStr">
        <is>
          <t>Gusse, alın levhası, taban plakası ve bulonlar — profil ağırlığının %10'u</t>
        </is>
      </c>
      <c r="C79" s="6" t="n"/>
      <c r="D79" s="28" t="n">
        <v>1</v>
      </c>
      <c r="E79" s="28" t="n">
        <v>1</v>
      </c>
      <c r="F79" s="6" t="n"/>
      <c r="G79" s="6" t="n"/>
      <c r="H79" s="32" t="inlineStr">
        <is>
          <t>Levha ve bulon</t>
        </is>
      </c>
      <c r="I79" s="33" t="n">
        <v>4.00439689</v>
      </c>
      <c r="J79" s="34">
        <f>D79*E79*I79</f>
        <v/>
      </c>
      <c r="K79" s="6" t="n"/>
    </row>
    <row r="80">
      <c r="A80" s="22" t="n"/>
      <c r="B80" s="25" t="inlineStr">
        <is>
          <t>KB/M31 GENEL TOPLAM</t>
        </is>
      </c>
      <c r="C80" s="26" t="inlineStr">
        <is>
          <t>ton</t>
        </is>
      </c>
      <c r="D80" s="22" t="n"/>
      <c r="E80" s="22" t="n"/>
      <c r="F80" s="22" t="n"/>
      <c r="G80" s="22" t="n"/>
      <c r="H80" s="22" t="n"/>
      <c r="I80" s="22" t="n"/>
      <c r="J80" s="22" t="n"/>
      <c r="K80" s="35">
        <f>SUM(J70:J79)</f>
        <v/>
      </c>
    </row>
    <row r="81" ht="22" customHeight="1">
      <c r="A81" s="20" t="inlineStr">
        <is>
          <t>15.550.1202</t>
        </is>
      </c>
      <c r="B81" s="8" t="inlineStr">
        <is>
          <t>[M34]  Lama ve profil demirlerden çeşitli demir işleri yapılması ve yerine konulması</t>
        </is>
      </c>
      <c r="C81" s="19" t="inlineStr">
        <is>
          <t>kg</t>
        </is>
      </c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 ht="12" customHeight="1">
      <c r="A82" s="6" t="n"/>
      <c r="B82" s="23" t="inlineStr">
        <is>
          <t>Mahya kapama profili — blok başına, boy 79,80 m</t>
        </is>
      </c>
      <c r="C82" s="6" t="n"/>
      <c r="D82" s="28" t="n">
        <v>1</v>
      </c>
      <c r="E82" s="28" t="n">
        <v>1</v>
      </c>
      <c r="F82" s="29" t="n">
        <v>79.8</v>
      </c>
      <c r="G82" s="6" t="n"/>
      <c r="H82" s="36" t="inlineStr">
        <is>
          <t>50x5 lama</t>
        </is>
      </c>
      <c r="I82" s="33" t="n">
        <v>2.5</v>
      </c>
      <c r="J82" s="34">
        <f>D82*E82*F82*I82</f>
        <v/>
      </c>
      <c r="K82" s="6" t="n"/>
    </row>
    <row r="83" ht="20" customHeight="1">
      <c r="A83" s="6" t="n"/>
      <c r="B83" s="23" t="inlineStr">
        <is>
          <t>Saçak kapama profili — blok başına 2 kenar, 2 kenar; boy 79,80 m</t>
        </is>
      </c>
      <c r="C83" s="6" t="n"/>
      <c r="D83" s="28" t="n">
        <v>2</v>
      </c>
      <c r="E83" s="28" t="n">
        <v>1</v>
      </c>
      <c r="F83" s="29" t="n">
        <v>79.8</v>
      </c>
      <c r="G83" s="6" t="n"/>
      <c r="H83" s="36" t="inlineStr">
        <is>
          <t>50x5 lama</t>
        </is>
      </c>
      <c r="I83" s="33" t="n">
        <v>2.5</v>
      </c>
      <c r="J83" s="34">
        <f>D83*E83*F83*I83</f>
        <v/>
      </c>
      <c r="K83" s="6" t="n"/>
    </row>
    <row r="84" ht="20" customHeight="1">
      <c r="A84" s="6" t="n"/>
      <c r="B84" s="23" t="inlineStr">
        <is>
          <t>Alınlık eğim kapamaları — alınlık başına 2 eğim, 2 alınlık, 2 blok = 8; eğik boy 7,55 m</t>
        </is>
      </c>
      <c r="C84" s="6" t="n"/>
      <c r="D84" s="28" t="n">
        <v>4</v>
      </c>
      <c r="E84" s="28" t="n">
        <v>1</v>
      </c>
      <c r="F84" s="29" t="n">
        <v>7.55</v>
      </c>
      <c r="G84" s="6" t="n"/>
      <c r="H84" s="36" t="inlineStr">
        <is>
          <t>50x5 lama</t>
        </is>
      </c>
      <c r="I84" s="33" t="n">
        <v>2.5</v>
      </c>
      <c r="J84" s="34">
        <f>D84*E84*F84*I84</f>
        <v/>
      </c>
      <c r="K84" s="6" t="n"/>
    </row>
    <row r="85">
      <c r="A85" s="22" t="n"/>
      <c r="B85" s="25" t="inlineStr">
        <is>
          <t>KB/M34 GENEL TOPLAM</t>
        </is>
      </c>
      <c r="C85" s="26" t="inlineStr">
        <is>
          <t>kg</t>
        </is>
      </c>
      <c r="D85" s="22" t="n"/>
      <c r="E85" s="22" t="n"/>
      <c r="F85" s="22" t="n"/>
      <c r="G85" s="22" t="n"/>
      <c r="H85" s="22" t="n"/>
      <c r="I85" s="22" t="n"/>
      <c r="J85" s="22" t="n"/>
      <c r="K85" s="35">
        <f>SUM(J82:J84)</f>
        <v/>
      </c>
    </row>
    <row r="86" ht="22" customHeight="1">
      <c r="A86" s="20" t="inlineStr">
        <is>
          <t>TKDK-0115</t>
        </is>
      </c>
      <c r="B86" s="8" t="inlineStr">
        <is>
          <t>[M35]  Galvanizli düz sacdan yağmur oluğu (dere) yapılması ve yerine konulması</t>
        </is>
      </c>
      <c r="C86" s="19" t="inlineStr">
        <is>
          <t>kg</t>
        </is>
      </c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 ht="40" customHeight="1">
      <c r="A87" s="6" t="n"/>
      <c r="B87" s="23" t="inlineStr">
        <is>
          <t>Uzun cepheler boyunca dere — blok başına 2 kenar, saçaklı boy 79,80 m; gelişmiş genişlik 0,50 m, 0,50 mm galvanizli düz sac (0,50 x 0,0005 x 7.850 = 1,96 kg/m), birleşim ve kenet payı ile 2,00 kg/m</t>
        </is>
      </c>
      <c r="C87" s="6" t="n"/>
      <c r="D87" s="28" t="n">
        <v>2</v>
      </c>
      <c r="E87" s="28" t="n">
        <v>1</v>
      </c>
      <c r="F87" s="29" t="n">
        <v>79.8</v>
      </c>
      <c r="G87" s="6" t="n"/>
      <c r="H87" s="36" t="inlineStr">
        <is>
          <t>0,50 mm galvanizli düz sac</t>
        </is>
      </c>
      <c r="I87" s="33" t="n">
        <v>2</v>
      </c>
      <c r="J87" s="34">
        <f>D87*E87*F87*I87</f>
        <v/>
      </c>
      <c r="K87" s="6" t="n"/>
    </row>
    <row r="88">
      <c r="A88" s="22" t="n"/>
      <c r="B88" s="25" t="inlineStr">
        <is>
          <t>KB/M35 GENEL TOPLAM</t>
        </is>
      </c>
      <c r="C88" s="26" t="inlineStr">
        <is>
          <t>kg</t>
        </is>
      </c>
      <c r="D88" s="22" t="n"/>
      <c r="E88" s="22" t="n"/>
      <c r="F88" s="22" t="n"/>
      <c r="G88" s="22" t="n"/>
      <c r="H88" s="22" t="n"/>
      <c r="I88" s="22" t="n"/>
      <c r="J88" s="22" t="n"/>
      <c r="K88" s="35">
        <f>SUM(J87:J87)</f>
        <v/>
      </c>
    </row>
    <row r="89" ht="22" customHeight="1">
      <c r="A89" s="20" t="inlineStr">
        <is>
          <t>15.550.1002</t>
        </is>
      </c>
      <c r="B89" s="8" t="inlineStr">
        <is>
          <t>[M43F]  1,50 mm kalınlığında sıcak haddelenmiş sacdan bükme kapı kasası yapılması ve yerine konulması</t>
        </is>
      </c>
      <c r="C89" s="19" t="inlineStr">
        <is>
          <t>kg</t>
        </is>
      </c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 ht="30" customHeight="1">
      <c r="A90" s="6" t="n"/>
      <c r="B90" s="23" t="inlineStr">
        <is>
          <t>Servis bölümü iç kapıları — blok başına 3 adet; kasa çevresi 2x2,10+0,90 = 5,10 m, 1,50 mm sacdan bükme kasa 3,55 kg/m</t>
        </is>
      </c>
      <c r="C90" s="6" t="n"/>
      <c r="D90" s="28" t="n">
        <v>3</v>
      </c>
      <c r="E90" s="28" t="n">
        <v>1</v>
      </c>
      <c r="F90" s="29" t="n">
        <v>5.1</v>
      </c>
      <c r="G90" s="6" t="n"/>
      <c r="H90" s="36" t="inlineStr">
        <is>
          <t>1,50 mm bükme sac kasa</t>
        </is>
      </c>
      <c r="I90" s="33" t="n">
        <v>3.55</v>
      </c>
      <c r="J90" s="34">
        <f>D90*E90*F90*I90</f>
        <v/>
      </c>
      <c r="K90" s="6" t="n"/>
    </row>
    <row r="91">
      <c r="A91" s="22" t="n"/>
      <c r="B91" s="25" t="inlineStr">
        <is>
          <t>KB/M43F GENEL TOPLAM</t>
        </is>
      </c>
      <c r="C91" s="26" t="inlineStr">
        <is>
          <t>kg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SUM(J90:J90)</f>
        <v/>
      </c>
    </row>
    <row r="92" ht="22" customHeight="1">
      <c r="A92" s="20" t="inlineStr">
        <is>
          <t>35.190.1100</t>
        </is>
      </c>
      <c r="B92" s="8" t="inlineStr">
        <is>
          <t>[M87]  Kablo tava sistemleri — 200x60x1,0 mm sıcak daldırma galvanizli perfore kablo tavası</t>
        </is>
      </c>
      <c r="C92" s="19" t="inlineStr">
        <is>
          <t>kg</t>
        </is>
      </c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 ht="30" customHeight="1">
      <c r="A93" s="6" t="n"/>
      <c r="B93" s="23" t="inlineStr">
        <is>
          <t>Kümes içi ana kablo güzergâhı — blok başına 200 m; 200x60x1,0 mm perfore tava açınımı 0,320 m x 7,85 kg/m² = 2,510 kg/m</t>
        </is>
      </c>
      <c r="C93" s="6" t="n"/>
      <c r="D93" s="28" t="n">
        <v>1</v>
      </c>
      <c r="E93" s="28" t="n">
        <v>1</v>
      </c>
      <c r="F93" s="29" t="n">
        <v>200</v>
      </c>
      <c r="G93" s="6" t="n"/>
      <c r="H93" s="36" t="inlineStr">
        <is>
          <t>200x60x1,0 galvanizli perfore tava</t>
        </is>
      </c>
      <c r="I93" s="33" t="n">
        <v>2.51</v>
      </c>
      <c r="J93" s="34">
        <f>D93*E93*F93*I93</f>
        <v/>
      </c>
      <c r="K93" s="6" t="n"/>
    </row>
    <row r="94">
      <c r="A94" s="22" t="n"/>
      <c r="B94" s="25" t="inlineStr">
        <is>
          <t>KB/M87 GENEL TOPLAM</t>
        </is>
      </c>
      <c r="C94" s="26" t="inlineStr">
        <is>
          <t>kg</t>
        </is>
      </c>
      <c r="D94" s="22" t="n"/>
      <c r="E94" s="22" t="n"/>
      <c r="F94" s="22" t="n"/>
      <c r="G94" s="22" t="n"/>
      <c r="H94" s="22" t="n"/>
      <c r="I94" s="22" t="n"/>
      <c r="J94" s="22" t="n"/>
      <c r="K94" s="35">
        <f>SUM(J93:J93)</f>
        <v/>
      </c>
    </row>
    <row r="95" ht="22" customHeight="1">
      <c r="A95" s="20" t="inlineStr">
        <is>
          <t>35.190.1101</t>
        </is>
      </c>
      <c r="B95" s="8" t="inlineStr">
        <is>
          <t>[M89]  Kablo tava sistemleri kapak sacı — 35.190.1100 pozuna uygun 1,0 mm sıcak daldırma galvanizli sac</t>
        </is>
      </c>
      <c r="C95" s="19" t="inlineStr">
        <is>
          <t>kg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20" customHeight="1">
      <c r="A96" s="6" t="n"/>
      <c r="B96" s="23" t="inlineStr">
        <is>
          <t>Tava güzergâhının tamamı — blok başına 200 m; kapak sacı açınımı 0,230 m x 7,85 kg/m² = 1,806 kg/m</t>
        </is>
      </c>
      <c r="C96" s="6" t="n"/>
      <c r="D96" s="28" t="n">
        <v>1</v>
      </c>
      <c r="E96" s="28" t="n">
        <v>1</v>
      </c>
      <c r="F96" s="29" t="n">
        <v>200</v>
      </c>
      <c r="G96" s="6" t="n"/>
      <c r="H96" s="36" t="inlineStr">
        <is>
          <t>1,0 mm galvanizli kapak sacı</t>
        </is>
      </c>
      <c r="I96" s="33" t="n">
        <v>1.806</v>
      </c>
      <c r="J96" s="34">
        <f>D96*E96*F96*I96</f>
        <v/>
      </c>
      <c r="K96" s="6" t="n"/>
    </row>
    <row r="97">
      <c r="A97" s="22" t="n"/>
      <c r="B97" s="25" t="inlineStr">
        <is>
          <t>KB/M89 GENEL TOPLAM</t>
        </is>
      </c>
      <c r="C97" s="26" t="inlineStr">
        <is>
          <t>kg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GÜBRE ÇUKURU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[M24]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temel 11.50 x 10.00 x 0,40 m; birim donatı oranı 110 kg/m³</t>
        </is>
      </c>
      <c r="C102" s="6" t="n"/>
      <c r="D102" s="28" t="n">
        <v>1</v>
      </c>
      <c r="E102" s="28" t="n">
        <v>1</v>
      </c>
      <c r="F102" s="29" t="n">
        <v>115</v>
      </c>
      <c r="G102" s="29" t="n">
        <v>0.4</v>
      </c>
      <c r="H102" s="36" t="inlineStr">
        <is>
          <t>ø8-12 nervürlü</t>
        </is>
      </c>
      <c r="I102" s="33" t="n">
        <v>0.11</v>
      </c>
      <c r="J102" s="34">
        <f>D102*E102*F102*G102*I102</f>
        <v/>
      </c>
      <c r="K102" s="6" t="n"/>
    </row>
    <row r="103" ht="20" customHeight="1">
      <c r="A103" s="6" t="n"/>
      <c r="B103" s="23" t="inlineStr">
        <is>
          <t>Üst döşeme donatısı — proje METRAJ tablosu 577,60 kg, alan oranı (1.000000) ile ölçeklenmiş</t>
        </is>
      </c>
      <c r="C103" s="6" t="n"/>
      <c r="D103" s="28" t="n">
        <v>1</v>
      </c>
      <c r="E103" s="28" t="n">
        <v>1</v>
      </c>
      <c r="F103" s="6" t="n"/>
      <c r="G103" s="6" t="n"/>
      <c r="H103" s="36" t="inlineStr">
        <is>
          <t>ø8-12 nervürlü</t>
        </is>
      </c>
      <c r="I103" s="33" t="n">
        <v>0.5776</v>
      </c>
      <c r="J103" s="34">
        <f>D103*E103*I103</f>
        <v/>
      </c>
      <c r="K103" s="6" t="n"/>
    </row>
    <row r="104" ht="20" customHeight="1">
      <c r="A104" s="6" t="n"/>
      <c r="B104" s="23" t="inlineStr">
        <is>
          <t>Perde ve kolon donatısı — proje METRAJ tablosu 1.961,69 kg, alan oranı ile ölçeklenmiş</t>
        </is>
      </c>
      <c r="C104" s="6" t="n"/>
      <c r="D104" s="28" t="n">
        <v>1</v>
      </c>
      <c r="E104" s="28" t="n">
        <v>1</v>
      </c>
      <c r="F104" s="6" t="n"/>
      <c r="G104" s="6" t="n"/>
      <c r="H104" s="36" t="inlineStr">
        <is>
          <t>ø8-12 nervürlü</t>
        </is>
      </c>
      <c r="I104" s="33" t="n">
        <v>1.96169</v>
      </c>
      <c r="J104" s="34">
        <f>D104*E104*I104</f>
        <v/>
      </c>
      <c r="K104" s="6" t="n"/>
    </row>
    <row r="105">
      <c r="A105" s="22" t="n"/>
      <c r="B105" s="25" t="inlineStr">
        <is>
          <t>GC/M24 GENEL TOPLAM</t>
        </is>
      </c>
      <c r="C105" s="26" t="inlineStr">
        <is>
          <t>ton</t>
        </is>
      </c>
      <c r="D105" s="22" t="n"/>
      <c r="E105" s="22" t="n"/>
      <c r="F105" s="22" t="n"/>
      <c r="G105" s="22" t="n"/>
      <c r="H105" s="22" t="n"/>
      <c r="I105" s="22" t="n"/>
      <c r="J105" s="22" t="n"/>
      <c r="K105" s="35">
        <f>SUM(J102:J104)</f>
        <v/>
      </c>
    </row>
    <row r="106" ht="22" customHeight="1">
      <c r="A106" s="20" t="inlineStr">
        <is>
          <t>15.160.1004</t>
        </is>
      </c>
      <c r="B106" s="8" t="inlineStr">
        <is>
          <t>[M25]  Ø 14 - Ø 28 mm nervürlü beton çelik çubuğu, çubukların kesilmesi, bükülmesi ve yerine konulması</t>
        </is>
      </c>
      <c r="C106" s="19" t="inlineStr">
        <is>
          <t>ton</t>
        </is>
      </c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 ht="20" customHeight="1">
      <c r="A107" s="6" t="n"/>
      <c r="B107" s="23" t="inlineStr">
        <is>
          <t>Gübre çukuru kalın donatı — proje METRAJ tablosu 564,10 kg, alan oranı (1.000000) ile ölçeklenmiş</t>
        </is>
      </c>
      <c r="C107" s="6" t="n"/>
      <c r="D107" s="28" t="n">
        <v>1</v>
      </c>
      <c r="E107" s="28" t="n">
        <v>1</v>
      </c>
      <c r="F107" s="6" t="n"/>
      <c r="G107" s="6" t="n"/>
      <c r="H107" s="36" t="inlineStr">
        <is>
          <t>ø14-28 nervürlü</t>
        </is>
      </c>
      <c r="I107" s="33" t="n">
        <v>0.5641</v>
      </c>
      <c r="J107" s="34">
        <f>D107*E107*I107</f>
        <v/>
      </c>
      <c r="K107" s="6" t="n"/>
    </row>
    <row r="108">
      <c r="A108" s="22" t="n"/>
      <c r="B108" s="25" t="inlineStr">
        <is>
          <t>GC/M25 GENEL TOPLAM</t>
        </is>
      </c>
      <c r="C108" s="26" t="inlineStr">
        <is>
          <t>ton</t>
        </is>
      </c>
      <c r="D108" s="22" t="n"/>
      <c r="E108" s="22" t="n"/>
      <c r="F108" s="22" t="n"/>
      <c r="G108" s="22" t="n"/>
      <c r="H108" s="22" t="n"/>
      <c r="I108" s="22" t="n"/>
      <c r="J108" s="22" t="n"/>
      <c r="K108" s="35">
        <f>SUM(J107:J107)</f>
        <v/>
      </c>
    </row>
    <row r="110" ht="20" customHeight="1">
      <c r="A110" s="18" t="inlineStr">
        <is>
          <t>Yapı/Bina Adı: ÖLÜ ATMA ÇUKURU</t>
        </is>
      </c>
    </row>
    <row r="111" ht="28" customHeight="1">
      <c r="A111" s="7" t="inlineStr">
        <is>
          <t>Poz No</t>
        </is>
      </c>
      <c r="B111" s="7" t="inlineStr">
        <is>
          <t>Tanımı</t>
        </is>
      </c>
      <c r="C111" s="7" t="inlineStr">
        <is>
          <t>Birim</t>
        </is>
      </c>
      <c r="D111" s="7" t="inlineStr">
        <is>
          <t>Benzer</t>
        </is>
      </c>
      <c r="E111" s="7" t="inlineStr">
        <is>
          <t>Adet</t>
        </is>
      </c>
      <c r="F111" s="7" t="inlineStr">
        <is>
          <t>Boy (m)</t>
        </is>
      </c>
      <c r="G111" s="7" t="inlineStr">
        <is>
          <t>En (m)</t>
        </is>
      </c>
      <c r="H111" s="7" t="inlineStr">
        <is>
          <t>Demir çapı veya profil tipi</t>
        </is>
      </c>
      <c r="I111" s="7" t="inlineStr">
        <is>
          <t>Birim Ağırlık</t>
        </is>
      </c>
      <c r="J111" s="7" t="inlineStr">
        <is>
          <t>Toplam Ağırlık</t>
        </is>
      </c>
      <c r="K111" s="7" t="inlineStr">
        <is>
          <t>Genel Toplam</t>
        </is>
      </c>
    </row>
    <row r="112" ht="22" customHeight="1">
      <c r="A112" s="20" t="inlineStr">
        <is>
          <t>15.160.1003</t>
        </is>
      </c>
      <c r="B112" s="8" t="inlineStr">
        <is>
          <t>[M26]  Ø 8 - Ø 12 mm nervürlü beton çelik çubuğu, çubukların kesilmesi, bükülmesi ve yerine konulması</t>
        </is>
      </c>
      <c r="C112" s="19" t="inlineStr">
        <is>
          <t>ton</t>
        </is>
      </c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 ht="20" customHeight="1">
      <c r="A113" s="6" t="n"/>
      <c r="B113" s="23" t="inlineStr">
        <is>
          <t>Radye ve üst döşeme — proje metrajı 335,40 + 46,70 = 382,10 kg</t>
        </is>
      </c>
      <c r="C113" s="6" t="n"/>
      <c r="D113" s="28" t="n">
        <v>1</v>
      </c>
      <c r="E113" s="28" t="n">
        <v>1</v>
      </c>
      <c r="F113" s="6" t="n"/>
      <c r="G113" s="6" t="n"/>
      <c r="H113" s="36" t="inlineStr">
        <is>
          <t>ø8-12 nervürlü</t>
        </is>
      </c>
      <c r="I113" s="33" t="n">
        <v>0.3821</v>
      </c>
      <c r="J113" s="34">
        <f>D113*E113*I113</f>
        <v/>
      </c>
      <c r="K113" s="6" t="n"/>
    </row>
    <row r="114" ht="12" customHeight="1">
      <c r="A114" s="6" t="n"/>
      <c r="B114" s="23" t="inlineStr">
        <is>
          <t>Perdeler 17,00 x 0,25 x 3,00 m³; 100 kg/m³</t>
        </is>
      </c>
      <c r="C114" s="6" t="n"/>
      <c r="D114" s="28" t="n">
        <v>1</v>
      </c>
      <c r="E114" s="28" t="n">
        <v>1</v>
      </c>
      <c r="F114" s="29" t="n">
        <v>4.25</v>
      </c>
      <c r="G114" s="29" t="n">
        <v>3</v>
      </c>
      <c r="H114" s="36" t="inlineStr">
        <is>
          <t>ø8-12 nervürlü</t>
        </is>
      </c>
      <c r="I114" s="33" t="n">
        <v>0.1</v>
      </c>
      <c r="J114" s="34">
        <f>D114*E114*F114*G114*I114</f>
        <v/>
      </c>
      <c r="K114" s="6" t="n"/>
    </row>
    <row r="115">
      <c r="A115" s="22" t="n"/>
      <c r="B115" s="25" t="inlineStr">
        <is>
          <t>OC/M26 GENEL TOPLAM</t>
        </is>
      </c>
      <c r="C115" s="26" t="inlineStr">
        <is>
          <t>ton</t>
        </is>
      </c>
      <c r="D115" s="22" t="n"/>
      <c r="E115" s="22" t="n"/>
      <c r="F115" s="22" t="n"/>
      <c r="G115" s="22" t="n"/>
      <c r="H115" s="22" t="n"/>
      <c r="I115" s="22" t="n"/>
      <c r="J115" s="22" t="n"/>
      <c r="K115" s="35">
        <f>SUM(J113:J114)</f>
        <v/>
      </c>
    </row>
    <row r="117" ht="20" customHeight="1">
      <c r="A117" s="18" t="inlineStr">
        <is>
          <t>Yapı/Bina Adı: YEM SILOSU BETONARME KAIDELERI</t>
        </is>
      </c>
    </row>
    <row r="118" ht="28" customHeight="1">
      <c r="A118" s="7" t="inlineStr">
        <is>
          <t>Poz No</t>
        </is>
      </c>
      <c r="B118" s="7" t="inlineStr">
        <is>
          <t>Tanımı</t>
        </is>
      </c>
      <c r="C118" s="7" t="inlineStr">
        <is>
          <t>Birim</t>
        </is>
      </c>
      <c r="D118" s="7" t="inlineStr">
        <is>
          <t>Benzer</t>
        </is>
      </c>
      <c r="E118" s="7" t="inlineStr">
        <is>
          <t>Adet</t>
        </is>
      </c>
      <c r="F118" s="7" t="inlineStr">
        <is>
          <t>Boy (m)</t>
        </is>
      </c>
      <c r="G118" s="7" t="inlineStr">
        <is>
          <t>En (m)</t>
        </is>
      </c>
      <c r="H118" s="7" t="inlineStr">
        <is>
          <t>Demir çapı veya profil tipi</t>
        </is>
      </c>
      <c r="I118" s="7" t="inlineStr">
        <is>
          <t>Birim Ağırlık</t>
        </is>
      </c>
      <c r="J118" s="7" t="inlineStr">
        <is>
          <t>Toplam Ağırlık</t>
        </is>
      </c>
      <c r="K118" s="7" t="inlineStr">
        <is>
          <t>Genel Toplam</t>
        </is>
      </c>
    </row>
    <row r="119" ht="22" customHeight="1">
      <c r="A119" s="20" t="inlineStr">
        <is>
          <t>15.160.1003</t>
        </is>
      </c>
      <c r="B119" s="8" t="inlineStr">
        <is>
          <t>[M26]  Ø 8 - Ø 12 mm nervürlü beton çelik çubuğu, çubukların kesilmesi, bükülmesi ve yerine konulması</t>
        </is>
      </c>
      <c r="C119" s="19" t="inlineStr">
        <is>
          <t>ton</t>
        </is>
      </c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 ht="12" customHeight="1">
      <c r="A120" s="6" t="n"/>
      <c r="B120" s="23" t="inlineStr">
        <is>
          <t>Kaideler 2,90 x 2,90 x 0,50 m³, 2 adet; 90 kg/m³</t>
        </is>
      </c>
      <c r="C120" s="6" t="n"/>
      <c r="D120" s="28" t="n">
        <v>2</v>
      </c>
      <c r="E120" s="28" t="n">
        <v>1</v>
      </c>
      <c r="F120" s="29" t="n">
        <v>8.41</v>
      </c>
      <c r="G120" s="29" t="n">
        <v>0.5</v>
      </c>
      <c r="H120" s="36" t="inlineStr">
        <is>
          <t>ø8-12 nervürlü</t>
        </is>
      </c>
      <c r="I120" s="33" t="n">
        <v>0.09</v>
      </c>
      <c r="J120" s="34">
        <f>D120*E120*F120*G120*I120</f>
        <v/>
      </c>
      <c r="K120" s="6" t="n"/>
    </row>
    <row r="121">
      <c r="A121" s="22" t="n"/>
      <c r="B121" s="25" t="inlineStr">
        <is>
          <t>SL/M26 GENEL TOPLAM</t>
        </is>
      </c>
      <c r="C121" s="26" t="inlineStr">
        <is>
          <t>ton</t>
        </is>
      </c>
      <c r="D121" s="22" t="n"/>
      <c r="E121" s="22" t="n"/>
      <c r="F121" s="22" t="n"/>
      <c r="G121" s="22" t="n"/>
      <c r="H121" s="22" t="n"/>
      <c r="I121" s="22" t="n"/>
      <c r="J121" s="22" t="n"/>
      <c r="K121" s="35">
        <f>SUM(J120:J120)</f>
        <v/>
      </c>
    </row>
    <row r="123" ht="20" customHeight="1">
      <c r="A123" s="18" t="inlineStr">
        <is>
          <t>Yapı/Bina Adı: SU DEPOSU</t>
        </is>
      </c>
    </row>
    <row r="124" ht="28" customHeight="1">
      <c r="A124" s="7" t="inlineStr">
        <is>
          <t>Poz No</t>
        </is>
      </c>
      <c r="B124" s="7" t="inlineStr">
        <is>
          <t>Tanımı</t>
        </is>
      </c>
      <c r="C124" s="7" t="inlineStr">
        <is>
          <t>Birim</t>
        </is>
      </c>
      <c r="D124" s="7" t="inlineStr">
        <is>
          <t>Benzer</t>
        </is>
      </c>
      <c r="E124" s="7" t="inlineStr">
        <is>
          <t>Adet</t>
        </is>
      </c>
      <c r="F124" s="7" t="inlineStr">
        <is>
          <t>Boy (m)</t>
        </is>
      </c>
      <c r="G124" s="7" t="inlineStr">
        <is>
          <t>En (m)</t>
        </is>
      </c>
      <c r="H124" s="7" t="inlineStr">
        <is>
          <t>Demir çapı veya profil tipi</t>
        </is>
      </c>
      <c r="I124" s="7" t="inlineStr">
        <is>
          <t>Birim Ağırlık</t>
        </is>
      </c>
      <c r="J124" s="7" t="inlineStr">
        <is>
          <t>Toplam Ağırlık</t>
        </is>
      </c>
      <c r="K124" s="7" t="inlineStr">
        <is>
          <t>Genel Toplam</t>
        </is>
      </c>
    </row>
    <row r="125" ht="22" customHeight="1">
      <c r="A125" s="20" t="inlineStr">
        <is>
          <t>15.160.1003</t>
        </is>
      </c>
      <c r="B125" s="8" t="inlineStr">
        <is>
          <t>[M26]  Ø 8 - Ø 12 mm nervürlü beton çelik çubuğu, çubukların kesilmesi, bükülmesi ve yerine konulması</t>
        </is>
      </c>
      <c r="C125" s="19" t="inlineStr">
        <is>
          <t>ton</t>
        </is>
      </c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 ht="20" customHeight="1">
      <c r="A126" s="6" t="n"/>
      <c r="B126" s="23" t="inlineStr">
        <is>
          <t>Radye ve üst döşeme — proje metrajı 223,70 + 32,90 = 256,60 kg</t>
        </is>
      </c>
      <c r="C126" s="6" t="n"/>
      <c r="D126" s="28" t="n">
        <v>1</v>
      </c>
      <c r="E126" s="28" t="n">
        <v>1</v>
      </c>
      <c r="F126" s="6" t="n"/>
      <c r="G126" s="6" t="n"/>
      <c r="H126" s="36" t="inlineStr">
        <is>
          <t>ø8-12 nervürlü</t>
        </is>
      </c>
      <c r="I126" s="33" t="n">
        <v>0.2566</v>
      </c>
      <c r="J126" s="34">
        <f>D126*E126*I126</f>
        <v/>
      </c>
      <c r="K126" s="6" t="n"/>
    </row>
    <row r="127" ht="12" customHeight="1">
      <c r="A127" s="6" t="n"/>
      <c r="B127" s="23" t="inlineStr">
        <is>
          <t>Perdeler 13,00 x 0,25 x 3,00 m³; 100 kg/m³</t>
        </is>
      </c>
      <c r="C127" s="6" t="n"/>
      <c r="D127" s="28" t="n">
        <v>1</v>
      </c>
      <c r="E127" s="28" t="n">
        <v>1</v>
      </c>
      <c r="F127" s="29" t="n">
        <v>3.25</v>
      </c>
      <c r="G127" s="29" t="n">
        <v>3</v>
      </c>
      <c r="H127" s="36" t="inlineStr">
        <is>
          <t>ø8-12 nervürlü</t>
        </is>
      </c>
      <c r="I127" s="33" t="n">
        <v>0.1</v>
      </c>
      <c r="J127" s="34">
        <f>D127*E127*F127*G127*I127</f>
        <v/>
      </c>
      <c r="K127" s="6" t="n"/>
    </row>
    <row r="128">
      <c r="A128" s="22" t="n"/>
      <c r="B128" s="25" t="inlineStr">
        <is>
          <t>SD/M26 GENEL TOPLAM</t>
        </is>
      </c>
      <c r="C128" s="26" t="inlineStr">
        <is>
          <t>ton</t>
        </is>
      </c>
      <c r="D128" s="22" t="n"/>
      <c r="E128" s="22" t="n"/>
      <c r="F128" s="22" t="n"/>
      <c r="G128" s="22" t="n"/>
      <c r="H128" s="22" t="n"/>
      <c r="I128" s="22" t="n"/>
      <c r="J128" s="22" t="n"/>
      <c r="K128" s="35">
        <f>SUM(J126:J127)</f>
        <v/>
      </c>
    </row>
    <row r="130" ht="20" customHeight="1">
      <c r="A130" s="18" t="inlineStr">
        <is>
          <t>Yapı/Bina Adı: YAĞMUR SUYU DEPOSU</t>
        </is>
      </c>
    </row>
    <row r="131" ht="28" customHeight="1">
      <c r="A131" s="7" t="inlineStr">
        <is>
          <t>Poz No</t>
        </is>
      </c>
      <c r="B131" s="7" t="inlineStr">
        <is>
          <t>Tanımı</t>
        </is>
      </c>
      <c r="C131" s="7" t="inlineStr">
        <is>
          <t>Birim</t>
        </is>
      </c>
      <c r="D131" s="7" t="inlineStr">
        <is>
          <t>Benzer</t>
        </is>
      </c>
      <c r="E131" s="7" t="inlineStr">
        <is>
          <t>Adet</t>
        </is>
      </c>
      <c r="F131" s="7" t="inlineStr">
        <is>
          <t>Boy (m)</t>
        </is>
      </c>
      <c r="G131" s="7" t="inlineStr">
        <is>
          <t>En (m)</t>
        </is>
      </c>
      <c r="H131" s="7" t="inlineStr">
        <is>
          <t>Demir çapı veya profil tipi</t>
        </is>
      </c>
      <c r="I131" s="7" t="inlineStr">
        <is>
          <t>Birim Ağırlık</t>
        </is>
      </c>
      <c r="J131" s="7" t="inlineStr">
        <is>
          <t>Toplam Ağırlık</t>
        </is>
      </c>
      <c r="K131" s="7" t="inlineStr">
        <is>
          <t>Genel Toplam</t>
        </is>
      </c>
    </row>
    <row r="132" ht="22" customHeight="1">
      <c r="A132" s="20" t="inlineStr">
        <is>
          <t>15.160.1003</t>
        </is>
      </c>
      <c r="B132" s="8" t="inlineStr">
        <is>
          <t>[M26]  Ø 8 - Ø 12 mm nervürlü beton çelik çubuğu, çubukların kesilmesi, bükülmesi ve yerine konulması</t>
        </is>
      </c>
      <c r="C132" s="19" t="inlineStr">
        <is>
          <t>ton</t>
        </is>
      </c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 ht="12" customHeight="1">
      <c r="A133" s="6" t="n"/>
      <c r="B133" s="23" t="inlineStr">
        <is>
          <t>Radye 3,00 x 3,00 x 0,30 m³; 100 kg/m³</t>
        </is>
      </c>
      <c r="C133" s="6" t="n"/>
      <c r="D133" s="28" t="n">
        <v>1</v>
      </c>
      <c r="E133" s="28" t="n">
        <v>1</v>
      </c>
      <c r="F133" s="29" t="n">
        <v>9</v>
      </c>
      <c r="G133" s="29" t="n">
        <v>0.3</v>
      </c>
      <c r="H133" s="36" t="inlineStr">
        <is>
          <t>ø8-12 nervürlü</t>
        </is>
      </c>
      <c r="I133" s="33" t="n">
        <v>0.1</v>
      </c>
      <c r="J133" s="34">
        <f>D133*E133*F133*G133*I133</f>
        <v/>
      </c>
      <c r="K133" s="6" t="n"/>
    </row>
    <row r="134" ht="12" customHeight="1">
      <c r="A134" s="6" t="n"/>
      <c r="B134" s="23" t="inlineStr">
        <is>
          <t>Perdeler 11,00 x 0,25 x 3,00 m³; 100 kg/m³</t>
        </is>
      </c>
      <c r="C134" s="6" t="n"/>
      <c r="D134" s="28" t="n">
        <v>1</v>
      </c>
      <c r="E134" s="28" t="n">
        <v>1</v>
      </c>
      <c r="F134" s="29" t="n">
        <v>2.75</v>
      </c>
      <c r="G134" s="29" t="n">
        <v>3</v>
      </c>
      <c r="H134" s="36" t="inlineStr">
        <is>
          <t>ø8-12 nervürlü</t>
        </is>
      </c>
      <c r="I134" s="33" t="n">
        <v>0.1</v>
      </c>
      <c r="J134" s="34">
        <f>D134*E134*F134*G134*I134</f>
        <v/>
      </c>
      <c r="K134" s="6" t="n"/>
    </row>
    <row r="135" ht="12" customHeight="1">
      <c r="A135" s="6" t="n"/>
      <c r="B135" s="23" t="inlineStr">
        <is>
          <t>Üst döşeme 3,00 x 3,00 x 0,15 m³; 100 kg/m³</t>
        </is>
      </c>
      <c r="C135" s="6" t="n"/>
      <c r="D135" s="28" t="n">
        <v>1</v>
      </c>
      <c r="E135" s="28" t="n">
        <v>1</v>
      </c>
      <c r="F135" s="29" t="n">
        <v>9</v>
      </c>
      <c r="G135" s="29" t="n">
        <v>0.15</v>
      </c>
      <c r="H135" s="36" t="inlineStr">
        <is>
          <t>ø8-12 nervürlü</t>
        </is>
      </c>
      <c r="I135" s="33" t="n">
        <v>0.1</v>
      </c>
      <c r="J135" s="34">
        <f>D135*E135*F135*G135*I135</f>
        <v/>
      </c>
      <c r="K135" s="6" t="n"/>
    </row>
    <row r="136">
      <c r="A136" s="22" t="n"/>
      <c r="B136" s="25" t="inlineStr">
        <is>
          <t>YD/M26 GENEL TOPLAM</t>
        </is>
      </c>
      <c r="C136" s="26" t="inlineStr">
        <is>
          <t>ton</t>
        </is>
      </c>
      <c r="D136" s="22" t="n"/>
      <c r="E136" s="22" t="n"/>
      <c r="F136" s="22" t="n"/>
      <c r="G136" s="22" t="n"/>
      <c r="H136" s="22" t="n"/>
      <c r="I136" s="22" t="n"/>
      <c r="J136" s="22" t="n"/>
      <c r="K136" s="35">
        <f>SUM(J133:J135)</f>
        <v/>
      </c>
    </row>
    <row r="138" ht="20" customHeight="1">
      <c r="A138" s="18" t="inlineStr">
        <is>
          <t>Yapı/Bina Adı: ÇEVRE DÜZENLEMESI VE SAHA ALTYAPISI</t>
        </is>
      </c>
    </row>
    <row r="139" ht="28" customHeight="1">
      <c r="A139" s="7" t="inlineStr">
        <is>
          <t>Poz No</t>
        </is>
      </c>
      <c r="B139" s="7" t="inlineStr">
        <is>
          <t>Tanımı</t>
        </is>
      </c>
      <c r="C139" s="7" t="inlineStr">
        <is>
          <t>Birim</t>
        </is>
      </c>
      <c r="D139" s="7" t="inlineStr">
        <is>
          <t>Benzer</t>
        </is>
      </c>
      <c r="E139" s="7" t="inlineStr">
        <is>
          <t>Adet</t>
        </is>
      </c>
      <c r="F139" s="7" t="inlineStr">
        <is>
          <t>Boy (m)</t>
        </is>
      </c>
      <c r="G139" s="7" t="inlineStr">
        <is>
          <t>En (m)</t>
        </is>
      </c>
      <c r="H139" s="7" t="inlineStr">
        <is>
          <t>Demir çapı veya profil tipi</t>
        </is>
      </c>
      <c r="I139" s="7" t="inlineStr">
        <is>
          <t>Birim Ağırlık</t>
        </is>
      </c>
      <c r="J139" s="7" t="inlineStr">
        <is>
          <t>Toplam Ağırlık</t>
        </is>
      </c>
      <c r="K139" s="7" t="inlineStr">
        <is>
          <t>Genel Toplam</t>
        </is>
      </c>
    </row>
    <row r="140" ht="22" customHeight="1">
      <c r="A140" s="20" t="inlineStr">
        <is>
          <t>15.160.1003</t>
        </is>
      </c>
      <c r="B140" s="8" t="inlineStr">
        <is>
          <t>[M61C]  Ø 8 - Ø 12 mm nervürlü beton çelik çubuğu, çubukların kesilmesi, bükülmesi ve yerine konulması</t>
        </is>
      </c>
      <c r="C140" s="19" t="inlineStr">
        <is>
          <t>ton</t>
        </is>
      </c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 ht="20" customHeight="1">
      <c r="A141" s="6" t="n"/>
      <c r="B141" s="23" t="inlineStr">
        <is>
          <t>Betonarme rögarlar — beton hacmi 1,566 m³, ortalama donatı oranı 90 kg/m³</t>
        </is>
      </c>
      <c r="C141" s="6" t="n"/>
      <c r="D141" s="28" t="n">
        <v>1</v>
      </c>
      <c r="E141" s="28" t="n">
        <v>1</v>
      </c>
      <c r="F141" s="29" t="n">
        <v>1.566</v>
      </c>
      <c r="G141" s="6" t="n"/>
      <c r="H141" s="36" t="inlineStr">
        <is>
          <t>ø8-12 nervürlü</t>
        </is>
      </c>
      <c r="I141" s="33" t="n">
        <v>0.09</v>
      </c>
      <c r="J141" s="34">
        <f>D141*E141*F141*I141</f>
        <v/>
      </c>
      <c r="K141" s="6" t="n"/>
    </row>
    <row r="142">
      <c r="A142" s="22" t="n"/>
      <c r="B142" s="25" t="inlineStr">
        <is>
          <t>SA/M61C GENEL TOPLAM</t>
        </is>
      </c>
      <c r="C142" s="26" t="inlineStr">
        <is>
          <t>ton</t>
        </is>
      </c>
      <c r="D142" s="22" t="n"/>
      <c r="E142" s="22" t="n"/>
      <c r="F142" s="22" t="n"/>
      <c r="G142" s="22" t="n"/>
      <c r="H142" s="22" t="n"/>
      <c r="I142" s="22" t="n"/>
      <c r="J142" s="22" t="n"/>
      <c r="K142" s="35">
        <f>SUM(J141:J141)</f>
        <v/>
      </c>
    </row>
    <row r="144">
      <c r="A144" s="16" t="inlineStr">
        <is>
          <t>AÇIKLAMALAR VE VARSAYIMLAR</t>
        </is>
      </c>
      <c r="B144" s="40" t="n"/>
      <c r="C144" s="40" t="n"/>
      <c r="D144" s="40" t="n"/>
      <c r="E144" s="40" t="n"/>
      <c r="F144" s="40" t="n"/>
      <c r="G144" s="40" t="n"/>
      <c r="H144" s="40" t="n"/>
      <c r="I144" s="40" t="n"/>
      <c r="J144" s="40" t="n"/>
      <c r="K144" s="41" t="n"/>
    </row>
    <row r="145" ht="13" customHeight="1">
      <c r="A145" s="17" t="inlineStr">
        <is>
          <t>•  SARI zeminli 'demir çapı veya profil tipi' hücreleri, proje toplamını tutturmak üzere yapılan dağıtımı gösterir.</t>
        </is>
      </c>
    </row>
    <row r="146" ht="33" customHeight="1">
      <c r="A146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47" ht="22" customHeight="1">
      <c r="A147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48" ht="13" customHeight="1">
      <c r="A148" s="17" t="inlineStr">
        <is>
          <t>•  Gübre çukuru ve müştemilat donatısı, projedeki METRAJ tablolarından ve eleman hacmi x birim donatı oranı (kg/m³) esasıyla hesaplanmıştır.</t>
        </is>
      </c>
    </row>
    <row r="149" ht="22" customHeight="1">
      <c r="A149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7">
    <mergeCell ref="A149:K149"/>
    <mergeCell ref="A145:K145"/>
    <mergeCell ref="A3:K3"/>
    <mergeCell ref="A130:K130"/>
    <mergeCell ref="A147:K147"/>
    <mergeCell ref="A148:K148"/>
    <mergeCell ref="A2:K2"/>
    <mergeCell ref="A52:K52"/>
    <mergeCell ref="A99:K99"/>
    <mergeCell ref="A117:K117"/>
    <mergeCell ref="A5:K5"/>
    <mergeCell ref="A123:K123"/>
    <mergeCell ref="A138:K138"/>
    <mergeCell ref="A1:K1"/>
    <mergeCell ref="A110:K110"/>
    <mergeCell ref="A146:K146"/>
    <mergeCell ref="A144:K14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2026-09-02T19:09:20Z</dcterms:created>
  <dcterms:modified xmlns:dcterms="http://purl.org/dc/terms/" xmlns:xsi="http://www.w3.org/2001/XMLSchema-instance" xsi:type="dcterms:W3CDTF">2026-09-02T19:09:21Z</dcterms:modified>
</cp:coreProperties>
</file>