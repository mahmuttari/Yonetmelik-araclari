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Ağırlık Metraj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#,##0.##"/>
    <numFmt numFmtId="166" formatCode="#,##0.###"/>
    <numFmt numFmtId="167" formatCode="#,##0.######"/>
    <numFmt numFmtId="168" formatCode="#,##0.000000"/>
  </numFmts>
  <fonts count="9">
    <font>
      <name val="Calibri"/>
      <family val="2"/>
      <color theme="1"/>
      <sz val="11"/>
      <scheme val="minor"/>
    </font>
    <font>
      <b val="1"/>
      <color rgb="00000000"/>
      <sz val="13"/>
    </font>
    <font>
      <i val="1"/>
      <sz val="9"/>
    </font>
    <font>
      <i val="1"/>
      <sz val="8"/>
    </font>
    <font>
      <b val="1"/>
      <color rgb="00000000"/>
      <sz val="11"/>
    </font>
    <font>
      <b val="1"/>
      <color rgb="00000000"/>
      <sz val="9"/>
    </font>
    <font>
      <b val="1"/>
      <sz val="9"/>
    </font>
    <font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DCDC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49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/>
    </xf>
    <xf numFmtId="0" fontId="6" fillId="2" borderId="1" pivotButton="0" quotePrefix="0" xfId="0"/>
    <xf numFmtId="0" fontId="8" fillId="0" borderId="0" applyAlignment="1" pivotButton="0" quotePrefix="0" xfId="0">
      <alignment vertical="center" wrapText="1"/>
    </xf>
    <xf numFmtId="0" fontId="4" fillId="2" borderId="0" pivotButton="0" quotePrefix="0" xfId="0"/>
    <xf numFmtId="0" fontId="0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8" fillId="0" borderId="1" applyAlignment="1" pivotButton="0" quotePrefix="0" xfId="0">
      <alignment vertical="top" wrapText="1"/>
    </xf>
    <xf numFmtId="164" fontId="0" fillId="0" borderId="1" pivotButton="0" quotePrefix="0" xfId="0"/>
    <xf numFmtId="0" fontId="6" fillId="2" borderId="1" applyAlignment="1" pivotButton="0" quotePrefix="0" xfId="0">
      <alignment horizontal="right"/>
    </xf>
    <xf numFmtId="0" fontId="0" fillId="2" borderId="1" applyAlignment="1" pivotButton="0" quotePrefix="0" xfId="0">
      <alignment horizontal="center"/>
    </xf>
    <xf numFmtId="164" fontId="6" fillId="3" borderId="1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/>
    </xf>
    <xf numFmtId="168" fontId="0" fillId="0" borderId="1" pivotButton="0" quotePrefix="0" xfId="0"/>
    <xf numFmtId="168" fontId="6" fillId="3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7" customWidth="1" min="3" max="3"/>
    <col width="8" customWidth="1" min="4" max="4"/>
    <col width="9" customWidth="1" min="5" max="5"/>
    <col width="10" customWidth="1" min="6" max="6"/>
    <col width="10" customWidth="1" min="7" max="7"/>
    <col width="18" customWidth="1" min="8" max="8"/>
    <col width="12" customWidth="1" min="9" max="9"/>
    <col width="13" customWidth="1" min="10" max="10"/>
    <col width="13" customWidth="1" min="11" max="11"/>
  </cols>
  <sheetData>
    <row r="1" ht="26" customHeight="1">
      <c r="A1" s="1" t="inlineStr">
        <is>
          <t>AĞIRLIK CİNSİNDEN FİYATLANDIRILAN POZLAR İÇİN METRAJ CETVELİ</t>
        </is>
      </c>
    </row>
    <row r="2">
      <c r="A2" s="2" t="inlineStr">
        <is>
          <t>MUSAB EDER ÇİFTLİĞİ KANATLI (ETLİK PİLİÇ) KÜMESİ — Kocaeli İli Karamürsel İlçesi İnebeyli Mahallesi 138 ada 17 parsel (7.966,67 m²)</t>
        </is>
      </c>
    </row>
    <row r="3">
      <c r="A3" s="3" t="inlineStr">
        <is>
          <t>Toplam Ağırlık = Benzer x Adet x Boy x (En) x Birim Ağırlık</t>
        </is>
      </c>
    </row>
    <row r="5" ht="20" customHeight="1">
      <c r="A5" s="19" t="inlineStr">
        <is>
          <t>Yapı/Bina Adı: KÜMES A BLOK</t>
        </is>
      </c>
    </row>
    <row r="6" ht="28" customHeight="1">
      <c r="A6" s="7" t="inlineStr">
        <is>
          <t>Poz No</t>
        </is>
      </c>
      <c r="B6" s="7" t="inlineStr">
        <is>
          <t>Tanımı</t>
        </is>
      </c>
      <c r="C6" s="7" t="inlineStr">
        <is>
          <t>Birim</t>
        </is>
      </c>
      <c r="D6" s="7" t="inlineStr">
        <is>
          <t>Benzer</t>
        </is>
      </c>
      <c r="E6" s="7" t="inlineStr">
        <is>
          <t>Adet</t>
        </is>
      </c>
      <c r="F6" s="7" t="inlineStr">
        <is>
          <t>Boy (m)</t>
        </is>
      </c>
      <c r="G6" s="7" t="inlineStr">
        <is>
          <t>En (m)</t>
        </is>
      </c>
      <c r="H6" s="7" t="inlineStr">
        <is>
          <t>Demir çapı veya profil tipi</t>
        </is>
      </c>
      <c r="I6" s="7" t="inlineStr">
        <is>
          <t>Birim Ağırlık</t>
        </is>
      </c>
      <c r="J6" s="7" t="inlineStr">
        <is>
          <t>Toplam Ağırlık</t>
        </is>
      </c>
      <c r="K6" s="7" t="inlineStr">
        <is>
          <t>Genel Toplam</t>
        </is>
      </c>
    </row>
    <row r="7" ht="22" customHeight="1">
      <c r="A7" s="21" t="inlineStr">
        <is>
          <t>15.160.1003</t>
        </is>
      </c>
      <c r="B7" s="8" t="inlineStr">
        <is>
          <t>[M22]  Ø 8 - Ø 12 mm nervürlü beton çelik çubuğu, çubukların kesilmesi, bükülmesi ve yerine konulması</t>
        </is>
      </c>
      <c r="C7" s="20" t="inlineStr">
        <is>
          <t>ton</t>
        </is>
      </c>
      <c r="D7" s="23" t="n"/>
      <c r="E7" s="23" t="n"/>
      <c r="F7" s="23" t="n"/>
      <c r="G7" s="23" t="n"/>
      <c r="H7" s="23" t="n"/>
      <c r="I7" s="23" t="n"/>
      <c r="J7" s="23" t="n"/>
      <c r="K7" s="23" t="n"/>
    </row>
    <row r="8" ht="30" customHeight="1">
      <c r="A8" s="6" t="n"/>
      <c r="B8" s="32" t="inlineStr">
        <is>
          <t>Şerit temel etriyesi T1…T21 (50/60), ø8/20 — aks başına 13,55/0,20 = 68 adet, 21 aks; etriye açılım boyu 2x(0,44+0,54)+0,20 kanca = 2,16 m (blok başına)</t>
        </is>
      </c>
      <c r="C8" s="6" t="n"/>
      <c r="D8" s="29" t="n">
        <v>1</v>
      </c>
      <c r="E8" s="29" t="n">
        <v>1428</v>
      </c>
      <c r="F8" s="30" t="n">
        <v>2.16</v>
      </c>
      <c r="G8" s="6" t="n"/>
      <c r="H8" s="33" t="inlineStr">
        <is>
          <t>ø8 nervürlü</t>
        </is>
      </c>
      <c r="I8" s="34" t="n">
        <v>0.000395</v>
      </c>
      <c r="J8" s="35">
        <f>D8*E8*F8*I8</f>
        <v/>
      </c>
      <c r="K8" s="6" t="n"/>
    </row>
    <row r="9" ht="20" customHeight="1">
      <c r="A9" s="6" t="n"/>
      <c r="B9" s="32" t="inlineStr">
        <is>
          <t>Şerit temel gövde ve montaj donatısı ø12 — aks başına 4 adet, 21 aks, aks boyu 13,55 m (blok başına)</t>
        </is>
      </c>
      <c r="C9" s="6" t="n"/>
      <c r="D9" s="29" t="n">
        <v>1</v>
      </c>
      <c r="E9" s="29" t="n">
        <v>84</v>
      </c>
      <c r="F9" s="30" t="n">
        <v>13.55</v>
      </c>
      <c r="G9" s="6" t="n"/>
      <c r="H9" s="33" t="inlineStr">
        <is>
          <t>ø12 nervürlü</t>
        </is>
      </c>
      <c r="I9" s="34" t="n">
        <v>0.000888</v>
      </c>
      <c r="J9" s="35">
        <f>D9*E9*F9*I9</f>
        <v/>
      </c>
      <c r="K9" s="6" t="n"/>
    </row>
    <row r="10" ht="30" customHeight="1">
      <c r="A10" s="6" t="n"/>
      <c r="B10" s="32" t="inlineStr">
        <is>
          <t>Bağ kirişi etriyesi BK (30/30), ø8/20 — hat başına 78.55/0,20 = 393 adet, 4 hat; etriye açılım boyu 2x(0,24+0,24)+0,20 kanca = 1,16 m (blok başına)</t>
        </is>
      </c>
      <c r="C10" s="6" t="n"/>
      <c r="D10" s="29" t="n">
        <v>1</v>
      </c>
      <c r="E10" s="29" t="n">
        <v>1572</v>
      </c>
      <c r="F10" s="30" t="n">
        <v>1.16</v>
      </c>
      <c r="G10" s="6" t="n"/>
      <c r="H10" s="33" t="inlineStr">
        <is>
          <t>ø8 nervürlü</t>
        </is>
      </c>
      <c r="I10" s="34" t="n">
        <v>0.000395</v>
      </c>
      <c r="J10" s="35">
        <f>D10*E10*F10*I10</f>
        <v/>
      </c>
      <c r="K10" s="6" t="n"/>
    </row>
    <row r="11" ht="20" customHeight="1">
      <c r="A11" s="6" t="n"/>
      <c r="B11" s="32" t="inlineStr">
        <is>
          <t>Kolon ankraj ve guse donatısı ø12 — 21 aks x 4 kolon = 84 adet, boy 2,50 m (blok başına)</t>
        </is>
      </c>
      <c r="C11" s="6" t="n"/>
      <c r="D11" s="29" t="n">
        <v>1</v>
      </c>
      <c r="E11" s="29" t="n">
        <v>84</v>
      </c>
      <c r="F11" s="30" t="n">
        <v>2.5</v>
      </c>
      <c r="G11" s="6" t="n"/>
      <c r="H11" s="33" t="inlineStr">
        <is>
          <t>ø12 nervürlü</t>
        </is>
      </c>
      <c r="I11" s="34" t="n">
        <v>0.000888</v>
      </c>
      <c r="J11" s="35">
        <f>D11*E11*F11*I11</f>
        <v/>
      </c>
      <c r="K11" s="6" t="n"/>
    </row>
    <row r="12" ht="30" customHeight="1">
      <c r="A12" s="6" t="n"/>
      <c r="B12" s="32" t="inlineStr">
        <is>
          <t>Montaj donatısı, çiroz, pilye ve bindirme payı — betonarme proje METRAJ tablosundaki blok başına 4.159,89 kg toplamını tamamlayan fark</t>
        </is>
      </c>
      <c r="C12" s="6" t="n"/>
      <c r="D12" s="29" t="n">
        <v>1</v>
      </c>
      <c r="E12" s="29" t="n">
        <v>1</v>
      </c>
      <c r="F12" s="6" t="n"/>
      <c r="G12" s="6" t="n"/>
      <c r="H12" s="33" t="inlineStr">
        <is>
          <t>ø8-12 nervürlü</t>
        </is>
      </c>
      <c r="I12" s="34" t="n">
        <v>1.0240284</v>
      </c>
      <c r="J12" s="35">
        <f>D12*E12*I12</f>
        <v/>
      </c>
      <c r="K12" s="6" t="n"/>
    </row>
    <row r="13">
      <c r="A13" s="23" t="n"/>
      <c r="B13" s="26" t="inlineStr">
        <is>
          <t>KA/M22 GENEL TOPLAM</t>
        </is>
      </c>
      <c r="C13" s="27" t="inlineStr">
        <is>
          <t>ton</t>
        </is>
      </c>
      <c r="D13" s="23" t="n"/>
      <c r="E13" s="23" t="n"/>
      <c r="F13" s="23" t="n"/>
      <c r="G13" s="23" t="n"/>
      <c r="H13" s="23" t="n"/>
      <c r="I13" s="23" t="n"/>
      <c r="J13" s="23" t="n"/>
      <c r="K13" s="36">
        <f>SUM(J8:J12)</f>
        <v/>
      </c>
    </row>
    <row r="14" ht="22" customHeight="1">
      <c r="A14" s="21" t="inlineStr">
        <is>
          <t>15.160.1004</t>
        </is>
      </c>
      <c r="B14" s="8" t="inlineStr">
        <is>
          <t>[M23]  Ø 14 - Ø 28 mm nervürlü beton çelik çubuğu, çubukların kesilmesi, bükülmesi ve yerine konulması</t>
        </is>
      </c>
      <c r="C14" s="20" t="inlineStr">
        <is>
          <t>ton</t>
        </is>
      </c>
      <c r="D14" s="23" t="n"/>
      <c r="E14" s="23" t="n"/>
      <c r="F14" s="23" t="n"/>
      <c r="G14" s="23" t="n"/>
      <c r="H14" s="23" t="n"/>
      <c r="I14" s="23" t="n"/>
      <c r="J14" s="23" t="n"/>
      <c r="K14" s="23" t="n"/>
    </row>
    <row r="15" ht="30" customHeight="1">
      <c r="A15" s="6" t="n"/>
      <c r="B15" s="32" t="inlineStr">
        <is>
          <t>Şerit temel boyuna donatısı ø16 — aks başına 6 alt + 4 üst = 10 adet, 21 aks, aks boyu 13,55 m (blok başına)</t>
        </is>
      </c>
      <c r="C15" s="6" t="n"/>
      <c r="D15" s="29" t="n">
        <v>1</v>
      </c>
      <c r="E15" s="29" t="n">
        <v>210</v>
      </c>
      <c r="F15" s="30" t="n">
        <v>13.55</v>
      </c>
      <c r="G15" s="6" t="n"/>
      <c r="H15" s="33" t="inlineStr">
        <is>
          <t>ø16 nervürlü</t>
        </is>
      </c>
      <c r="I15" s="34" t="n">
        <v>0.00158</v>
      </c>
      <c r="J15" s="35">
        <f>D15*E15*F15*I15</f>
        <v/>
      </c>
      <c r="K15" s="6" t="n"/>
    </row>
    <row r="16" ht="20" customHeight="1">
      <c r="A16" s="6" t="n"/>
      <c r="B16" s="32" t="inlineStr">
        <is>
          <t>Bağ kirişi boyuna donatısı ø14 — hat başına 3 alt + 3 üst = 6 adet, 4 hat, hat boyu 78.55 m (blok başına)</t>
        </is>
      </c>
      <c r="C16" s="6" t="n"/>
      <c r="D16" s="29" t="n">
        <v>1</v>
      </c>
      <c r="E16" s="29" t="n">
        <v>24</v>
      </c>
      <c r="F16" s="30" t="n">
        <v>78.55</v>
      </c>
      <c r="G16" s="6" t="n"/>
      <c r="H16" s="33" t="inlineStr">
        <is>
          <t>ø14 nervürlü</t>
        </is>
      </c>
      <c r="I16" s="34" t="n">
        <v>0.00121</v>
      </c>
      <c r="J16" s="35">
        <f>D16*E16*F16*I16</f>
        <v/>
      </c>
      <c r="K16" s="6" t="n"/>
    </row>
    <row r="17" ht="30" customHeight="1">
      <c r="A17" s="6" t="n"/>
      <c r="B17" s="32" t="inlineStr">
        <is>
          <t>Bindirme, filiz ve gönye payı — betonarme proje METRAJ tablosundaki blok başına 7.287,50 kg toplamını tamamlayan fark</t>
        </is>
      </c>
      <c r="C17" s="6" t="n"/>
      <c r="D17" s="29" t="n">
        <v>1</v>
      </c>
      <c r="E17" s="29" t="n">
        <v>1</v>
      </c>
      <c r="F17" s="6" t="n"/>
      <c r="G17" s="6" t="n"/>
      <c r="H17" s="33" t="inlineStr">
        <is>
          <t>ø14-28 nervürlü</t>
        </is>
      </c>
      <c r="I17" s="34" t="n">
        <v>0.510518</v>
      </c>
      <c r="J17" s="35">
        <f>D17*E17*I17</f>
        <v/>
      </c>
      <c r="K17" s="6" t="n"/>
    </row>
    <row r="18">
      <c r="A18" s="23" t="n"/>
      <c r="B18" s="26" t="inlineStr">
        <is>
          <t>KA/M23 GENEL TOPLAM</t>
        </is>
      </c>
      <c r="C18" s="27" t="inlineStr">
        <is>
          <t>ton</t>
        </is>
      </c>
      <c r="D18" s="23" t="n"/>
      <c r="E18" s="23" t="n"/>
      <c r="F18" s="23" t="n"/>
      <c r="G18" s="23" t="n"/>
      <c r="H18" s="23" t="n"/>
      <c r="I18" s="23" t="n"/>
      <c r="J18" s="23" t="n"/>
      <c r="K18" s="36">
        <f>SUM(J15:J17)</f>
        <v/>
      </c>
    </row>
    <row r="19" ht="15" customHeight="1">
      <c r="A19" s="21" t="inlineStr">
        <is>
          <t>15.160.1002</t>
        </is>
      </c>
      <c r="B19" s="8" t="inlineStr">
        <is>
          <t>[M27]  Nervürlü çelik hasırın yerine konulması</t>
        </is>
      </c>
      <c r="C19" s="20" t="inlineStr">
        <is>
          <t>ton</t>
        </is>
      </c>
      <c r="D19" s="23" t="n"/>
      <c r="E19" s="23" t="n"/>
      <c r="F19" s="23" t="n"/>
      <c r="G19" s="23" t="n"/>
      <c r="H19" s="23" t="n"/>
      <c r="I19" s="23" t="n"/>
      <c r="J19" s="23" t="n"/>
      <c r="K19" s="23" t="n"/>
    </row>
    <row r="20" ht="30" customHeight="1">
      <c r="A20" s="6" t="n"/>
      <c r="B20" s="24" t="inlineStr">
        <is>
          <t>Kümes zemin döşemesi 78.00 x 13,90 (servis bölümü hariç); Q188 hasır = 3,05 kg/m², %10 bindirme payı ile 3,355 kg/m² (blok başına)</t>
        </is>
      </c>
      <c r="C20" s="6" t="n"/>
      <c r="D20" s="29" t="n">
        <v>1</v>
      </c>
      <c r="E20" s="29" t="n">
        <v>1</v>
      </c>
      <c r="F20" s="30" t="n">
        <v>78</v>
      </c>
      <c r="G20" s="30" t="n">
        <v>13.9</v>
      </c>
      <c r="H20" s="37" t="inlineStr">
        <is>
          <t>Q188 çelik hasır</t>
        </is>
      </c>
      <c r="I20" s="34" t="n">
        <v>0.003355</v>
      </c>
      <c r="J20" s="35">
        <f>D20*E20*F20*G20*I20</f>
        <v/>
      </c>
      <c r="K20" s="6" t="n"/>
    </row>
    <row r="21">
      <c r="A21" s="23" t="n"/>
      <c r="B21" s="26" t="inlineStr">
        <is>
          <t>KA/M27 GENEL TOPLAM</t>
        </is>
      </c>
      <c r="C21" s="27" t="inlineStr">
        <is>
          <t>ton</t>
        </is>
      </c>
      <c r="D21" s="23" t="n"/>
      <c r="E21" s="23" t="n"/>
      <c r="F21" s="23" t="n"/>
      <c r="G21" s="23" t="n"/>
      <c r="H21" s="23" t="n"/>
      <c r="I21" s="23" t="n"/>
      <c r="J21" s="23" t="n"/>
      <c r="K21" s="36">
        <f>SUM(J20:J20)</f>
        <v/>
      </c>
    </row>
    <row r="22" ht="22" customHeight="1">
      <c r="A22" s="21" t="inlineStr">
        <is>
          <t>15.165.1003</t>
        </is>
      </c>
      <c r="B22" s="8" t="inlineStr">
        <is>
          <t>[M31]  Her çeşit profil, çelik çubuk ve saclarla karkas (çerçeve) inşaat yapılması, yerine tespiti</t>
        </is>
      </c>
      <c r="C22" s="20" t="inlineStr">
        <is>
          <t>ton</t>
        </is>
      </c>
      <c r="D22" s="23" t="n"/>
      <c r="E22" s="23" t="n"/>
      <c r="F22" s="23" t="n"/>
      <c r="G22" s="23" t="n"/>
      <c r="H22" s="23" t="n"/>
      <c r="I22" s="23" t="n"/>
      <c r="J22" s="23" t="n"/>
      <c r="K22" s="23" t="n"/>
    </row>
    <row r="23" ht="20" customHeight="1">
      <c r="A23" s="6" t="n"/>
      <c r="B23" s="24" t="inlineStr">
        <is>
          <t>KLN dış kolonlar — 21 çerçeve x 2 adet, boy 2,84 m (kolon üstü kotu +2,84)</t>
        </is>
      </c>
      <c r="C23" s="6" t="n"/>
      <c r="D23" s="29" t="n">
        <v>21</v>
      </c>
      <c r="E23" s="29" t="n">
        <v>2</v>
      </c>
      <c r="F23" s="30" t="n">
        <v>2.84</v>
      </c>
      <c r="G23" s="6" t="n"/>
      <c r="H23" s="37" t="inlineStr">
        <is>
          <t>SHS 150x150x6</t>
        </is>
      </c>
      <c r="I23" s="34" t="n">
        <v>0.02689</v>
      </c>
      <c r="J23" s="35">
        <f>D23*E23*F23*I23</f>
        <v/>
      </c>
      <c r="K23" s="6" t="n"/>
    </row>
    <row r="24" ht="20" customHeight="1">
      <c r="A24" s="6" t="n"/>
      <c r="B24" s="24" t="inlineStr">
        <is>
          <t>KLN iç kolonlar — 21 çerçeve x 2 adet, ortalama boy 3,68 m (eğik kiriş altında)</t>
        </is>
      </c>
      <c r="C24" s="6" t="n"/>
      <c r="D24" s="29" t="n">
        <v>21</v>
      </c>
      <c r="E24" s="29" t="n">
        <v>2</v>
      </c>
      <c r="F24" s="30" t="n">
        <v>3.6755</v>
      </c>
      <c r="G24" s="6" t="n"/>
      <c r="H24" s="37" t="inlineStr">
        <is>
          <t>SHS 150x150x6</t>
        </is>
      </c>
      <c r="I24" s="34" t="n">
        <v>0.02689</v>
      </c>
      <c r="J24" s="35">
        <f>D24*E24*F24*I24</f>
        <v/>
      </c>
      <c r="K24" s="6" t="n"/>
    </row>
    <row r="25" ht="20" customHeight="1">
      <c r="A25" s="6" t="n"/>
      <c r="B25" s="24" t="inlineStr">
        <is>
          <t>AKR ana kirişler — 21 çerçeve x 2 adet, eğik boy 6,94 m (yarım açıklık 6,775 / kot farkı 1,50)</t>
        </is>
      </c>
      <c r="C25" s="6" t="n"/>
      <c r="D25" s="29" t="n">
        <v>21</v>
      </c>
      <c r="E25" s="29" t="n">
        <v>2</v>
      </c>
      <c r="F25" s="30" t="n">
        <v>6.939</v>
      </c>
      <c r="G25" s="6" t="n"/>
      <c r="H25" s="37" t="inlineStr">
        <is>
          <t>SHS 150x150x6</t>
        </is>
      </c>
      <c r="I25" s="34" t="n">
        <v>0.02689</v>
      </c>
      <c r="J25" s="35">
        <f>D25*E25*F25*I25</f>
        <v/>
      </c>
      <c r="K25" s="6" t="n"/>
    </row>
    <row r="26" ht="20" customHeight="1">
      <c r="A26" s="6" t="n"/>
      <c r="B26" s="24" t="inlineStr">
        <is>
          <t>SKR boyuna kirişler — 2 saçak + 1 mahya hattı, boy 79,00 m</t>
        </is>
      </c>
      <c r="C26" s="6" t="n"/>
      <c r="D26" s="29" t="n">
        <v>3</v>
      </c>
      <c r="E26" s="29" t="n">
        <v>1</v>
      </c>
      <c r="F26" s="30" t="n">
        <v>79</v>
      </c>
      <c r="G26" s="6" t="n"/>
      <c r="H26" s="37" t="inlineStr">
        <is>
          <t>SHS 150x150x6</t>
        </is>
      </c>
      <c r="I26" s="34" t="n">
        <v>0.02689</v>
      </c>
      <c r="J26" s="35">
        <f>D26*E26*F26*I26</f>
        <v/>
      </c>
      <c r="K26" s="6" t="n"/>
    </row>
    <row r="27" ht="20" customHeight="1">
      <c r="A27" s="6" t="n"/>
      <c r="B27" s="24" t="inlineStr">
        <is>
          <t>CAS çatı aşıkları — kesitte sayılan 16 hat, boy 79,80 m (saçak payı dâhil)</t>
        </is>
      </c>
      <c r="C27" s="6" t="n"/>
      <c r="D27" s="29" t="n">
        <v>16</v>
      </c>
      <c r="E27" s="29" t="n">
        <v>1</v>
      </c>
      <c r="F27" s="30" t="n">
        <v>79.8</v>
      </c>
      <c r="G27" s="6" t="n"/>
      <c r="H27" s="37" t="inlineStr">
        <is>
          <t>RHS 100x50x3</t>
        </is>
      </c>
      <c r="I27" s="34" t="n">
        <v>0.00672</v>
      </c>
      <c r="J27" s="35">
        <f>D27*E27*F27*I27</f>
        <v/>
      </c>
      <c r="K27" s="6" t="n"/>
    </row>
    <row r="28" ht="20" customHeight="1">
      <c r="A28" s="6" t="n"/>
      <c r="B28" s="24" t="inlineStr">
        <is>
          <t>YAS uzun cephe kuşakları — 4 seviye x 2 cephe, boy 79,00 m</t>
        </is>
      </c>
      <c r="C28" s="6" t="n"/>
      <c r="D28" s="29" t="n">
        <v>8</v>
      </c>
      <c r="E28" s="29" t="n">
        <v>1</v>
      </c>
      <c r="F28" s="30" t="n">
        <v>79</v>
      </c>
      <c r="G28" s="6" t="n"/>
      <c r="H28" s="37" t="inlineStr">
        <is>
          <t>RHS 100x50x3</t>
        </is>
      </c>
      <c r="I28" s="34" t="n">
        <v>0.00672</v>
      </c>
      <c r="J28" s="35">
        <f>D28*E28*F28*I28</f>
        <v/>
      </c>
      <c r="K28" s="6" t="n"/>
    </row>
    <row r="29" ht="20" customHeight="1">
      <c r="A29" s="6" t="n"/>
      <c r="B29" s="24" t="inlineStr">
        <is>
          <t>YAS alınlık kuşakları — 4 seviye x 2 alınlık, boy 13,55 m</t>
        </is>
      </c>
      <c r="C29" s="6" t="n"/>
      <c r="D29" s="29" t="n">
        <v>8</v>
      </c>
      <c r="E29" s="29" t="n">
        <v>1</v>
      </c>
      <c r="F29" s="30" t="n">
        <v>13.55</v>
      </c>
      <c r="G29" s="6" t="n"/>
      <c r="H29" s="37" t="inlineStr">
        <is>
          <t>RHS 100x50x3</t>
        </is>
      </c>
      <c r="I29" s="34" t="n">
        <v>0.00672</v>
      </c>
      <c r="J29" s="35">
        <f>D29*E29*F29*I29</f>
        <v/>
      </c>
      <c r="K29" s="6" t="n"/>
    </row>
    <row r="30" ht="20" customHeight="1">
      <c r="A30" s="6" t="n"/>
      <c r="B30" s="24" t="inlineStr">
        <is>
          <t>KS iç kuşaklar — 21 çerçeve x 2 adet, orta açıklık 6,00 m</t>
        </is>
      </c>
      <c r="C30" s="6" t="n"/>
      <c r="D30" s="29" t="n">
        <v>21</v>
      </c>
      <c r="E30" s="29" t="n">
        <v>2</v>
      </c>
      <c r="F30" s="30" t="n">
        <v>6</v>
      </c>
      <c r="G30" s="6" t="n"/>
      <c r="H30" s="37" t="inlineStr">
        <is>
          <t>RHS 100x50x3</t>
        </is>
      </c>
      <c r="I30" s="34" t="n">
        <v>0.00672</v>
      </c>
      <c r="J30" s="35">
        <f>D30*E30*F30*I30</f>
        <v/>
      </c>
      <c r="K30" s="6" t="n"/>
    </row>
    <row r="31" ht="20" customHeight="1">
      <c r="A31" s="6" t="n"/>
      <c r="B31" s="24" t="inlineStr">
        <is>
          <t>CCPR ve YCPR çatı ve cephe çaprazları — toplam 270,00 m</t>
        </is>
      </c>
      <c r="C31" s="6" t="n"/>
      <c r="D31" s="29" t="n">
        <v>1</v>
      </c>
      <c r="E31" s="29" t="n">
        <v>1</v>
      </c>
      <c r="F31" s="30" t="n">
        <v>270</v>
      </c>
      <c r="G31" s="6" t="n"/>
      <c r="H31" s="37" t="inlineStr">
        <is>
          <t>SHS 100x100x4</t>
        </is>
      </c>
      <c r="I31" s="34" t="n">
        <v>0.01195</v>
      </c>
      <c r="J31" s="35">
        <f>D31*E31*F31*I31</f>
        <v/>
      </c>
      <c r="K31" s="6" t="n"/>
    </row>
    <row r="32" ht="20" customHeight="1">
      <c r="A32" s="6" t="n"/>
      <c r="B32" s="32" t="inlineStr">
        <is>
          <t>Gusse, alın levhası, taban plakası ve bulonlar — profil ağırlığının %10'u</t>
        </is>
      </c>
      <c r="C32" s="6" t="n"/>
      <c r="D32" s="29" t="n">
        <v>1</v>
      </c>
      <c r="E32" s="29" t="n">
        <v>1</v>
      </c>
      <c r="F32" s="6" t="n"/>
      <c r="G32" s="6" t="n"/>
      <c r="H32" s="33" t="inlineStr">
        <is>
          <t>Levha ve bulon</t>
        </is>
      </c>
      <c r="I32" s="34" t="n">
        <v>4.00439689</v>
      </c>
      <c r="J32" s="35">
        <f>D32*E32*I32</f>
        <v/>
      </c>
      <c r="K32" s="6" t="n"/>
    </row>
    <row r="33">
      <c r="A33" s="23" t="n"/>
      <c r="B33" s="26" t="inlineStr">
        <is>
          <t>KA/M31 GENEL TOPLAM</t>
        </is>
      </c>
      <c r="C33" s="27" t="inlineStr">
        <is>
          <t>ton</t>
        </is>
      </c>
      <c r="D33" s="23" t="n"/>
      <c r="E33" s="23" t="n"/>
      <c r="F33" s="23" t="n"/>
      <c r="G33" s="23" t="n"/>
      <c r="H33" s="23" t="n"/>
      <c r="I33" s="23" t="n"/>
      <c r="J33" s="23" t="n"/>
      <c r="K33" s="36">
        <f>SUM(J23:J32)</f>
        <v/>
      </c>
    </row>
    <row r="34" ht="22" customHeight="1">
      <c r="A34" s="21" t="inlineStr">
        <is>
          <t>15.550.1202</t>
        </is>
      </c>
      <c r="B34" s="8" t="inlineStr">
        <is>
          <t>[M34]  Lama ve profil demirlerden çeşitli demir işleri yapılması ve yerine konulması</t>
        </is>
      </c>
      <c r="C34" s="20" t="inlineStr">
        <is>
          <t>kg</t>
        </is>
      </c>
      <c r="D34" s="23" t="n"/>
      <c r="E34" s="23" t="n"/>
      <c r="F34" s="23" t="n"/>
      <c r="G34" s="23" t="n"/>
      <c r="H34" s="23" t="n"/>
      <c r="I34" s="23" t="n"/>
      <c r="J34" s="23" t="n"/>
      <c r="K34" s="23" t="n"/>
    </row>
    <row r="35" ht="12" customHeight="1">
      <c r="A35" s="6" t="n"/>
      <c r="B35" s="24" t="inlineStr">
        <is>
          <t>Mahya kapama profili — blok başına, boy 79,80 m</t>
        </is>
      </c>
      <c r="C35" s="6" t="n"/>
      <c r="D35" s="29" t="n">
        <v>1</v>
      </c>
      <c r="E35" s="29" t="n">
        <v>1</v>
      </c>
      <c r="F35" s="30" t="n">
        <v>79.8</v>
      </c>
      <c r="G35" s="6" t="n"/>
      <c r="H35" s="37" t="inlineStr">
        <is>
          <t>50x5 lama</t>
        </is>
      </c>
      <c r="I35" s="34" t="n">
        <v>2.5</v>
      </c>
      <c r="J35" s="35">
        <f>D35*E35*F35*I35</f>
        <v/>
      </c>
      <c r="K35" s="6" t="n"/>
    </row>
    <row r="36" ht="20" customHeight="1">
      <c r="A36" s="6" t="n"/>
      <c r="B36" s="24" t="inlineStr">
        <is>
          <t>Saçak kapama profili — blok başına 2 kenar, 2 kenar; boy 79,80 m</t>
        </is>
      </c>
      <c r="C36" s="6" t="n"/>
      <c r="D36" s="29" t="n">
        <v>2</v>
      </c>
      <c r="E36" s="29" t="n">
        <v>1</v>
      </c>
      <c r="F36" s="30" t="n">
        <v>79.8</v>
      </c>
      <c r="G36" s="6" t="n"/>
      <c r="H36" s="37" t="inlineStr">
        <is>
          <t>50x5 lama</t>
        </is>
      </c>
      <c r="I36" s="34" t="n">
        <v>2.5</v>
      </c>
      <c r="J36" s="35">
        <f>D36*E36*F36*I36</f>
        <v/>
      </c>
      <c r="K36" s="6" t="n"/>
    </row>
    <row r="37" ht="20" customHeight="1">
      <c r="A37" s="6" t="n"/>
      <c r="B37" s="24" t="inlineStr">
        <is>
          <t>Alınlık eğim kapamaları — alınlık başına 2 eğim, 2 alınlık, 2 blok = 8; eğik boy 7,55 m</t>
        </is>
      </c>
      <c r="C37" s="6" t="n"/>
      <c r="D37" s="29" t="n">
        <v>4</v>
      </c>
      <c r="E37" s="29" t="n">
        <v>1</v>
      </c>
      <c r="F37" s="30" t="n">
        <v>7.55</v>
      </c>
      <c r="G37" s="6" t="n"/>
      <c r="H37" s="37" t="inlineStr">
        <is>
          <t>50x5 lama</t>
        </is>
      </c>
      <c r="I37" s="34" t="n">
        <v>2.5</v>
      </c>
      <c r="J37" s="35">
        <f>D37*E37*F37*I37</f>
        <v/>
      </c>
      <c r="K37" s="6" t="n"/>
    </row>
    <row r="38">
      <c r="A38" s="23" t="n"/>
      <c r="B38" s="26" t="inlineStr">
        <is>
          <t>KA/M34 GENEL TOPLAM</t>
        </is>
      </c>
      <c r="C38" s="27" t="inlineStr">
        <is>
          <t>kg</t>
        </is>
      </c>
      <c r="D38" s="23" t="n"/>
      <c r="E38" s="23" t="n"/>
      <c r="F38" s="23" t="n"/>
      <c r="G38" s="23" t="n"/>
      <c r="H38" s="23" t="n"/>
      <c r="I38" s="23" t="n"/>
      <c r="J38" s="23" t="n"/>
      <c r="K38" s="36">
        <f>SUM(J35:J37)</f>
        <v/>
      </c>
    </row>
    <row r="40" ht="20" customHeight="1">
      <c r="A40" s="19" t="inlineStr">
        <is>
          <t>Yapı/Bina Adı: KÜMES B BLOK</t>
        </is>
      </c>
    </row>
    <row r="41" ht="28" customHeight="1">
      <c r="A41" s="7" t="inlineStr">
        <is>
          <t>Poz No</t>
        </is>
      </c>
      <c r="B41" s="7" t="inlineStr">
        <is>
          <t>Tanımı</t>
        </is>
      </c>
      <c r="C41" s="7" t="inlineStr">
        <is>
          <t>Birim</t>
        </is>
      </c>
      <c r="D41" s="7" t="inlineStr">
        <is>
          <t>Benzer</t>
        </is>
      </c>
      <c r="E41" s="7" t="inlineStr">
        <is>
          <t>Adet</t>
        </is>
      </c>
      <c r="F41" s="7" t="inlineStr">
        <is>
          <t>Boy (m)</t>
        </is>
      </c>
      <c r="G41" s="7" t="inlineStr">
        <is>
          <t>En (m)</t>
        </is>
      </c>
      <c r="H41" s="7" t="inlineStr">
        <is>
          <t>Demir çapı veya profil tipi</t>
        </is>
      </c>
      <c r="I41" s="7" t="inlineStr">
        <is>
          <t>Birim Ağırlık</t>
        </is>
      </c>
      <c r="J41" s="7" t="inlineStr">
        <is>
          <t>Toplam Ağırlık</t>
        </is>
      </c>
      <c r="K41" s="7" t="inlineStr">
        <is>
          <t>Genel Toplam</t>
        </is>
      </c>
    </row>
    <row r="42" ht="22" customHeight="1">
      <c r="A42" s="21" t="inlineStr">
        <is>
          <t>15.160.1003</t>
        </is>
      </c>
      <c r="B42" s="8" t="inlineStr">
        <is>
          <t>[M22]  Ø 8 - Ø 12 mm nervürlü beton çelik çubuğu, çubukların kesilmesi, bükülmesi ve yerine konulması</t>
        </is>
      </c>
      <c r="C42" s="20" t="inlineStr">
        <is>
          <t>ton</t>
        </is>
      </c>
      <c r="D42" s="23" t="n"/>
      <c r="E42" s="23" t="n"/>
      <c r="F42" s="23" t="n"/>
      <c r="G42" s="23" t="n"/>
      <c r="H42" s="23" t="n"/>
      <c r="I42" s="23" t="n"/>
      <c r="J42" s="23" t="n"/>
      <c r="K42" s="23" t="n"/>
    </row>
    <row r="43" ht="30" customHeight="1">
      <c r="A43" s="6" t="n"/>
      <c r="B43" s="32" t="inlineStr">
        <is>
          <t>Şerit temel etriyesi T1…T21 (50/60), ø8/20 — aks başına 13,55/0,20 = 68 adet, 21 aks; etriye açılım boyu 2x(0,44+0,54)+0,20 kanca = 2,16 m (blok başına)</t>
        </is>
      </c>
      <c r="C43" s="6" t="n"/>
      <c r="D43" s="29" t="n">
        <v>1</v>
      </c>
      <c r="E43" s="29" t="n">
        <v>1428</v>
      </c>
      <c r="F43" s="30" t="n">
        <v>2.16</v>
      </c>
      <c r="G43" s="6" t="n"/>
      <c r="H43" s="33" t="inlineStr">
        <is>
          <t>ø8 nervürlü</t>
        </is>
      </c>
      <c r="I43" s="34" t="n">
        <v>0.000395</v>
      </c>
      <c r="J43" s="35">
        <f>D43*E43*F43*I43</f>
        <v/>
      </c>
      <c r="K43" s="6" t="n"/>
    </row>
    <row r="44" ht="20" customHeight="1">
      <c r="A44" s="6" t="n"/>
      <c r="B44" s="32" t="inlineStr">
        <is>
          <t>Şerit temel gövde ve montaj donatısı ø12 — aks başına 4 adet, 21 aks, aks boyu 13,55 m (blok başına)</t>
        </is>
      </c>
      <c r="C44" s="6" t="n"/>
      <c r="D44" s="29" t="n">
        <v>1</v>
      </c>
      <c r="E44" s="29" t="n">
        <v>84</v>
      </c>
      <c r="F44" s="30" t="n">
        <v>13.55</v>
      </c>
      <c r="G44" s="6" t="n"/>
      <c r="H44" s="33" t="inlineStr">
        <is>
          <t>ø12 nervürlü</t>
        </is>
      </c>
      <c r="I44" s="34" t="n">
        <v>0.000888</v>
      </c>
      <c r="J44" s="35">
        <f>D44*E44*F44*I44</f>
        <v/>
      </c>
      <c r="K44" s="6" t="n"/>
    </row>
    <row r="45" ht="30" customHeight="1">
      <c r="A45" s="6" t="n"/>
      <c r="B45" s="32" t="inlineStr">
        <is>
          <t>Bağ kirişi etriyesi BK (30/30), ø8/20 — hat başına 78.55/0,20 = 393 adet, 4 hat; etriye açılım boyu 2x(0,24+0,24)+0,20 kanca = 1,16 m (blok başına)</t>
        </is>
      </c>
      <c r="C45" s="6" t="n"/>
      <c r="D45" s="29" t="n">
        <v>1</v>
      </c>
      <c r="E45" s="29" t="n">
        <v>1572</v>
      </c>
      <c r="F45" s="30" t="n">
        <v>1.16</v>
      </c>
      <c r="G45" s="6" t="n"/>
      <c r="H45" s="33" t="inlineStr">
        <is>
          <t>ø8 nervürlü</t>
        </is>
      </c>
      <c r="I45" s="34" t="n">
        <v>0.000395</v>
      </c>
      <c r="J45" s="35">
        <f>D45*E45*F45*I45</f>
        <v/>
      </c>
      <c r="K45" s="6" t="n"/>
    </row>
    <row r="46" ht="20" customHeight="1">
      <c r="A46" s="6" t="n"/>
      <c r="B46" s="32" t="inlineStr">
        <is>
          <t>Kolon ankraj ve guse donatısı ø12 — 21 aks x 4 kolon = 84 adet, boy 2,50 m (blok başına)</t>
        </is>
      </c>
      <c r="C46" s="6" t="n"/>
      <c r="D46" s="29" t="n">
        <v>1</v>
      </c>
      <c r="E46" s="29" t="n">
        <v>84</v>
      </c>
      <c r="F46" s="30" t="n">
        <v>2.5</v>
      </c>
      <c r="G46" s="6" t="n"/>
      <c r="H46" s="33" t="inlineStr">
        <is>
          <t>ø12 nervürlü</t>
        </is>
      </c>
      <c r="I46" s="34" t="n">
        <v>0.000888</v>
      </c>
      <c r="J46" s="35">
        <f>D46*E46*F46*I46</f>
        <v/>
      </c>
      <c r="K46" s="6" t="n"/>
    </row>
    <row r="47" ht="30" customHeight="1">
      <c r="A47" s="6" t="n"/>
      <c r="B47" s="32" t="inlineStr">
        <is>
          <t>Montaj donatısı, çiroz, pilye ve bindirme payı — betonarme proje METRAJ tablosundaki blok başına 4.159,89 kg toplamını tamamlayan fark</t>
        </is>
      </c>
      <c r="C47" s="6" t="n"/>
      <c r="D47" s="29" t="n">
        <v>1</v>
      </c>
      <c r="E47" s="29" t="n">
        <v>1</v>
      </c>
      <c r="F47" s="6" t="n"/>
      <c r="G47" s="6" t="n"/>
      <c r="H47" s="33" t="inlineStr">
        <is>
          <t>ø8-12 nervürlü</t>
        </is>
      </c>
      <c r="I47" s="34" t="n">
        <v>1.0240284</v>
      </c>
      <c r="J47" s="35">
        <f>D47*E47*I47</f>
        <v/>
      </c>
      <c r="K47" s="6" t="n"/>
    </row>
    <row r="48">
      <c r="A48" s="23" t="n"/>
      <c r="B48" s="26" t="inlineStr">
        <is>
          <t>KB/M22 GENEL TOPLAM</t>
        </is>
      </c>
      <c r="C48" s="27" t="inlineStr">
        <is>
          <t>ton</t>
        </is>
      </c>
      <c r="D48" s="23" t="n"/>
      <c r="E48" s="23" t="n"/>
      <c r="F48" s="23" t="n"/>
      <c r="G48" s="23" t="n"/>
      <c r="H48" s="23" t="n"/>
      <c r="I48" s="23" t="n"/>
      <c r="J48" s="23" t="n"/>
      <c r="K48" s="36">
        <f>SUM(J43:J47)</f>
        <v/>
      </c>
    </row>
    <row r="49" ht="22" customHeight="1">
      <c r="A49" s="21" t="inlineStr">
        <is>
          <t>15.160.1004</t>
        </is>
      </c>
      <c r="B49" s="8" t="inlineStr">
        <is>
          <t>[M23]  Ø 14 - Ø 28 mm nervürlü beton çelik çubuğu, çubukların kesilmesi, bükülmesi ve yerine konulması</t>
        </is>
      </c>
      <c r="C49" s="20" t="inlineStr">
        <is>
          <t>ton</t>
        </is>
      </c>
      <c r="D49" s="23" t="n"/>
      <c r="E49" s="23" t="n"/>
      <c r="F49" s="23" t="n"/>
      <c r="G49" s="23" t="n"/>
      <c r="H49" s="23" t="n"/>
      <c r="I49" s="23" t="n"/>
      <c r="J49" s="23" t="n"/>
      <c r="K49" s="23" t="n"/>
    </row>
    <row r="50" ht="30" customHeight="1">
      <c r="A50" s="6" t="n"/>
      <c r="B50" s="32" t="inlineStr">
        <is>
          <t>Şerit temel boyuna donatısı ø16 — aks başına 6 alt + 4 üst = 10 adet, 21 aks, aks boyu 13,55 m (blok başına)</t>
        </is>
      </c>
      <c r="C50" s="6" t="n"/>
      <c r="D50" s="29" t="n">
        <v>1</v>
      </c>
      <c r="E50" s="29" t="n">
        <v>210</v>
      </c>
      <c r="F50" s="30" t="n">
        <v>13.55</v>
      </c>
      <c r="G50" s="6" t="n"/>
      <c r="H50" s="33" t="inlineStr">
        <is>
          <t>ø16 nervürlü</t>
        </is>
      </c>
      <c r="I50" s="34" t="n">
        <v>0.00158</v>
      </c>
      <c r="J50" s="35">
        <f>D50*E50*F50*I50</f>
        <v/>
      </c>
      <c r="K50" s="6" t="n"/>
    </row>
    <row r="51" ht="20" customHeight="1">
      <c r="A51" s="6" t="n"/>
      <c r="B51" s="32" t="inlineStr">
        <is>
          <t>Bağ kirişi boyuna donatısı ø14 — hat başına 3 alt + 3 üst = 6 adet, 4 hat, hat boyu 78.55 m (blok başına)</t>
        </is>
      </c>
      <c r="C51" s="6" t="n"/>
      <c r="D51" s="29" t="n">
        <v>1</v>
      </c>
      <c r="E51" s="29" t="n">
        <v>24</v>
      </c>
      <c r="F51" s="30" t="n">
        <v>78.55</v>
      </c>
      <c r="G51" s="6" t="n"/>
      <c r="H51" s="33" t="inlineStr">
        <is>
          <t>ø14 nervürlü</t>
        </is>
      </c>
      <c r="I51" s="34" t="n">
        <v>0.00121</v>
      </c>
      <c r="J51" s="35">
        <f>D51*E51*F51*I51</f>
        <v/>
      </c>
      <c r="K51" s="6" t="n"/>
    </row>
    <row r="52" ht="30" customHeight="1">
      <c r="A52" s="6" t="n"/>
      <c r="B52" s="32" t="inlineStr">
        <is>
          <t>Bindirme, filiz ve gönye payı — betonarme proje METRAJ tablosundaki blok başına 7.287,50 kg toplamını tamamlayan fark</t>
        </is>
      </c>
      <c r="C52" s="6" t="n"/>
      <c r="D52" s="29" t="n">
        <v>1</v>
      </c>
      <c r="E52" s="29" t="n">
        <v>1</v>
      </c>
      <c r="F52" s="6" t="n"/>
      <c r="G52" s="6" t="n"/>
      <c r="H52" s="33" t="inlineStr">
        <is>
          <t>ø14-28 nervürlü</t>
        </is>
      </c>
      <c r="I52" s="34" t="n">
        <v>0.510518</v>
      </c>
      <c r="J52" s="35">
        <f>D52*E52*I52</f>
        <v/>
      </c>
      <c r="K52" s="6" t="n"/>
    </row>
    <row r="53">
      <c r="A53" s="23" t="n"/>
      <c r="B53" s="26" t="inlineStr">
        <is>
          <t>KB/M23 GENEL TOPLAM</t>
        </is>
      </c>
      <c r="C53" s="27" t="inlineStr">
        <is>
          <t>ton</t>
        </is>
      </c>
      <c r="D53" s="23" t="n"/>
      <c r="E53" s="23" t="n"/>
      <c r="F53" s="23" t="n"/>
      <c r="G53" s="23" t="n"/>
      <c r="H53" s="23" t="n"/>
      <c r="I53" s="23" t="n"/>
      <c r="J53" s="23" t="n"/>
      <c r="K53" s="36">
        <f>SUM(J50:J52)</f>
        <v/>
      </c>
    </row>
    <row r="54" ht="15" customHeight="1">
      <c r="A54" s="21" t="inlineStr">
        <is>
          <t>15.160.1002</t>
        </is>
      </c>
      <c r="B54" s="8" t="inlineStr">
        <is>
          <t>[M27]  Nervürlü çelik hasırın yerine konulması</t>
        </is>
      </c>
      <c r="C54" s="20" t="inlineStr">
        <is>
          <t>ton</t>
        </is>
      </c>
      <c r="D54" s="23" t="n"/>
      <c r="E54" s="23" t="n"/>
      <c r="F54" s="23" t="n"/>
      <c r="G54" s="23" t="n"/>
      <c r="H54" s="23" t="n"/>
      <c r="I54" s="23" t="n"/>
      <c r="J54" s="23" t="n"/>
      <c r="K54" s="23" t="n"/>
    </row>
    <row r="55" ht="30" customHeight="1">
      <c r="A55" s="6" t="n"/>
      <c r="B55" s="24" t="inlineStr">
        <is>
          <t>Kümes zemin döşemesi 78.00 x 13,90 (servis bölümü hariç); Q188 hasır = 3,05 kg/m², %10 bindirme payı ile 3,355 kg/m² (blok başına)</t>
        </is>
      </c>
      <c r="C55" s="6" t="n"/>
      <c r="D55" s="29" t="n">
        <v>1</v>
      </c>
      <c r="E55" s="29" t="n">
        <v>1</v>
      </c>
      <c r="F55" s="30" t="n">
        <v>78</v>
      </c>
      <c r="G55" s="30" t="n">
        <v>13.9</v>
      </c>
      <c r="H55" s="37" t="inlineStr">
        <is>
          <t>Q188 çelik hasır</t>
        </is>
      </c>
      <c r="I55" s="34" t="n">
        <v>0.003355</v>
      </c>
      <c r="J55" s="35">
        <f>D55*E55*F55*G55*I55</f>
        <v/>
      </c>
      <c r="K55" s="6" t="n"/>
    </row>
    <row r="56">
      <c r="A56" s="23" t="n"/>
      <c r="B56" s="26" t="inlineStr">
        <is>
          <t>KB/M27 GENEL TOPLAM</t>
        </is>
      </c>
      <c r="C56" s="27" t="inlineStr">
        <is>
          <t>ton</t>
        </is>
      </c>
      <c r="D56" s="23" t="n"/>
      <c r="E56" s="23" t="n"/>
      <c r="F56" s="23" t="n"/>
      <c r="G56" s="23" t="n"/>
      <c r="H56" s="23" t="n"/>
      <c r="I56" s="23" t="n"/>
      <c r="J56" s="23" t="n"/>
      <c r="K56" s="36">
        <f>SUM(J55:J55)</f>
        <v/>
      </c>
    </row>
    <row r="57" ht="22" customHeight="1">
      <c r="A57" s="21" t="inlineStr">
        <is>
          <t>15.165.1003</t>
        </is>
      </c>
      <c r="B57" s="8" t="inlineStr">
        <is>
          <t>[M31]  Her çeşit profil, çelik çubuk ve saclarla karkas (çerçeve) inşaat yapılması, yerine tespiti</t>
        </is>
      </c>
      <c r="C57" s="20" t="inlineStr">
        <is>
          <t>ton</t>
        </is>
      </c>
      <c r="D57" s="23" t="n"/>
      <c r="E57" s="23" t="n"/>
      <c r="F57" s="23" t="n"/>
      <c r="G57" s="23" t="n"/>
      <c r="H57" s="23" t="n"/>
      <c r="I57" s="23" t="n"/>
      <c r="J57" s="23" t="n"/>
      <c r="K57" s="23" t="n"/>
    </row>
    <row r="58" ht="20" customHeight="1">
      <c r="A58" s="6" t="n"/>
      <c r="B58" s="24" t="inlineStr">
        <is>
          <t>KLN dış kolonlar — 21 çerçeve x 2 adet, boy 2,84 m (kolon üstü kotu +2,84)</t>
        </is>
      </c>
      <c r="C58" s="6" t="n"/>
      <c r="D58" s="29" t="n">
        <v>21</v>
      </c>
      <c r="E58" s="29" t="n">
        <v>2</v>
      </c>
      <c r="F58" s="30" t="n">
        <v>2.84</v>
      </c>
      <c r="G58" s="6" t="n"/>
      <c r="H58" s="37" t="inlineStr">
        <is>
          <t>SHS 150x150x6</t>
        </is>
      </c>
      <c r="I58" s="34" t="n">
        <v>0.02689</v>
      </c>
      <c r="J58" s="35">
        <f>D58*E58*F58*I58</f>
        <v/>
      </c>
      <c r="K58" s="6" t="n"/>
    </row>
    <row r="59" ht="20" customHeight="1">
      <c r="A59" s="6" t="n"/>
      <c r="B59" s="24" t="inlineStr">
        <is>
          <t>KLN iç kolonlar — 21 çerçeve x 2 adet, ortalama boy 3,68 m (eğik kiriş altında)</t>
        </is>
      </c>
      <c r="C59" s="6" t="n"/>
      <c r="D59" s="29" t="n">
        <v>21</v>
      </c>
      <c r="E59" s="29" t="n">
        <v>2</v>
      </c>
      <c r="F59" s="30" t="n">
        <v>3.6755</v>
      </c>
      <c r="G59" s="6" t="n"/>
      <c r="H59" s="37" t="inlineStr">
        <is>
          <t>SHS 150x150x6</t>
        </is>
      </c>
      <c r="I59" s="34" t="n">
        <v>0.02689</v>
      </c>
      <c r="J59" s="35">
        <f>D59*E59*F59*I59</f>
        <v/>
      </c>
      <c r="K59" s="6" t="n"/>
    </row>
    <row r="60" ht="20" customHeight="1">
      <c r="A60" s="6" t="n"/>
      <c r="B60" s="24" t="inlineStr">
        <is>
          <t>AKR ana kirişler — 21 çerçeve x 2 adet, eğik boy 6,94 m (yarım açıklık 6,775 / kot farkı 1,50)</t>
        </is>
      </c>
      <c r="C60" s="6" t="n"/>
      <c r="D60" s="29" t="n">
        <v>21</v>
      </c>
      <c r="E60" s="29" t="n">
        <v>2</v>
      </c>
      <c r="F60" s="30" t="n">
        <v>6.939</v>
      </c>
      <c r="G60" s="6" t="n"/>
      <c r="H60" s="37" t="inlineStr">
        <is>
          <t>SHS 150x150x6</t>
        </is>
      </c>
      <c r="I60" s="34" t="n">
        <v>0.02689</v>
      </c>
      <c r="J60" s="35">
        <f>D60*E60*F60*I60</f>
        <v/>
      </c>
      <c r="K60" s="6" t="n"/>
    </row>
    <row r="61" ht="20" customHeight="1">
      <c r="A61" s="6" t="n"/>
      <c r="B61" s="24" t="inlineStr">
        <is>
          <t>SKR boyuna kirişler — 2 saçak + 1 mahya hattı, boy 79,00 m</t>
        </is>
      </c>
      <c r="C61" s="6" t="n"/>
      <c r="D61" s="29" t="n">
        <v>3</v>
      </c>
      <c r="E61" s="29" t="n">
        <v>1</v>
      </c>
      <c r="F61" s="30" t="n">
        <v>79</v>
      </c>
      <c r="G61" s="6" t="n"/>
      <c r="H61" s="37" t="inlineStr">
        <is>
          <t>SHS 150x150x6</t>
        </is>
      </c>
      <c r="I61" s="34" t="n">
        <v>0.02689</v>
      </c>
      <c r="J61" s="35">
        <f>D61*E61*F61*I61</f>
        <v/>
      </c>
      <c r="K61" s="6" t="n"/>
    </row>
    <row r="62" ht="20" customHeight="1">
      <c r="A62" s="6" t="n"/>
      <c r="B62" s="24" t="inlineStr">
        <is>
          <t>CAS çatı aşıkları — kesitte sayılan 16 hat, boy 79,80 m (saçak payı dâhil)</t>
        </is>
      </c>
      <c r="C62" s="6" t="n"/>
      <c r="D62" s="29" t="n">
        <v>16</v>
      </c>
      <c r="E62" s="29" t="n">
        <v>1</v>
      </c>
      <c r="F62" s="30" t="n">
        <v>79.8</v>
      </c>
      <c r="G62" s="6" t="n"/>
      <c r="H62" s="37" t="inlineStr">
        <is>
          <t>RHS 100x50x3</t>
        </is>
      </c>
      <c r="I62" s="34" t="n">
        <v>0.00672</v>
      </c>
      <c r="J62" s="35">
        <f>D62*E62*F62*I62</f>
        <v/>
      </c>
      <c r="K62" s="6" t="n"/>
    </row>
    <row r="63" ht="20" customHeight="1">
      <c r="A63" s="6" t="n"/>
      <c r="B63" s="24" t="inlineStr">
        <is>
          <t>YAS uzun cephe kuşakları — 4 seviye x 2 cephe, boy 79,00 m</t>
        </is>
      </c>
      <c r="C63" s="6" t="n"/>
      <c r="D63" s="29" t="n">
        <v>8</v>
      </c>
      <c r="E63" s="29" t="n">
        <v>1</v>
      </c>
      <c r="F63" s="30" t="n">
        <v>79</v>
      </c>
      <c r="G63" s="6" t="n"/>
      <c r="H63" s="37" t="inlineStr">
        <is>
          <t>RHS 100x50x3</t>
        </is>
      </c>
      <c r="I63" s="34" t="n">
        <v>0.00672</v>
      </c>
      <c r="J63" s="35">
        <f>D63*E63*F63*I63</f>
        <v/>
      </c>
      <c r="K63" s="6" t="n"/>
    </row>
    <row r="64" ht="20" customHeight="1">
      <c r="A64" s="6" t="n"/>
      <c r="B64" s="24" t="inlineStr">
        <is>
          <t>YAS alınlık kuşakları — 4 seviye x 2 alınlık, boy 13,55 m</t>
        </is>
      </c>
      <c r="C64" s="6" t="n"/>
      <c r="D64" s="29" t="n">
        <v>8</v>
      </c>
      <c r="E64" s="29" t="n">
        <v>1</v>
      </c>
      <c r="F64" s="30" t="n">
        <v>13.55</v>
      </c>
      <c r="G64" s="6" t="n"/>
      <c r="H64" s="37" t="inlineStr">
        <is>
          <t>RHS 100x50x3</t>
        </is>
      </c>
      <c r="I64" s="34" t="n">
        <v>0.00672</v>
      </c>
      <c r="J64" s="35">
        <f>D64*E64*F64*I64</f>
        <v/>
      </c>
      <c r="K64" s="6" t="n"/>
    </row>
    <row r="65" ht="20" customHeight="1">
      <c r="A65" s="6" t="n"/>
      <c r="B65" s="24" t="inlineStr">
        <is>
          <t>KS iç kuşaklar — 21 çerçeve x 2 adet, orta açıklık 6,00 m</t>
        </is>
      </c>
      <c r="C65" s="6" t="n"/>
      <c r="D65" s="29" t="n">
        <v>21</v>
      </c>
      <c r="E65" s="29" t="n">
        <v>2</v>
      </c>
      <c r="F65" s="30" t="n">
        <v>6</v>
      </c>
      <c r="G65" s="6" t="n"/>
      <c r="H65" s="37" t="inlineStr">
        <is>
          <t>RHS 100x50x3</t>
        </is>
      </c>
      <c r="I65" s="34" t="n">
        <v>0.00672</v>
      </c>
      <c r="J65" s="35">
        <f>D65*E65*F65*I65</f>
        <v/>
      </c>
      <c r="K65" s="6" t="n"/>
    </row>
    <row r="66" ht="20" customHeight="1">
      <c r="A66" s="6" t="n"/>
      <c r="B66" s="24" t="inlineStr">
        <is>
          <t>CCPR ve YCPR çatı ve cephe çaprazları — toplam 270,00 m</t>
        </is>
      </c>
      <c r="C66" s="6" t="n"/>
      <c r="D66" s="29" t="n">
        <v>1</v>
      </c>
      <c r="E66" s="29" t="n">
        <v>1</v>
      </c>
      <c r="F66" s="30" t="n">
        <v>270</v>
      </c>
      <c r="G66" s="6" t="n"/>
      <c r="H66" s="37" t="inlineStr">
        <is>
          <t>SHS 100x100x4</t>
        </is>
      </c>
      <c r="I66" s="34" t="n">
        <v>0.01195</v>
      </c>
      <c r="J66" s="35">
        <f>D66*E66*F66*I66</f>
        <v/>
      </c>
      <c r="K66" s="6" t="n"/>
    </row>
    <row r="67" ht="20" customHeight="1">
      <c r="A67" s="6" t="n"/>
      <c r="B67" s="32" t="inlineStr">
        <is>
          <t>Gusse, alın levhası, taban plakası ve bulonlar — profil ağırlığının %10'u</t>
        </is>
      </c>
      <c r="C67" s="6" t="n"/>
      <c r="D67" s="29" t="n">
        <v>1</v>
      </c>
      <c r="E67" s="29" t="n">
        <v>1</v>
      </c>
      <c r="F67" s="6" t="n"/>
      <c r="G67" s="6" t="n"/>
      <c r="H67" s="33" t="inlineStr">
        <is>
          <t>Levha ve bulon</t>
        </is>
      </c>
      <c r="I67" s="34" t="n">
        <v>4.00439689</v>
      </c>
      <c r="J67" s="35">
        <f>D67*E67*I67</f>
        <v/>
      </c>
      <c r="K67" s="6" t="n"/>
    </row>
    <row r="68">
      <c r="A68" s="23" t="n"/>
      <c r="B68" s="26" t="inlineStr">
        <is>
          <t>KB/M31 GENEL TOPLAM</t>
        </is>
      </c>
      <c r="C68" s="27" t="inlineStr">
        <is>
          <t>ton</t>
        </is>
      </c>
      <c r="D68" s="23" t="n"/>
      <c r="E68" s="23" t="n"/>
      <c r="F68" s="23" t="n"/>
      <c r="G68" s="23" t="n"/>
      <c r="H68" s="23" t="n"/>
      <c r="I68" s="23" t="n"/>
      <c r="J68" s="23" t="n"/>
      <c r="K68" s="36">
        <f>SUM(J58:J67)</f>
        <v/>
      </c>
    </row>
    <row r="69" ht="22" customHeight="1">
      <c r="A69" s="21" t="inlineStr">
        <is>
          <t>15.550.1202</t>
        </is>
      </c>
      <c r="B69" s="8" t="inlineStr">
        <is>
          <t>[M34]  Lama ve profil demirlerden çeşitli demir işleri yapılması ve yerine konulması</t>
        </is>
      </c>
      <c r="C69" s="20" t="inlineStr">
        <is>
          <t>kg</t>
        </is>
      </c>
      <c r="D69" s="23" t="n"/>
      <c r="E69" s="23" t="n"/>
      <c r="F69" s="23" t="n"/>
      <c r="G69" s="23" t="n"/>
      <c r="H69" s="23" t="n"/>
      <c r="I69" s="23" t="n"/>
      <c r="J69" s="23" t="n"/>
      <c r="K69" s="23" t="n"/>
    </row>
    <row r="70" ht="12" customHeight="1">
      <c r="A70" s="6" t="n"/>
      <c r="B70" s="24" t="inlineStr">
        <is>
          <t>Mahya kapama profili — blok başına, boy 79,80 m</t>
        </is>
      </c>
      <c r="C70" s="6" t="n"/>
      <c r="D70" s="29" t="n">
        <v>1</v>
      </c>
      <c r="E70" s="29" t="n">
        <v>1</v>
      </c>
      <c r="F70" s="30" t="n">
        <v>79.8</v>
      </c>
      <c r="G70" s="6" t="n"/>
      <c r="H70" s="37" t="inlineStr">
        <is>
          <t>50x5 lama</t>
        </is>
      </c>
      <c r="I70" s="34" t="n">
        <v>2.5</v>
      </c>
      <c r="J70" s="35">
        <f>D70*E70*F70*I70</f>
        <v/>
      </c>
      <c r="K70" s="6" t="n"/>
    </row>
    <row r="71" ht="20" customHeight="1">
      <c r="A71" s="6" t="n"/>
      <c r="B71" s="24" t="inlineStr">
        <is>
          <t>Saçak kapama profili — blok başına 2 kenar, 2 kenar; boy 79,80 m</t>
        </is>
      </c>
      <c r="C71" s="6" t="n"/>
      <c r="D71" s="29" t="n">
        <v>2</v>
      </c>
      <c r="E71" s="29" t="n">
        <v>1</v>
      </c>
      <c r="F71" s="30" t="n">
        <v>79.8</v>
      </c>
      <c r="G71" s="6" t="n"/>
      <c r="H71" s="37" t="inlineStr">
        <is>
          <t>50x5 lama</t>
        </is>
      </c>
      <c r="I71" s="34" t="n">
        <v>2.5</v>
      </c>
      <c r="J71" s="35">
        <f>D71*E71*F71*I71</f>
        <v/>
      </c>
      <c r="K71" s="6" t="n"/>
    </row>
    <row r="72" ht="20" customHeight="1">
      <c r="A72" s="6" t="n"/>
      <c r="B72" s="24" t="inlineStr">
        <is>
          <t>Alınlık eğim kapamaları — alınlık başına 2 eğim, 2 alınlık, 2 blok = 8; eğik boy 7,55 m</t>
        </is>
      </c>
      <c r="C72" s="6" t="n"/>
      <c r="D72" s="29" t="n">
        <v>4</v>
      </c>
      <c r="E72" s="29" t="n">
        <v>1</v>
      </c>
      <c r="F72" s="30" t="n">
        <v>7.55</v>
      </c>
      <c r="G72" s="6" t="n"/>
      <c r="H72" s="37" t="inlineStr">
        <is>
          <t>50x5 lama</t>
        </is>
      </c>
      <c r="I72" s="34" t="n">
        <v>2.5</v>
      </c>
      <c r="J72" s="35">
        <f>D72*E72*F72*I72</f>
        <v/>
      </c>
      <c r="K72" s="6" t="n"/>
    </row>
    <row r="73">
      <c r="A73" s="23" t="n"/>
      <c r="B73" s="26" t="inlineStr">
        <is>
          <t>KB/M34 GENEL TOPLAM</t>
        </is>
      </c>
      <c r="C73" s="27" t="inlineStr">
        <is>
          <t>kg</t>
        </is>
      </c>
      <c r="D73" s="23" t="n"/>
      <c r="E73" s="23" t="n"/>
      <c r="F73" s="23" t="n"/>
      <c r="G73" s="23" t="n"/>
      <c r="H73" s="23" t="n"/>
      <c r="I73" s="23" t="n"/>
      <c r="J73" s="23" t="n"/>
      <c r="K73" s="36">
        <f>SUM(J70:J72)</f>
        <v/>
      </c>
    </row>
    <row r="75" ht="20" customHeight="1">
      <c r="A75" s="19" t="inlineStr">
        <is>
          <t>Yapı/Bina Adı: GÜBRE ÇUKURU</t>
        </is>
      </c>
    </row>
    <row r="76" ht="28" customHeight="1">
      <c r="A76" s="7" t="inlineStr">
        <is>
          <t>Poz No</t>
        </is>
      </c>
      <c r="B76" s="7" t="inlineStr">
        <is>
          <t>Tanımı</t>
        </is>
      </c>
      <c r="C76" s="7" t="inlineStr">
        <is>
          <t>Birim</t>
        </is>
      </c>
      <c r="D76" s="7" t="inlineStr">
        <is>
          <t>Benzer</t>
        </is>
      </c>
      <c r="E76" s="7" t="inlineStr">
        <is>
          <t>Adet</t>
        </is>
      </c>
      <c r="F76" s="7" t="inlineStr">
        <is>
          <t>Boy (m)</t>
        </is>
      </c>
      <c r="G76" s="7" t="inlineStr">
        <is>
          <t>En (m)</t>
        </is>
      </c>
      <c r="H76" s="7" t="inlineStr">
        <is>
          <t>Demir çapı veya profil tipi</t>
        </is>
      </c>
      <c r="I76" s="7" t="inlineStr">
        <is>
          <t>Birim Ağırlık</t>
        </is>
      </c>
      <c r="J76" s="7" t="inlineStr">
        <is>
          <t>Toplam Ağırlık</t>
        </is>
      </c>
      <c r="K76" s="7" t="inlineStr">
        <is>
          <t>Genel Toplam</t>
        </is>
      </c>
    </row>
    <row r="77" ht="22" customHeight="1">
      <c r="A77" s="21" t="inlineStr">
        <is>
          <t>15.160.1003</t>
        </is>
      </c>
      <c r="B77" s="8" t="inlineStr">
        <is>
          <t>[M24]  Ø 8 - Ø 12 mm nervürlü beton çelik çubuğu, çubukların kesilmesi, bükülmesi ve yerine konulması</t>
        </is>
      </c>
      <c r="C77" s="20" t="inlineStr">
        <is>
          <t>ton</t>
        </is>
      </c>
      <c r="D77" s="23" t="n"/>
      <c r="E77" s="23" t="n"/>
      <c r="F77" s="23" t="n"/>
      <c r="G77" s="23" t="n"/>
      <c r="H77" s="23" t="n"/>
      <c r="I77" s="23" t="n"/>
      <c r="J77" s="23" t="n"/>
      <c r="K77" s="23" t="n"/>
    </row>
    <row r="78" ht="20" customHeight="1">
      <c r="A78" s="6" t="n"/>
      <c r="B78" s="24" t="inlineStr">
        <is>
          <t>Radye temel 11.50 x 10.00 x 0,40 m; birim donatı oranı 110 kg/m³</t>
        </is>
      </c>
      <c r="C78" s="6" t="n"/>
      <c r="D78" s="29" t="n">
        <v>1</v>
      </c>
      <c r="E78" s="29" t="n">
        <v>1</v>
      </c>
      <c r="F78" s="30" t="n">
        <v>115</v>
      </c>
      <c r="G78" s="30" t="n">
        <v>0.4</v>
      </c>
      <c r="H78" s="37" t="inlineStr">
        <is>
          <t>ø8-12 nervürlü</t>
        </is>
      </c>
      <c r="I78" s="34" t="n">
        <v>0.11</v>
      </c>
      <c r="J78" s="35">
        <f>D78*E78*F78*G78*I78</f>
        <v/>
      </c>
      <c r="K78" s="6" t="n"/>
    </row>
    <row r="79" ht="20" customHeight="1">
      <c r="A79" s="6" t="n"/>
      <c r="B79" s="24" t="inlineStr">
        <is>
          <t>Üst döşeme donatısı — proje METRAJ tablosu 577,60 kg, alan oranı (1.000000) ile ölçeklenmiş</t>
        </is>
      </c>
      <c r="C79" s="6" t="n"/>
      <c r="D79" s="29" t="n">
        <v>1</v>
      </c>
      <c r="E79" s="29" t="n">
        <v>1</v>
      </c>
      <c r="F79" s="6" t="n"/>
      <c r="G79" s="6" t="n"/>
      <c r="H79" s="37" t="inlineStr">
        <is>
          <t>ø8-12 nervürlü</t>
        </is>
      </c>
      <c r="I79" s="34" t="n">
        <v>0.5776</v>
      </c>
      <c r="J79" s="35">
        <f>D79*E79*I79</f>
        <v/>
      </c>
      <c r="K79" s="6" t="n"/>
    </row>
    <row r="80" ht="20" customHeight="1">
      <c r="A80" s="6" t="n"/>
      <c r="B80" s="24" t="inlineStr">
        <is>
          <t>Perde ve kolon donatısı — proje METRAJ tablosu 1.961,69 kg, alan oranı ile ölçeklenmiş</t>
        </is>
      </c>
      <c r="C80" s="6" t="n"/>
      <c r="D80" s="29" t="n">
        <v>1</v>
      </c>
      <c r="E80" s="29" t="n">
        <v>1</v>
      </c>
      <c r="F80" s="6" t="n"/>
      <c r="G80" s="6" t="n"/>
      <c r="H80" s="37" t="inlineStr">
        <is>
          <t>ø8-12 nervürlü</t>
        </is>
      </c>
      <c r="I80" s="34" t="n">
        <v>1.96169</v>
      </c>
      <c r="J80" s="35">
        <f>D80*E80*I80</f>
        <v/>
      </c>
      <c r="K80" s="6" t="n"/>
    </row>
    <row r="81">
      <c r="A81" s="23" t="n"/>
      <c r="B81" s="26" t="inlineStr">
        <is>
          <t>GC/M24 GENEL TOPLAM</t>
        </is>
      </c>
      <c r="C81" s="27" t="inlineStr">
        <is>
          <t>ton</t>
        </is>
      </c>
      <c r="D81" s="23" t="n"/>
      <c r="E81" s="23" t="n"/>
      <c r="F81" s="23" t="n"/>
      <c r="G81" s="23" t="n"/>
      <c r="H81" s="23" t="n"/>
      <c r="I81" s="23" t="n"/>
      <c r="J81" s="23" t="n"/>
      <c r="K81" s="36">
        <f>SUM(J78:J80)</f>
        <v/>
      </c>
    </row>
    <row r="82" ht="22" customHeight="1">
      <c r="A82" s="21" t="inlineStr">
        <is>
          <t>15.160.1004</t>
        </is>
      </c>
      <c r="B82" s="8" t="inlineStr">
        <is>
          <t>[M25]  Ø 14 - Ø 28 mm nervürlü beton çelik çubuğu, çubukların kesilmesi, bükülmesi ve yerine konulması</t>
        </is>
      </c>
      <c r="C82" s="20" t="inlineStr">
        <is>
          <t>ton</t>
        </is>
      </c>
      <c r="D82" s="23" t="n"/>
      <c r="E82" s="23" t="n"/>
      <c r="F82" s="23" t="n"/>
      <c r="G82" s="23" t="n"/>
      <c r="H82" s="23" t="n"/>
      <c r="I82" s="23" t="n"/>
      <c r="J82" s="23" t="n"/>
      <c r="K82" s="23" t="n"/>
    </row>
    <row r="83" ht="20" customHeight="1">
      <c r="A83" s="6" t="n"/>
      <c r="B83" s="24" t="inlineStr">
        <is>
          <t>Gübre çukuru kalın donatı — proje METRAJ tablosu 564,10 kg, alan oranı (1.000000) ile ölçeklenmiş</t>
        </is>
      </c>
      <c r="C83" s="6" t="n"/>
      <c r="D83" s="29" t="n">
        <v>1</v>
      </c>
      <c r="E83" s="29" t="n">
        <v>1</v>
      </c>
      <c r="F83" s="6" t="n"/>
      <c r="G83" s="6" t="n"/>
      <c r="H83" s="37" t="inlineStr">
        <is>
          <t>ø14-28 nervürlü</t>
        </is>
      </c>
      <c r="I83" s="34" t="n">
        <v>0.5641</v>
      </c>
      <c r="J83" s="35">
        <f>D83*E83*I83</f>
        <v/>
      </c>
      <c r="K83" s="6" t="n"/>
    </row>
    <row r="84">
      <c r="A84" s="23" t="n"/>
      <c r="B84" s="26" t="inlineStr">
        <is>
          <t>GC/M25 GENEL TOPLAM</t>
        </is>
      </c>
      <c r="C84" s="27" t="inlineStr">
        <is>
          <t>ton</t>
        </is>
      </c>
      <c r="D84" s="23" t="n"/>
      <c r="E84" s="23" t="n"/>
      <c r="F84" s="23" t="n"/>
      <c r="G84" s="23" t="n"/>
      <c r="H84" s="23" t="n"/>
      <c r="I84" s="23" t="n"/>
      <c r="J84" s="23" t="n"/>
      <c r="K84" s="36">
        <f>SUM(J83:J83)</f>
        <v/>
      </c>
    </row>
    <row r="86" ht="20" customHeight="1">
      <c r="A86" s="19" t="inlineStr">
        <is>
          <t>Yapı/Bina Adı: ÖLÜ ATMA ÇUKURU</t>
        </is>
      </c>
    </row>
    <row r="87" ht="28" customHeight="1">
      <c r="A87" s="7" t="inlineStr">
        <is>
          <t>Poz No</t>
        </is>
      </c>
      <c r="B87" s="7" t="inlineStr">
        <is>
          <t>Tanımı</t>
        </is>
      </c>
      <c r="C87" s="7" t="inlineStr">
        <is>
          <t>Birim</t>
        </is>
      </c>
      <c r="D87" s="7" t="inlineStr">
        <is>
          <t>Benzer</t>
        </is>
      </c>
      <c r="E87" s="7" t="inlineStr">
        <is>
          <t>Adet</t>
        </is>
      </c>
      <c r="F87" s="7" t="inlineStr">
        <is>
          <t>Boy (m)</t>
        </is>
      </c>
      <c r="G87" s="7" t="inlineStr">
        <is>
          <t>En (m)</t>
        </is>
      </c>
      <c r="H87" s="7" t="inlineStr">
        <is>
          <t>Demir çapı veya profil tipi</t>
        </is>
      </c>
      <c r="I87" s="7" t="inlineStr">
        <is>
          <t>Birim Ağırlık</t>
        </is>
      </c>
      <c r="J87" s="7" t="inlineStr">
        <is>
          <t>Toplam Ağırlık</t>
        </is>
      </c>
      <c r="K87" s="7" t="inlineStr">
        <is>
          <t>Genel Toplam</t>
        </is>
      </c>
    </row>
    <row r="88" ht="22" customHeight="1">
      <c r="A88" s="21" t="inlineStr">
        <is>
          <t>15.160.1003</t>
        </is>
      </c>
      <c r="B88" s="8" t="inlineStr">
        <is>
          <t>[M26]  Ø 8 - Ø 12 mm nervürlü beton çelik çubuğu, çubukların kesilmesi, bükülmesi ve yerine konulması</t>
        </is>
      </c>
      <c r="C88" s="20" t="inlineStr">
        <is>
          <t>ton</t>
        </is>
      </c>
      <c r="D88" s="23" t="n"/>
      <c r="E88" s="23" t="n"/>
      <c r="F88" s="23" t="n"/>
      <c r="G88" s="23" t="n"/>
      <c r="H88" s="23" t="n"/>
      <c r="I88" s="23" t="n"/>
      <c r="J88" s="23" t="n"/>
      <c r="K88" s="23" t="n"/>
    </row>
    <row r="89" ht="20" customHeight="1">
      <c r="A89" s="6" t="n"/>
      <c r="B89" s="24" t="inlineStr">
        <is>
          <t>Radye ve üst döşeme — proje metrajı 335,40 + 46,70 = 382,10 kg</t>
        </is>
      </c>
      <c r="C89" s="6" t="n"/>
      <c r="D89" s="29" t="n">
        <v>1</v>
      </c>
      <c r="E89" s="29" t="n">
        <v>1</v>
      </c>
      <c r="F89" s="6" t="n"/>
      <c r="G89" s="6" t="n"/>
      <c r="H89" s="37" t="inlineStr">
        <is>
          <t>ø8-12 nervürlü</t>
        </is>
      </c>
      <c r="I89" s="34" t="n">
        <v>0.3821</v>
      </c>
      <c r="J89" s="35">
        <f>D89*E89*I89</f>
        <v/>
      </c>
      <c r="K89" s="6" t="n"/>
    </row>
    <row r="90" ht="12" customHeight="1">
      <c r="A90" s="6" t="n"/>
      <c r="B90" s="24" t="inlineStr">
        <is>
          <t>Perdeler 17,00 x 0,25 x 3,00 m³; 100 kg/m³</t>
        </is>
      </c>
      <c r="C90" s="6" t="n"/>
      <c r="D90" s="29" t="n">
        <v>1</v>
      </c>
      <c r="E90" s="29" t="n">
        <v>1</v>
      </c>
      <c r="F90" s="30" t="n">
        <v>4.25</v>
      </c>
      <c r="G90" s="30" t="n">
        <v>3</v>
      </c>
      <c r="H90" s="37" t="inlineStr">
        <is>
          <t>ø8-12 nervürlü</t>
        </is>
      </c>
      <c r="I90" s="34" t="n">
        <v>0.1</v>
      </c>
      <c r="J90" s="35">
        <f>D90*E90*F90*G90*I90</f>
        <v/>
      </c>
      <c r="K90" s="6" t="n"/>
    </row>
    <row r="91">
      <c r="A91" s="23" t="n"/>
      <c r="B91" s="26" t="inlineStr">
        <is>
          <t>OC/M26 GENEL TOPLAM</t>
        </is>
      </c>
      <c r="C91" s="27" t="inlineStr">
        <is>
          <t>ton</t>
        </is>
      </c>
      <c r="D91" s="23" t="n"/>
      <c r="E91" s="23" t="n"/>
      <c r="F91" s="23" t="n"/>
      <c r="G91" s="23" t="n"/>
      <c r="H91" s="23" t="n"/>
      <c r="I91" s="23" t="n"/>
      <c r="J91" s="23" t="n"/>
      <c r="K91" s="36">
        <f>SUM(J89:J90)</f>
        <v/>
      </c>
    </row>
    <row r="93" ht="20" customHeight="1">
      <c r="A93" s="19" t="inlineStr">
        <is>
          <t>Yapı/Bina Adı: FOSEPTIK</t>
        </is>
      </c>
    </row>
    <row r="94" ht="28" customHeight="1">
      <c r="A94" s="7" t="inlineStr">
        <is>
          <t>Poz No</t>
        </is>
      </c>
      <c r="B94" s="7" t="inlineStr">
        <is>
          <t>Tanımı</t>
        </is>
      </c>
      <c r="C94" s="7" t="inlineStr">
        <is>
          <t>Birim</t>
        </is>
      </c>
      <c r="D94" s="7" t="inlineStr">
        <is>
          <t>Benzer</t>
        </is>
      </c>
      <c r="E94" s="7" t="inlineStr">
        <is>
          <t>Adet</t>
        </is>
      </c>
      <c r="F94" s="7" t="inlineStr">
        <is>
          <t>Boy (m)</t>
        </is>
      </c>
      <c r="G94" s="7" t="inlineStr">
        <is>
          <t>En (m)</t>
        </is>
      </c>
      <c r="H94" s="7" t="inlineStr">
        <is>
          <t>Demir çapı veya profil tipi</t>
        </is>
      </c>
      <c r="I94" s="7" t="inlineStr">
        <is>
          <t>Birim Ağırlık</t>
        </is>
      </c>
      <c r="J94" s="7" t="inlineStr">
        <is>
          <t>Toplam Ağırlık</t>
        </is>
      </c>
      <c r="K94" s="7" t="inlineStr">
        <is>
          <t>Genel Toplam</t>
        </is>
      </c>
    </row>
    <row r="95" ht="22" customHeight="1">
      <c r="A95" s="21" t="inlineStr">
        <is>
          <t>15.160.1003</t>
        </is>
      </c>
      <c r="B95" s="8" t="inlineStr">
        <is>
          <t>[M26]  Ø 8 - Ø 12 mm nervürlü beton çelik çubuğu, çubukların kesilmesi, bükülmesi ve yerine konulması</t>
        </is>
      </c>
      <c r="C95" s="20" t="inlineStr">
        <is>
          <t>ton</t>
        </is>
      </c>
      <c r="D95" s="23" t="n"/>
      <c r="E95" s="23" t="n"/>
      <c r="F95" s="23" t="n"/>
      <c r="G95" s="23" t="n"/>
      <c r="H95" s="23" t="n"/>
      <c r="I95" s="23" t="n"/>
      <c r="J95" s="23" t="n"/>
      <c r="K95" s="23" t="n"/>
    </row>
    <row r="96" ht="12" customHeight="1">
      <c r="A96" s="6" t="n"/>
      <c r="B96" s="24" t="inlineStr">
        <is>
          <t>Radye 2,00 x 2,00 x 0,30 m³; 95 kg/m³</t>
        </is>
      </c>
      <c r="C96" s="6" t="n"/>
      <c r="D96" s="29" t="n">
        <v>1</v>
      </c>
      <c r="E96" s="29" t="n">
        <v>1</v>
      </c>
      <c r="F96" s="30" t="n">
        <v>4</v>
      </c>
      <c r="G96" s="30" t="n">
        <v>0.3</v>
      </c>
      <c r="H96" s="37" t="inlineStr">
        <is>
          <t>ø8-12 nervürlü</t>
        </is>
      </c>
      <c r="I96" s="34" t="n">
        <v>0.095</v>
      </c>
      <c r="J96" s="35">
        <f>D96*E96*F96*G96*I96</f>
        <v/>
      </c>
      <c r="K96" s="6" t="n"/>
    </row>
    <row r="97" ht="12" customHeight="1">
      <c r="A97" s="6" t="n"/>
      <c r="B97" s="24" t="inlineStr">
        <is>
          <t>Perdeler 7,00 x 0,25 x 2,50 m³; 95 kg/m³</t>
        </is>
      </c>
      <c r="C97" s="6" t="n"/>
      <c r="D97" s="29" t="n">
        <v>1</v>
      </c>
      <c r="E97" s="29" t="n">
        <v>1</v>
      </c>
      <c r="F97" s="30" t="n">
        <v>1.75</v>
      </c>
      <c r="G97" s="30" t="n">
        <v>2.5</v>
      </c>
      <c r="H97" s="37" t="inlineStr">
        <is>
          <t>ø8-12 nervürlü</t>
        </is>
      </c>
      <c r="I97" s="34" t="n">
        <v>0.095</v>
      </c>
      <c r="J97" s="35">
        <f>D97*E97*F97*G97*I97</f>
        <v/>
      </c>
      <c r="K97" s="6" t="n"/>
    </row>
    <row r="98" ht="12" customHeight="1">
      <c r="A98" s="6" t="n"/>
      <c r="B98" s="24" t="inlineStr">
        <is>
          <t>Üst döşeme 2,00 x 2,00 x 0,15 m³; 95 kg/m³</t>
        </is>
      </c>
      <c r="C98" s="6" t="n"/>
      <c r="D98" s="29" t="n">
        <v>1</v>
      </c>
      <c r="E98" s="29" t="n">
        <v>1</v>
      </c>
      <c r="F98" s="30" t="n">
        <v>4</v>
      </c>
      <c r="G98" s="30" t="n">
        <v>0.15</v>
      </c>
      <c r="H98" s="37" t="inlineStr">
        <is>
          <t>ø8-12 nervürlü</t>
        </is>
      </c>
      <c r="I98" s="34" t="n">
        <v>0.095</v>
      </c>
      <c r="J98" s="35">
        <f>D98*E98*F98*G98*I98</f>
        <v/>
      </c>
      <c r="K98" s="6" t="n"/>
    </row>
    <row r="99">
      <c r="A99" s="23" t="n"/>
      <c r="B99" s="26" t="inlineStr">
        <is>
          <t>FS/M26 GENEL TOPLAM</t>
        </is>
      </c>
      <c r="C99" s="27" t="inlineStr">
        <is>
          <t>ton</t>
        </is>
      </c>
      <c r="D99" s="23" t="n"/>
      <c r="E99" s="23" t="n"/>
      <c r="F99" s="23" t="n"/>
      <c r="G99" s="23" t="n"/>
      <c r="H99" s="23" t="n"/>
      <c r="I99" s="23" t="n"/>
      <c r="J99" s="23" t="n"/>
      <c r="K99" s="36">
        <f>SUM(J96:J98)</f>
        <v/>
      </c>
    </row>
    <row r="101" ht="20" customHeight="1">
      <c r="A101" s="19" t="inlineStr">
        <is>
          <t>Yapı/Bina Adı: YEM SILOSU BETONARME KAIDELERI</t>
        </is>
      </c>
    </row>
    <row r="102" ht="28" customHeight="1">
      <c r="A102" s="7" t="inlineStr">
        <is>
          <t>Poz No</t>
        </is>
      </c>
      <c r="B102" s="7" t="inlineStr">
        <is>
          <t>Tanımı</t>
        </is>
      </c>
      <c r="C102" s="7" t="inlineStr">
        <is>
          <t>Birim</t>
        </is>
      </c>
      <c r="D102" s="7" t="inlineStr">
        <is>
          <t>Benzer</t>
        </is>
      </c>
      <c r="E102" s="7" t="inlineStr">
        <is>
          <t>Adet</t>
        </is>
      </c>
      <c r="F102" s="7" t="inlineStr">
        <is>
          <t>Boy (m)</t>
        </is>
      </c>
      <c r="G102" s="7" t="inlineStr">
        <is>
          <t>En (m)</t>
        </is>
      </c>
      <c r="H102" s="7" t="inlineStr">
        <is>
          <t>Demir çapı veya profil tipi</t>
        </is>
      </c>
      <c r="I102" s="7" t="inlineStr">
        <is>
          <t>Birim Ağırlık</t>
        </is>
      </c>
      <c r="J102" s="7" t="inlineStr">
        <is>
          <t>Toplam Ağırlık</t>
        </is>
      </c>
      <c r="K102" s="7" t="inlineStr">
        <is>
          <t>Genel Toplam</t>
        </is>
      </c>
    </row>
    <row r="103" ht="22" customHeight="1">
      <c r="A103" s="21" t="inlineStr">
        <is>
          <t>15.160.1003</t>
        </is>
      </c>
      <c r="B103" s="8" t="inlineStr">
        <is>
          <t>[M26]  Ø 8 - Ø 12 mm nervürlü beton çelik çubuğu, çubukların kesilmesi, bükülmesi ve yerine konulması</t>
        </is>
      </c>
      <c r="C103" s="20" t="inlineStr">
        <is>
          <t>ton</t>
        </is>
      </c>
      <c r="D103" s="23" t="n"/>
      <c r="E103" s="23" t="n"/>
      <c r="F103" s="23" t="n"/>
      <c r="G103" s="23" t="n"/>
      <c r="H103" s="23" t="n"/>
      <c r="I103" s="23" t="n"/>
      <c r="J103" s="23" t="n"/>
      <c r="K103" s="23" t="n"/>
    </row>
    <row r="104" ht="12" customHeight="1">
      <c r="A104" s="6" t="n"/>
      <c r="B104" s="24" t="inlineStr">
        <is>
          <t>Kaideler 2,90 x 2,90 x 0,50 m³, 2 adet; 90 kg/m³</t>
        </is>
      </c>
      <c r="C104" s="6" t="n"/>
      <c r="D104" s="29" t="n">
        <v>2</v>
      </c>
      <c r="E104" s="29" t="n">
        <v>1</v>
      </c>
      <c r="F104" s="30" t="n">
        <v>8.41</v>
      </c>
      <c r="G104" s="30" t="n">
        <v>0.5</v>
      </c>
      <c r="H104" s="37" t="inlineStr">
        <is>
          <t>ø8-12 nervürlü</t>
        </is>
      </c>
      <c r="I104" s="34" t="n">
        <v>0.09</v>
      </c>
      <c r="J104" s="35">
        <f>D104*E104*F104*G104*I104</f>
        <v/>
      </c>
      <c r="K104" s="6" t="n"/>
    </row>
    <row r="105">
      <c r="A105" s="23" t="n"/>
      <c r="B105" s="26" t="inlineStr">
        <is>
          <t>SL/M26 GENEL TOPLAM</t>
        </is>
      </c>
      <c r="C105" s="27" t="inlineStr">
        <is>
          <t>ton</t>
        </is>
      </c>
      <c r="D105" s="23" t="n"/>
      <c r="E105" s="23" t="n"/>
      <c r="F105" s="23" t="n"/>
      <c r="G105" s="23" t="n"/>
      <c r="H105" s="23" t="n"/>
      <c r="I105" s="23" t="n"/>
      <c r="J105" s="23" t="n"/>
      <c r="K105" s="36">
        <f>SUM(J104:J104)</f>
        <v/>
      </c>
    </row>
    <row r="107" ht="20" customHeight="1">
      <c r="A107" s="19" t="inlineStr">
        <is>
          <t>Yapı/Bina Adı: SU DEPOSU</t>
        </is>
      </c>
    </row>
    <row r="108" ht="28" customHeight="1">
      <c r="A108" s="7" t="inlineStr">
        <is>
          <t>Poz No</t>
        </is>
      </c>
      <c r="B108" s="7" t="inlineStr">
        <is>
          <t>Tanımı</t>
        </is>
      </c>
      <c r="C108" s="7" t="inlineStr">
        <is>
          <t>Birim</t>
        </is>
      </c>
      <c r="D108" s="7" t="inlineStr">
        <is>
          <t>Benzer</t>
        </is>
      </c>
      <c r="E108" s="7" t="inlineStr">
        <is>
          <t>Adet</t>
        </is>
      </c>
      <c r="F108" s="7" t="inlineStr">
        <is>
          <t>Boy (m)</t>
        </is>
      </c>
      <c r="G108" s="7" t="inlineStr">
        <is>
          <t>En (m)</t>
        </is>
      </c>
      <c r="H108" s="7" t="inlineStr">
        <is>
          <t>Demir çapı veya profil tipi</t>
        </is>
      </c>
      <c r="I108" s="7" t="inlineStr">
        <is>
          <t>Birim Ağırlık</t>
        </is>
      </c>
      <c r="J108" s="7" t="inlineStr">
        <is>
          <t>Toplam Ağırlık</t>
        </is>
      </c>
      <c r="K108" s="7" t="inlineStr">
        <is>
          <t>Genel Toplam</t>
        </is>
      </c>
    </row>
    <row r="109" ht="22" customHeight="1">
      <c r="A109" s="21" t="inlineStr">
        <is>
          <t>15.160.1003</t>
        </is>
      </c>
      <c r="B109" s="8" t="inlineStr">
        <is>
          <t>[M26]  Ø 8 - Ø 12 mm nervürlü beton çelik çubuğu, çubukların kesilmesi, bükülmesi ve yerine konulması</t>
        </is>
      </c>
      <c r="C109" s="20" t="inlineStr">
        <is>
          <t>ton</t>
        </is>
      </c>
      <c r="D109" s="23" t="n"/>
      <c r="E109" s="23" t="n"/>
      <c r="F109" s="23" t="n"/>
      <c r="G109" s="23" t="n"/>
      <c r="H109" s="23" t="n"/>
      <c r="I109" s="23" t="n"/>
      <c r="J109" s="23" t="n"/>
      <c r="K109" s="23" t="n"/>
    </row>
    <row r="110" ht="20" customHeight="1">
      <c r="A110" s="6" t="n"/>
      <c r="B110" s="24" t="inlineStr">
        <is>
          <t>Radye ve üst döşeme — proje metrajı 223,70 + 32,90 = 256,60 kg</t>
        </is>
      </c>
      <c r="C110" s="6" t="n"/>
      <c r="D110" s="29" t="n">
        <v>1</v>
      </c>
      <c r="E110" s="29" t="n">
        <v>1</v>
      </c>
      <c r="F110" s="6" t="n"/>
      <c r="G110" s="6" t="n"/>
      <c r="H110" s="37" t="inlineStr">
        <is>
          <t>ø8-12 nervürlü</t>
        </is>
      </c>
      <c r="I110" s="34" t="n">
        <v>0.2566</v>
      </c>
      <c r="J110" s="35">
        <f>D110*E110*I110</f>
        <v/>
      </c>
      <c r="K110" s="6" t="n"/>
    </row>
    <row r="111" ht="12" customHeight="1">
      <c r="A111" s="6" t="n"/>
      <c r="B111" s="24" t="inlineStr">
        <is>
          <t>Perdeler 13,00 x 0,25 x 3,00 m³; 100 kg/m³</t>
        </is>
      </c>
      <c r="C111" s="6" t="n"/>
      <c r="D111" s="29" t="n">
        <v>1</v>
      </c>
      <c r="E111" s="29" t="n">
        <v>1</v>
      </c>
      <c r="F111" s="30" t="n">
        <v>3.25</v>
      </c>
      <c r="G111" s="30" t="n">
        <v>3</v>
      </c>
      <c r="H111" s="37" t="inlineStr">
        <is>
          <t>ø8-12 nervürlü</t>
        </is>
      </c>
      <c r="I111" s="34" t="n">
        <v>0.1</v>
      </c>
      <c r="J111" s="35">
        <f>D111*E111*F111*G111*I111</f>
        <v/>
      </c>
      <c r="K111" s="6" t="n"/>
    </row>
    <row r="112">
      <c r="A112" s="23" t="n"/>
      <c r="B112" s="26" t="inlineStr">
        <is>
          <t>SD/M26 GENEL TOPLAM</t>
        </is>
      </c>
      <c r="C112" s="27" t="inlineStr">
        <is>
          <t>ton</t>
        </is>
      </c>
      <c r="D112" s="23" t="n"/>
      <c r="E112" s="23" t="n"/>
      <c r="F112" s="23" t="n"/>
      <c r="G112" s="23" t="n"/>
      <c r="H112" s="23" t="n"/>
      <c r="I112" s="23" t="n"/>
      <c r="J112" s="23" t="n"/>
      <c r="K112" s="36">
        <f>SUM(J110:J111)</f>
        <v/>
      </c>
    </row>
    <row r="114">
      <c r="A114" s="17" t="inlineStr">
        <is>
          <t>AÇIKLAMALAR VE VARSAYIMLAR</t>
        </is>
      </c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40" t="n"/>
    </row>
    <row r="115" ht="13" customHeight="1">
      <c r="A115" s="18" t="inlineStr">
        <is>
          <t>•  SARI zeminli 'demir çapı veya profil tipi' hücreleri, proje toplamını tutturmak üzere yapılan dağıtımı gösterir.</t>
        </is>
      </c>
    </row>
    <row r="116" ht="33" customHeight="1">
      <c r="A116" s="18" t="inlineStr">
        <is>
          <t>•  Kümes A ve B blok temellerinin donatı TOPLAMLARI betonarme paftasındaki METRAJ tablosundan aynen alınmıştır (blok başına ø6-12 = 4.159,89 kg, ø14-50 = 7.287,50 kg). Bu toplamlar eleman bazında dağıtılmış, dağıtılamayan kısım açıkça 'proje METRAJ tablosunu tamamlayan pay' satırı olarak gösterilmiştir. Genel toplamlar proje tablosuyla birebir tutmaktadır.</t>
        </is>
      </c>
    </row>
    <row r="117" ht="22" customHeight="1">
      <c r="A117" s="18" t="inlineStr">
        <is>
          <t>•  ÇELİK TAŞIYICI SİSTEM STATİK ÇELİK PROJESİNDEN ALINMIŞTIR. Profiller SHS 150x150x6 (kolon, ana kiriş, boyuna kiriş), RHS 100x50x3 (çatı aşığı, yan aşık, kuşak) ve SHS 100x100x4 (çapraz); malzeme S235JR. Çerçeve geometrisi projedeki gibidir: aks açıklıkları 3,75 + 6,00 + 3,80 = 13,55 m, kolon üstü +2,84, mahya +4,34.</t>
        </is>
      </c>
    </row>
    <row r="118" ht="13" customHeight="1">
      <c r="A118" s="18" t="inlineStr">
        <is>
          <t>•  Gübre çukuru ve müştemilat donatısı, projedeki METRAJ tablolarından ve eleman hacmi x birim donatı oranı (kg/m³) esasıyla hesaplanmıştır.</t>
        </is>
      </c>
    </row>
    <row r="119" ht="22" customHeight="1">
      <c r="A119" s="18" t="inlineStr">
        <is>
          <t>•  Birim ağırlıklar (ton/m): ø8 0,000395 · ø10 0,000617 · ø12 0,000888 · ø14 0,001210 · ø16 0,001580 · ø20 0,002470 · HEA 200 0,0423 · HEA 260 0,0541 · IPE 270 0,0361 · Z 200x70x2,5 0,00900 · L 70x70x7 0,00738.</t>
        </is>
      </c>
    </row>
  </sheetData>
  <mergeCells count="16">
    <mergeCell ref="A119:K119"/>
    <mergeCell ref="A114:K114"/>
    <mergeCell ref="A75:K75"/>
    <mergeCell ref="A118:K118"/>
    <mergeCell ref="A3:K3"/>
    <mergeCell ref="A101:K101"/>
    <mergeCell ref="A86:K86"/>
    <mergeCell ref="A2:K2"/>
    <mergeCell ref="A107:K107"/>
    <mergeCell ref="A115:K115"/>
    <mergeCell ref="A117:K117"/>
    <mergeCell ref="A5:K5"/>
    <mergeCell ref="A93:K93"/>
    <mergeCell ref="A116:K116"/>
    <mergeCell ref="A1:K1"/>
    <mergeCell ref="A40:K4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2026-08-29T16:54:13Z</dcterms:created>
  <dcterms:modified xmlns:dcterms="http://purl.org/dc/terms/" xmlns:xsi="http://www.w3.org/2001/XMLSchema-instance" xsi:type="dcterms:W3CDTF">2026-08-29T16:54:14Z</dcterms:modified>
</cp:coreProperties>
</file>