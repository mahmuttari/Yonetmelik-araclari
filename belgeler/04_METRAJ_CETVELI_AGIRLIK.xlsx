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Radye 2,00 x 2,00 x 0,30 m³; 95 kg/m³</t>
        </is>
      </c>
      <c r="C96" s="6" t="n"/>
      <c r="D96" s="28" t="n">
        <v>1</v>
      </c>
      <c r="E96" s="28" t="n">
        <v>1</v>
      </c>
      <c r="F96" s="29" t="n">
        <v>4</v>
      </c>
      <c r="G96" s="29" t="n">
        <v>0.3</v>
      </c>
      <c r="H96" s="36" t="inlineStr">
        <is>
          <t>ø8-12 nervürlü</t>
        </is>
      </c>
      <c r="I96" s="33" t="n">
        <v>0.095</v>
      </c>
      <c r="J96" s="34">
        <f>D96*E96*F96*G96*I96</f>
        <v/>
      </c>
      <c r="K96" s="6" t="n"/>
    </row>
    <row r="97" ht="12" customHeight="1">
      <c r="A97" s="6" t="n"/>
      <c r="B97" s="23" t="inlineStr">
        <is>
          <t>Perdeler 7,00 x 0,25 x 2,50 m³; 95 kg/m³</t>
        </is>
      </c>
      <c r="C97" s="6" t="n"/>
      <c r="D97" s="28" t="n">
        <v>1</v>
      </c>
      <c r="E97" s="28" t="n">
        <v>1</v>
      </c>
      <c r="F97" s="29" t="n">
        <v>1.75</v>
      </c>
      <c r="G97" s="29" t="n">
        <v>2.5</v>
      </c>
      <c r="H97" s="36" t="inlineStr">
        <is>
          <t>ø8-12 nervürlü</t>
        </is>
      </c>
      <c r="I97" s="33" t="n">
        <v>0.095</v>
      </c>
      <c r="J97" s="34">
        <f>D97*E97*F97*G97*I97</f>
        <v/>
      </c>
      <c r="K97" s="6" t="n"/>
    </row>
    <row r="98" ht="12" customHeight="1">
      <c r="A98" s="6" t="n"/>
      <c r="B98" s="23" t="inlineStr">
        <is>
          <t>Üst döşeme 2,00 x 2,00 x 0,15 m³; 95 kg/m³</t>
        </is>
      </c>
      <c r="C98" s="6" t="n"/>
      <c r="D98" s="28" t="n">
        <v>1</v>
      </c>
      <c r="E98" s="28" t="n">
        <v>1</v>
      </c>
      <c r="F98" s="29" t="n">
        <v>4</v>
      </c>
      <c r="G98" s="29" t="n">
        <v>0.15</v>
      </c>
      <c r="H98" s="36" t="inlineStr">
        <is>
          <t>ø8-12 nervürlü</t>
        </is>
      </c>
      <c r="I98" s="33" t="n">
        <v>0.095</v>
      </c>
      <c r="J98" s="34">
        <f>D98*E98*F98*G98*I98</f>
        <v/>
      </c>
      <c r="K98" s="6" t="n"/>
    </row>
    <row r="99">
      <c r="A99" s="22" t="n"/>
      <c r="B99" s="25" t="inlineStr">
        <is>
          <t>FS/M26 GENEL TOPLAM</t>
        </is>
      </c>
      <c r="C99" s="26" t="inlineStr">
        <is>
          <t>ton</t>
        </is>
      </c>
      <c r="D99" s="22" t="n"/>
      <c r="E99" s="22" t="n"/>
      <c r="F99" s="22" t="n"/>
      <c r="G99" s="22" t="n"/>
      <c r="H99" s="22" t="n"/>
      <c r="I99" s="22" t="n"/>
      <c r="J99" s="22" t="n"/>
      <c r="K99" s="35">
        <f>SUM(J96:J98)</f>
        <v/>
      </c>
    </row>
    <row r="101" ht="20" customHeight="1">
      <c r="A101" s="18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0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19" t="inlineStr">
        <is>
          <t>ton</t>
        </is>
      </c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 ht="12" customHeight="1">
      <c r="A104" s="6" t="n"/>
      <c r="B104" s="23" t="inlineStr">
        <is>
          <t>Kaideler 2,90 x 2,90 x 0,50 m³, 2 adet; 90 kg/m³</t>
        </is>
      </c>
      <c r="C104" s="6" t="n"/>
      <c r="D104" s="28" t="n">
        <v>2</v>
      </c>
      <c r="E104" s="28" t="n">
        <v>1</v>
      </c>
      <c r="F104" s="29" t="n">
        <v>8.41</v>
      </c>
      <c r="G104" s="29" t="n">
        <v>0.5</v>
      </c>
      <c r="H104" s="36" t="inlineStr">
        <is>
          <t>ø8-12 nervürlü</t>
        </is>
      </c>
      <c r="I104" s="33" t="n">
        <v>0.09</v>
      </c>
      <c r="J104" s="34">
        <f>D104*E104*F104*G104*I104</f>
        <v/>
      </c>
      <c r="K104" s="6" t="n"/>
    </row>
    <row r="105">
      <c r="A105" s="22" t="n"/>
      <c r="B105" s="25" t="inlineStr">
        <is>
          <t>SL/M26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SUM(J104:J104)</f>
        <v/>
      </c>
    </row>
    <row r="107" ht="20" customHeight="1">
      <c r="A107" s="18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0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19" t="inlineStr">
        <is>
          <t>ton</t>
        </is>
      </c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 ht="20" customHeight="1">
      <c r="A110" s="6" t="n"/>
      <c r="B110" s="23" t="inlineStr">
        <is>
          <t>Radye ve üst döşeme — proje metrajı 223,70 + 32,90 = 256,60 kg</t>
        </is>
      </c>
      <c r="C110" s="6" t="n"/>
      <c r="D110" s="28" t="n">
        <v>1</v>
      </c>
      <c r="E110" s="28" t="n">
        <v>1</v>
      </c>
      <c r="F110" s="6" t="n"/>
      <c r="G110" s="6" t="n"/>
      <c r="H110" s="36" t="inlineStr">
        <is>
          <t>ø8-12 nervürlü</t>
        </is>
      </c>
      <c r="I110" s="33" t="n">
        <v>0.2566</v>
      </c>
      <c r="J110" s="34">
        <f>D110*E110*I110</f>
        <v/>
      </c>
      <c r="K110" s="6" t="n"/>
    </row>
    <row r="111" ht="12" customHeight="1">
      <c r="A111" s="6" t="n"/>
      <c r="B111" s="23" t="inlineStr">
        <is>
          <t>Perdeler 13,00 x 0,25 x 3,00 m³; 100 kg/m³</t>
        </is>
      </c>
      <c r="C111" s="6" t="n"/>
      <c r="D111" s="28" t="n">
        <v>1</v>
      </c>
      <c r="E111" s="28" t="n">
        <v>1</v>
      </c>
      <c r="F111" s="29" t="n">
        <v>3.25</v>
      </c>
      <c r="G111" s="29" t="n">
        <v>3</v>
      </c>
      <c r="H111" s="36" t="inlineStr">
        <is>
          <t>ø8-12 nervürlü</t>
        </is>
      </c>
      <c r="I111" s="33" t="n">
        <v>0.1</v>
      </c>
      <c r="J111" s="34">
        <f>D111*E111*F111*G111*I111</f>
        <v/>
      </c>
      <c r="K111" s="6" t="n"/>
    </row>
    <row r="112">
      <c r="A112" s="22" t="n"/>
      <c r="B112" s="25" t="inlineStr">
        <is>
          <t>SD/M26 GENEL TOPLAM</t>
        </is>
      </c>
      <c r="C112" s="26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35">
        <f>SUM(J110:J111)</f>
        <v/>
      </c>
    </row>
    <row r="114">
      <c r="A114" s="16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7" t="inlineStr">
        <is>
          <t>•  SARI zeminli 'demir çapı veya profil tipi' hücreleri, proje toplamını tutturmak üzere yapılan dağıtımı gösterir.</t>
        </is>
      </c>
    </row>
    <row r="116" ht="33" customHeight="1">
      <c r="A116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7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2026-08-30T08:17:40Z</dcterms:created>
  <dcterms:modified xmlns:dcterms="http://purl.org/dc/terms/" xmlns:xsi="http://www.w3.org/2001/XMLSchema-instance" xsi:type="dcterms:W3CDTF">2026-08-30T08:17:41Z</dcterms:modified>
</cp:coreProperties>
</file>