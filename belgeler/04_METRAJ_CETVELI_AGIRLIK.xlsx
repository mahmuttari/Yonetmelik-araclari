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SILOSU BETONARME KAIDELERI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20" customHeight="1">
      <c r="A120" s="6" t="n"/>
      <c r="B120" s="23" t="inlineStr">
        <is>
          <t>Radye temel — proje METRAJ tablosu 198,80 kg/kaide; 2 kaide</t>
        </is>
      </c>
      <c r="C120" s="6" t="n"/>
      <c r="D120" s="28" t="n">
        <v>2</v>
      </c>
      <c r="E120" s="28" t="n">
        <v>1</v>
      </c>
      <c r="F120" s="6" t="n"/>
      <c r="G120" s="6" t="n"/>
      <c r="H120" s="36" t="inlineStr">
        <is>
          <t>ø8-12 nervürlü</t>
        </is>
      </c>
      <c r="I120" s="33" t="n">
        <v>0.1988</v>
      </c>
      <c r="J120" s="34">
        <f>D120*E120*I120</f>
        <v/>
      </c>
      <c r="K120" s="6" t="n"/>
    </row>
    <row r="121" ht="20" customHeight="1">
      <c r="A121" s="6" t="n"/>
      <c r="B121" s="23" t="inlineStr">
        <is>
          <t>SB01…SB04 kolonları — proje METRAJ tablosu 72,59 kg/kaide; 2 kaide</t>
        </is>
      </c>
      <c r="C121" s="6" t="n"/>
      <c r="D121" s="28" t="n">
        <v>2</v>
      </c>
      <c r="E121" s="28" t="n">
        <v>1</v>
      </c>
      <c r="F121" s="6" t="n"/>
      <c r="G121" s="6" t="n"/>
      <c r="H121" s="36" t="inlineStr">
        <is>
          <t>ø8-12 nervürlü</t>
        </is>
      </c>
      <c r="I121" s="33" t="n">
        <v>0.07259</v>
      </c>
      <c r="J121" s="34">
        <f>D121*E121*I121</f>
        <v/>
      </c>
      <c r="K121" s="6" t="n"/>
    </row>
    <row r="122">
      <c r="A122" s="22" t="n"/>
      <c r="B122" s="25" t="inlineStr">
        <is>
          <t>SL/M26 GENEL TOPLAM</t>
        </is>
      </c>
      <c r="C122" s="26" t="inlineStr">
        <is>
          <t>ton</t>
        </is>
      </c>
      <c r="D122" s="22" t="n"/>
      <c r="E122" s="22" t="n"/>
      <c r="F122" s="22" t="n"/>
      <c r="G122" s="22" t="n"/>
      <c r="H122" s="22" t="n"/>
      <c r="I122" s="22" t="n"/>
      <c r="J122" s="22" t="n"/>
      <c r="K122" s="35">
        <f>SUM(J120:J121)</f>
        <v/>
      </c>
    </row>
    <row r="123" ht="22" customHeight="1">
      <c r="A123" s="20" t="inlineStr">
        <is>
          <t>15.160.1004</t>
        </is>
      </c>
      <c r="B123" s="8" t="inlineStr">
        <is>
          <t>[M28]  Ø 14 - Ø 28 mm nervürlü beton çelik çubuğu, çubukların kesilmesi, bükülmesi ve yerine konulması</t>
        </is>
      </c>
      <c r="C123" s="19" t="inlineStr">
        <is>
          <t>ton</t>
        </is>
      </c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 ht="20" customHeight="1">
      <c r="A124" s="6" t="n"/>
      <c r="B124" s="23" t="inlineStr">
        <is>
          <t>Radye kolon filizleri P07 48ø14 l=160 — proje METRAJ tablosu 92,70 kg/kaide; 2 kaide</t>
        </is>
      </c>
      <c r="C124" s="6" t="n"/>
      <c r="D124" s="28" t="n">
        <v>2</v>
      </c>
      <c r="E124" s="28" t="n">
        <v>1</v>
      </c>
      <c r="F124" s="6" t="n"/>
      <c r="G124" s="6" t="n"/>
      <c r="H124" s="36" t="inlineStr">
        <is>
          <t>ø14 nervürlü</t>
        </is>
      </c>
      <c r="I124" s="33" t="n">
        <v>0.0927</v>
      </c>
      <c r="J124" s="34">
        <f>D124*E124*I124</f>
        <v/>
      </c>
      <c r="K124" s="6" t="n"/>
    </row>
    <row r="125" ht="20" customHeight="1">
      <c r="A125" s="6" t="n"/>
      <c r="B125" s="23" t="inlineStr">
        <is>
          <t>SB01…SB04 kolon boyuna donatısı 12ø14 — proje METRAJ tablosu 85,70 kg/kaide; 2 kaide</t>
        </is>
      </c>
      <c r="C125" s="6" t="n"/>
      <c r="D125" s="28" t="n">
        <v>2</v>
      </c>
      <c r="E125" s="28" t="n">
        <v>1</v>
      </c>
      <c r="F125" s="6" t="n"/>
      <c r="G125" s="6" t="n"/>
      <c r="H125" s="36" t="inlineStr">
        <is>
          <t>ø14 nervürlü</t>
        </is>
      </c>
      <c r="I125" s="33" t="n">
        <v>0.0857</v>
      </c>
      <c r="J125" s="34">
        <f>D125*E125*I125</f>
        <v/>
      </c>
      <c r="K125" s="6" t="n"/>
    </row>
    <row r="126">
      <c r="A126" s="22" t="n"/>
      <c r="B126" s="25" t="inlineStr">
        <is>
          <t>SL/M28 GENEL TOPLAM</t>
        </is>
      </c>
      <c r="C126" s="26" t="inlineStr">
        <is>
          <t>ton</t>
        </is>
      </c>
      <c r="D126" s="22" t="n"/>
      <c r="E126" s="22" t="n"/>
      <c r="F126" s="22" t="n"/>
      <c r="G126" s="22" t="n"/>
      <c r="H126" s="22" t="n"/>
      <c r="I126" s="22" t="n"/>
      <c r="J126" s="22" t="n"/>
      <c r="K126" s="35">
        <f>SUM(J124:J125)</f>
        <v/>
      </c>
    </row>
    <row r="128" ht="20" customHeight="1">
      <c r="A128" s="18" t="inlineStr">
        <is>
          <t>Yapı/Bina Adı: SU DEPOSU</t>
        </is>
      </c>
    </row>
    <row r="129" ht="28" customHeight="1">
      <c r="A129" s="7" t="inlineStr">
        <is>
          <t>Poz No</t>
        </is>
      </c>
      <c r="B129" s="7" t="inlineStr">
        <is>
          <t>Tanımı</t>
        </is>
      </c>
      <c r="C129" s="7" t="inlineStr">
        <is>
          <t>Birim</t>
        </is>
      </c>
      <c r="D129" s="7" t="inlineStr">
        <is>
          <t>Benzer</t>
        </is>
      </c>
      <c r="E129" s="7" t="inlineStr">
        <is>
          <t>Adet</t>
        </is>
      </c>
      <c r="F129" s="7" t="inlineStr">
        <is>
          <t>Boy (m)</t>
        </is>
      </c>
      <c r="G129" s="7" t="inlineStr">
        <is>
          <t>En (m)</t>
        </is>
      </c>
      <c r="H129" s="7" t="inlineStr">
        <is>
          <t>Demir çapı veya profil tipi</t>
        </is>
      </c>
      <c r="I129" s="7" t="inlineStr">
        <is>
          <t>Birim Ağırlık</t>
        </is>
      </c>
      <c r="J129" s="7" t="inlineStr">
        <is>
          <t>Toplam Ağırlık</t>
        </is>
      </c>
      <c r="K129" s="7" t="inlineStr">
        <is>
          <t>Genel Toplam</t>
        </is>
      </c>
    </row>
    <row r="130" ht="22" customHeight="1">
      <c r="A130" s="20" t="inlineStr">
        <is>
          <t>15.160.1003</t>
        </is>
      </c>
      <c r="B130" s="8" t="inlineStr">
        <is>
          <t>[M26]  Ø 8 - Ø 12 mm nervürlü beton çelik çubuğu, çubukların kesilmesi, bükülmesi ve yerine konulması</t>
        </is>
      </c>
      <c r="C130" s="19" t="inlineStr">
        <is>
          <t>ton</t>
        </is>
      </c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 ht="20" customHeight="1">
      <c r="A131" s="6" t="n"/>
      <c r="B131" s="23" t="inlineStr">
        <is>
          <t>Radye ve üst döşeme — proje metrajı 223,70 + 32,90 = 256,60 kg</t>
        </is>
      </c>
      <c r="C131" s="6" t="n"/>
      <c r="D131" s="28" t="n">
        <v>1</v>
      </c>
      <c r="E131" s="28" t="n">
        <v>1</v>
      </c>
      <c r="F131" s="6" t="n"/>
      <c r="G131" s="6" t="n"/>
      <c r="H131" s="36" t="inlineStr">
        <is>
          <t>ø8-12 nervürlü</t>
        </is>
      </c>
      <c r="I131" s="33" t="n">
        <v>0.2566</v>
      </c>
      <c r="J131" s="34">
        <f>D131*E131*I131</f>
        <v/>
      </c>
      <c r="K131" s="6" t="n"/>
    </row>
    <row r="132" ht="12" customHeight="1">
      <c r="A132" s="6" t="n"/>
      <c r="B132" s="23" t="inlineStr">
        <is>
          <t>Perdeler 13,00 x 0,25 x 3,00 m³; 100 kg/m³</t>
        </is>
      </c>
      <c r="C132" s="6" t="n"/>
      <c r="D132" s="28" t="n">
        <v>1</v>
      </c>
      <c r="E132" s="28" t="n">
        <v>1</v>
      </c>
      <c r="F132" s="29" t="n">
        <v>3.25</v>
      </c>
      <c r="G132" s="29" t="n">
        <v>3</v>
      </c>
      <c r="H132" s="36" t="inlineStr">
        <is>
          <t>ø8-12 nervürlü</t>
        </is>
      </c>
      <c r="I132" s="33" t="n">
        <v>0.1</v>
      </c>
      <c r="J132" s="34">
        <f>D132*E132*F132*G132*I132</f>
        <v/>
      </c>
      <c r="K132" s="6" t="n"/>
    </row>
    <row r="133">
      <c r="A133" s="22" t="n"/>
      <c r="B133" s="25" t="inlineStr">
        <is>
          <t>SD/M26 GENEL TOPLAM</t>
        </is>
      </c>
      <c r="C133" s="26" t="inlineStr">
        <is>
          <t>ton</t>
        </is>
      </c>
      <c r="D133" s="22" t="n"/>
      <c r="E133" s="22" t="n"/>
      <c r="F133" s="22" t="n"/>
      <c r="G133" s="22" t="n"/>
      <c r="H133" s="22" t="n"/>
      <c r="I133" s="22" t="n"/>
      <c r="J133" s="22" t="n"/>
      <c r="K133" s="35">
        <f>SUM(J131:J132)</f>
        <v/>
      </c>
    </row>
    <row r="135" ht="20" customHeight="1">
      <c r="A135" s="18" t="inlineStr">
        <is>
          <t>Yapı/Bina Adı: YAĞMUR SUYU DEPOSU</t>
        </is>
      </c>
    </row>
    <row r="136" ht="28" customHeight="1">
      <c r="A136" s="7" t="inlineStr">
        <is>
          <t>Poz No</t>
        </is>
      </c>
      <c r="B136" s="7" t="inlineStr">
        <is>
          <t>Tanımı</t>
        </is>
      </c>
      <c r="C136" s="7" t="inlineStr">
        <is>
          <t>Birim</t>
        </is>
      </c>
      <c r="D136" s="7" t="inlineStr">
        <is>
          <t>Benzer</t>
        </is>
      </c>
      <c r="E136" s="7" t="inlineStr">
        <is>
          <t>Adet</t>
        </is>
      </c>
      <c r="F136" s="7" t="inlineStr">
        <is>
          <t>Boy (m)</t>
        </is>
      </c>
      <c r="G136" s="7" t="inlineStr">
        <is>
          <t>En (m)</t>
        </is>
      </c>
      <c r="H136" s="7" t="inlineStr">
        <is>
          <t>Demir çapı veya profil tipi</t>
        </is>
      </c>
      <c r="I136" s="7" t="inlineStr">
        <is>
          <t>Birim Ağırlık</t>
        </is>
      </c>
      <c r="J136" s="7" t="inlineStr">
        <is>
          <t>Toplam Ağırlık</t>
        </is>
      </c>
      <c r="K136" s="7" t="inlineStr">
        <is>
          <t>Genel Toplam</t>
        </is>
      </c>
    </row>
    <row r="137" ht="22" customHeight="1">
      <c r="A137" s="20" t="inlineStr">
        <is>
          <t>15.160.1003</t>
        </is>
      </c>
      <c r="B137" s="8" t="inlineStr">
        <is>
          <t>[M26]  Ø 8 - Ø 12 mm nervürlü beton çelik çubuğu, çubukların kesilmesi, bükülmesi ve yerine konulması</t>
        </is>
      </c>
      <c r="C137" s="19" t="inlineStr">
        <is>
          <t>ton</t>
        </is>
      </c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 ht="12" customHeight="1">
      <c r="A138" s="6" t="n"/>
      <c r="B138" s="23" t="inlineStr">
        <is>
          <t>Radye 3,00 x 3,00 x 0,30 m³; 100 kg/m³</t>
        </is>
      </c>
      <c r="C138" s="6" t="n"/>
      <c r="D138" s="28" t="n">
        <v>1</v>
      </c>
      <c r="E138" s="28" t="n">
        <v>1</v>
      </c>
      <c r="F138" s="29" t="n">
        <v>9</v>
      </c>
      <c r="G138" s="29" t="n">
        <v>0.3</v>
      </c>
      <c r="H138" s="36" t="inlineStr">
        <is>
          <t>ø8-12 nervürlü</t>
        </is>
      </c>
      <c r="I138" s="33" t="n">
        <v>0.1</v>
      </c>
      <c r="J138" s="34">
        <f>D138*E138*F138*G138*I138</f>
        <v/>
      </c>
      <c r="K138" s="6" t="n"/>
    </row>
    <row r="139" ht="12" customHeight="1">
      <c r="A139" s="6" t="n"/>
      <c r="B139" s="23" t="inlineStr">
        <is>
          <t>Perdeler 11,00 x 0,25 x 3,00 m³; 100 kg/m³</t>
        </is>
      </c>
      <c r="C139" s="6" t="n"/>
      <c r="D139" s="28" t="n">
        <v>1</v>
      </c>
      <c r="E139" s="28" t="n">
        <v>1</v>
      </c>
      <c r="F139" s="29" t="n">
        <v>2.75</v>
      </c>
      <c r="G139" s="29" t="n">
        <v>3</v>
      </c>
      <c r="H139" s="36" t="inlineStr">
        <is>
          <t>ø8-12 nervürlü</t>
        </is>
      </c>
      <c r="I139" s="33" t="n">
        <v>0.1</v>
      </c>
      <c r="J139" s="34">
        <f>D139*E139*F139*G139*I139</f>
        <v/>
      </c>
      <c r="K139" s="6" t="n"/>
    </row>
    <row r="140" ht="12" customHeight="1">
      <c r="A140" s="6" t="n"/>
      <c r="B140" s="23" t="inlineStr">
        <is>
          <t>Üst döşeme 3,00 x 3,00 x 0,15 m³; 100 kg/m³</t>
        </is>
      </c>
      <c r="C140" s="6" t="n"/>
      <c r="D140" s="28" t="n">
        <v>1</v>
      </c>
      <c r="E140" s="28" t="n">
        <v>1</v>
      </c>
      <c r="F140" s="29" t="n">
        <v>9</v>
      </c>
      <c r="G140" s="29" t="n">
        <v>0.15</v>
      </c>
      <c r="H140" s="36" t="inlineStr">
        <is>
          <t>ø8-12 nervürlü</t>
        </is>
      </c>
      <c r="I140" s="33" t="n">
        <v>0.1</v>
      </c>
      <c r="J140" s="34">
        <f>D140*E140*F140*G140*I140</f>
        <v/>
      </c>
      <c r="K140" s="6" t="n"/>
    </row>
    <row r="141">
      <c r="A141" s="22" t="n"/>
      <c r="B141" s="25" t="inlineStr">
        <is>
          <t>YD/M26 GENEL TOPLAM</t>
        </is>
      </c>
      <c r="C141" s="26" t="inlineStr">
        <is>
          <t>ton</t>
        </is>
      </c>
      <c r="D141" s="22" t="n"/>
      <c r="E141" s="22" t="n"/>
      <c r="F141" s="22" t="n"/>
      <c r="G141" s="22" t="n"/>
      <c r="H141" s="22" t="n"/>
      <c r="I141" s="22" t="n"/>
      <c r="J141" s="22" t="n"/>
      <c r="K141" s="35">
        <f>SUM(J138:J140)</f>
        <v/>
      </c>
    </row>
    <row r="143" ht="20" customHeight="1">
      <c r="A143" s="18" t="inlineStr">
        <is>
          <t>Yapı/Bina Adı: ÇEVRE DÜZENLEMESI VE SAHA ALTYAPISI</t>
        </is>
      </c>
    </row>
    <row r="144" ht="28" customHeight="1">
      <c r="A144" s="7" t="inlineStr">
        <is>
          <t>Poz No</t>
        </is>
      </c>
      <c r="B144" s="7" t="inlineStr">
        <is>
          <t>Tanımı</t>
        </is>
      </c>
      <c r="C144" s="7" t="inlineStr">
        <is>
          <t>Birim</t>
        </is>
      </c>
      <c r="D144" s="7" t="inlineStr">
        <is>
          <t>Benzer</t>
        </is>
      </c>
      <c r="E144" s="7" t="inlineStr">
        <is>
          <t>Adet</t>
        </is>
      </c>
      <c r="F144" s="7" t="inlineStr">
        <is>
          <t>Boy (m)</t>
        </is>
      </c>
      <c r="G144" s="7" t="inlineStr">
        <is>
          <t>En (m)</t>
        </is>
      </c>
      <c r="H144" s="7" t="inlineStr">
        <is>
          <t>Demir çapı veya profil tipi</t>
        </is>
      </c>
      <c r="I144" s="7" t="inlineStr">
        <is>
          <t>Birim Ağırlık</t>
        </is>
      </c>
      <c r="J144" s="7" t="inlineStr">
        <is>
          <t>Toplam Ağırlık</t>
        </is>
      </c>
      <c r="K144" s="7" t="inlineStr">
        <is>
          <t>Genel Toplam</t>
        </is>
      </c>
    </row>
    <row r="145" ht="22" customHeight="1">
      <c r="A145" s="20" t="inlineStr">
        <is>
          <t>15.160.1003</t>
        </is>
      </c>
      <c r="B145" s="8" t="inlineStr">
        <is>
          <t>[M61C]  Ø 8 - Ø 12 mm nervürlü beton çelik çubuğu, çubukların kesilmesi, bükülmesi ve yerine konulması</t>
        </is>
      </c>
      <c r="C145" s="19" t="inlineStr">
        <is>
          <t>ton</t>
        </is>
      </c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 ht="20" customHeight="1">
      <c r="A146" s="6" t="n"/>
      <c r="B146" s="23" t="inlineStr">
        <is>
          <t>Betonarme rögarlar — beton hacmi 1,566 m³, ortalama donatı oranı 90 kg/m³</t>
        </is>
      </c>
      <c r="C146" s="6" t="n"/>
      <c r="D146" s="28" t="n">
        <v>1</v>
      </c>
      <c r="E146" s="28" t="n">
        <v>1</v>
      </c>
      <c r="F146" s="29" t="n">
        <v>1.566</v>
      </c>
      <c r="G146" s="6" t="n"/>
      <c r="H146" s="36" t="inlineStr">
        <is>
          <t>ø8-12 nervürlü</t>
        </is>
      </c>
      <c r="I146" s="33" t="n">
        <v>0.09</v>
      </c>
      <c r="J146" s="34">
        <f>D146*E146*F146*I146</f>
        <v/>
      </c>
      <c r="K146" s="6" t="n"/>
    </row>
    <row r="147">
      <c r="A147" s="22" t="n"/>
      <c r="B147" s="25" t="inlineStr">
        <is>
          <t>SA/M61C GENEL TOPLAM</t>
        </is>
      </c>
      <c r="C147" s="26" t="inlineStr">
        <is>
          <t>ton</t>
        </is>
      </c>
      <c r="D147" s="22" t="n"/>
      <c r="E147" s="22" t="n"/>
      <c r="F147" s="22" t="n"/>
      <c r="G147" s="22" t="n"/>
      <c r="H147" s="22" t="n"/>
      <c r="I147" s="22" t="n"/>
      <c r="J147" s="22" t="n"/>
      <c r="K147" s="35">
        <f>SUM(J146:J146)</f>
        <v/>
      </c>
    </row>
    <row r="149">
      <c r="A149" s="16" t="inlineStr">
        <is>
          <t>AÇIKLAMALAR VE VARSAYIMLAR</t>
        </is>
      </c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1" t="n"/>
    </row>
    <row r="150" ht="13" customHeight="1">
      <c r="A150" s="17" t="inlineStr">
        <is>
          <t>•  SARI zeminli 'demir çapı veya profil tipi' hücreleri, proje toplamını tutturmak üzere yapılan dağıtımı gösterir.</t>
        </is>
      </c>
    </row>
    <row r="151" ht="33" customHeight="1">
      <c r="A151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52" ht="22" customHeight="1">
      <c r="A152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53" ht="13" customHeight="1">
      <c r="A153" s="17" t="inlineStr">
        <is>
          <t>•  Gübre çukuru ve müştemilat donatısı, projedeki METRAJ tablolarından ve eleman hacmi x birim donatı oranı (kg/m³) esasıyla hesaplanmıştır.</t>
        </is>
      </c>
    </row>
    <row r="154" ht="22" customHeight="1">
      <c r="A154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35:K135"/>
    <mergeCell ref="A149:K149"/>
    <mergeCell ref="A143:K143"/>
    <mergeCell ref="A3:K3"/>
    <mergeCell ref="A153:K153"/>
    <mergeCell ref="A154:K154"/>
    <mergeCell ref="A128:K128"/>
    <mergeCell ref="A2:K2"/>
    <mergeCell ref="A152:K152"/>
    <mergeCell ref="A52:K52"/>
    <mergeCell ref="A99:K99"/>
    <mergeCell ref="A117:K117"/>
    <mergeCell ref="A151:K151"/>
    <mergeCell ref="A5:K5"/>
    <mergeCell ref="A1:K1"/>
    <mergeCell ref="A150:K150"/>
    <mergeCell ref="A110:K1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2026-09-03T20:37:40Z</dcterms:created>
  <dcterms:modified xmlns:dcterms="http://purl.org/dc/terms/" xmlns:xsi="http://www.w3.org/2001/XMLSchema-instance" xsi:type="dcterms:W3CDTF">2026-09-03T20:37:41Z</dcterms:modified>
</cp:coreProperties>
</file>