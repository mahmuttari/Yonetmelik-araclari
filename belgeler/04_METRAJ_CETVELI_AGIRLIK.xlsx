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40" ht="20" customHeight="1">
      <c r="A40" s="18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0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19" t="inlineStr">
        <is>
          <t>ton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31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8" t="n">
        <v>1</v>
      </c>
      <c r="E43" s="28" t="n">
        <v>1428</v>
      </c>
      <c r="F43" s="29" t="n">
        <v>2.16</v>
      </c>
      <c r="G43" s="6" t="n"/>
      <c r="H43" s="32" t="inlineStr">
        <is>
          <t>ø8 nervürlü</t>
        </is>
      </c>
      <c r="I43" s="33" t="n">
        <v>0.000395</v>
      </c>
      <c r="J43" s="34">
        <f>D43*E43*F43*I43</f>
        <v/>
      </c>
      <c r="K43" s="6" t="n"/>
    </row>
    <row r="44" ht="20" customHeight="1">
      <c r="A44" s="6" t="n"/>
      <c r="B44" s="31" t="inlineStr">
        <is>
          <t>Şerit temel gövde ve montaj donatısı ø12 — aks başına 4 adet, 21 aks, aks boyu 13,55 m (blok başına)</t>
        </is>
      </c>
      <c r="C44" s="6" t="n"/>
      <c r="D44" s="28" t="n">
        <v>1</v>
      </c>
      <c r="E44" s="28" t="n">
        <v>84</v>
      </c>
      <c r="F44" s="29" t="n">
        <v>13.55</v>
      </c>
      <c r="G44" s="6" t="n"/>
      <c r="H44" s="32" t="inlineStr">
        <is>
          <t>ø12 nervürlü</t>
        </is>
      </c>
      <c r="I44" s="33" t="n">
        <v>0.000888</v>
      </c>
      <c r="J44" s="34">
        <f>D44*E44*F44*I44</f>
        <v/>
      </c>
      <c r="K44" s="6" t="n"/>
    </row>
    <row r="45" ht="30" customHeight="1">
      <c r="A45" s="6" t="n"/>
      <c r="B45" s="31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8" t="n">
        <v>1</v>
      </c>
      <c r="E45" s="28" t="n">
        <v>1572</v>
      </c>
      <c r="F45" s="29" t="n">
        <v>1.16</v>
      </c>
      <c r="G45" s="6" t="n"/>
      <c r="H45" s="32" t="inlineStr">
        <is>
          <t>ø8 nervürlü</t>
        </is>
      </c>
      <c r="I45" s="33" t="n">
        <v>0.000395</v>
      </c>
      <c r="J45" s="34">
        <f>D45*E45*F45*I45</f>
        <v/>
      </c>
      <c r="K45" s="6" t="n"/>
    </row>
    <row r="46" ht="20" customHeight="1">
      <c r="A46" s="6" t="n"/>
      <c r="B46" s="31" t="inlineStr">
        <is>
          <t>Kolon ankraj ve guse donatısı ø12 — 21 aks x 4 kolon = 84 adet, boy 2,50 m (blok başına)</t>
        </is>
      </c>
      <c r="C46" s="6" t="n"/>
      <c r="D46" s="28" t="n">
        <v>1</v>
      </c>
      <c r="E46" s="28" t="n">
        <v>84</v>
      </c>
      <c r="F46" s="29" t="n">
        <v>2.5</v>
      </c>
      <c r="G46" s="6" t="n"/>
      <c r="H46" s="32" t="inlineStr">
        <is>
          <t>ø12 nervürlü</t>
        </is>
      </c>
      <c r="I46" s="33" t="n">
        <v>0.000888</v>
      </c>
      <c r="J46" s="34">
        <f>D46*E46*F46*I46</f>
        <v/>
      </c>
      <c r="K46" s="6" t="n"/>
    </row>
    <row r="47" ht="30" customHeight="1">
      <c r="A47" s="6" t="n"/>
      <c r="B47" s="31" t="inlineStr">
        <is>
          <t>Montaj donatısı, çiroz, pilye ve bindirme payı — betonarme proje METRAJ tablosundaki blok başına 4.159,89 kg toplamını tamamlayan fark</t>
        </is>
      </c>
      <c r="C47" s="6" t="n"/>
      <c r="D47" s="28" t="n">
        <v>1</v>
      </c>
      <c r="E47" s="28" t="n">
        <v>1</v>
      </c>
      <c r="F47" s="6" t="n"/>
      <c r="G47" s="6" t="n"/>
      <c r="H47" s="32" t="inlineStr">
        <is>
          <t>ø8-12 nervürlü</t>
        </is>
      </c>
      <c r="I47" s="33" t="n">
        <v>1.0240284</v>
      </c>
      <c r="J47" s="34">
        <f>D47*E47*I47</f>
        <v/>
      </c>
      <c r="K47" s="6" t="n"/>
    </row>
    <row r="48">
      <c r="A48" s="22" t="n"/>
      <c r="B48" s="25" t="inlineStr">
        <is>
          <t>KB/M22 GENEL TOPLAM</t>
        </is>
      </c>
      <c r="C48" s="26" t="inlineStr">
        <is>
          <t>ton</t>
        </is>
      </c>
      <c r="D48" s="22" t="n"/>
      <c r="E48" s="22" t="n"/>
      <c r="F48" s="22" t="n"/>
      <c r="G48" s="22" t="n"/>
      <c r="H48" s="22" t="n"/>
      <c r="I48" s="22" t="n"/>
      <c r="J48" s="22" t="n"/>
      <c r="K48" s="35">
        <f>SUM(J43:J47)</f>
        <v/>
      </c>
    </row>
    <row r="49" ht="22" customHeight="1">
      <c r="A49" s="20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19" t="inlineStr">
        <is>
          <t>ton</t>
        </is>
      </c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 ht="30" customHeight="1">
      <c r="A50" s="6" t="n"/>
      <c r="B50" s="31" t="inlineStr">
        <is>
          <t>Şerit temel boyuna donatısı ø16 — aks başına 6 alt + 4 üst = 10 adet, 21 aks, aks boyu 13,55 m (blok başına)</t>
        </is>
      </c>
      <c r="C50" s="6" t="n"/>
      <c r="D50" s="28" t="n">
        <v>1</v>
      </c>
      <c r="E50" s="28" t="n">
        <v>210</v>
      </c>
      <c r="F50" s="29" t="n">
        <v>13.55</v>
      </c>
      <c r="G50" s="6" t="n"/>
      <c r="H50" s="32" t="inlineStr">
        <is>
          <t>ø16 nervürlü</t>
        </is>
      </c>
      <c r="I50" s="33" t="n">
        <v>0.00158</v>
      </c>
      <c r="J50" s="34">
        <f>D50*E50*F50*I50</f>
        <v/>
      </c>
      <c r="K50" s="6" t="n"/>
    </row>
    <row r="51" ht="20" customHeight="1">
      <c r="A51" s="6" t="n"/>
      <c r="B51" s="31" t="inlineStr">
        <is>
          <t>Bağ kirişi boyuna donatısı ø14 — hat başına 3 alt + 3 üst = 6 adet, 4 hat, hat boyu 78.55 m (blok başına)</t>
        </is>
      </c>
      <c r="C51" s="6" t="n"/>
      <c r="D51" s="28" t="n">
        <v>1</v>
      </c>
      <c r="E51" s="28" t="n">
        <v>24</v>
      </c>
      <c r="F51" s="29" t="n">
        <v>78.55</v>
      </c>
      <c r="G51" s="6" t="n"/>
      <c r="H51" s="32" t="inlineStr">
        <is>
          <t>ø14 nervürlü</t>
        </is>
      </c>
      <c r="I51" s="33" t="n">
        <v>0.00121</v>
      </c>
      <c r="J51" s="34">
        <f>D51*E51*F51*I51</f>
        <v/>
      </c>
      <c r="K51" s="6" t="n"/>
    </row>
    <row r="52" ht="30" customHeight="1">
      <c r="A52" s="6" t="n"/>
      <c r="B52" s="31" t="inlineStr">
        <is>
          <t>Bindirme, filiz ve gönye payı — betonarme proje METRAJ tablosundaki blok başına 7.287,50 kg toplamını tamamlayan fark</t>
        </is>
      </c>
      <c r="C52" s="6" t="n"/>
      <c r="D52" s="28" t="n">
        <v>1</v>
      </c>
      <c r="E52" s="28" t="n">
        <v>1</v>
      </c>
      <c r="F52" s="6" t="n"/>
      <c r="G52" s="6" t="n"/>
      <c r="H52" s="32" t="inlineStr">
        <is>
          <t>ø14-28 nervürlü</t>
        </is>
      </c>
      <c r="I52" s="33" t="n">
        <v>0.510518</v>
      </c>
      <c r="J52" s="34">
        <f>D52*E52*I52</f>
        <v/>
      </c>
      <c r="K52" s="6" t="n"/>
    </row>
    <row r="53">
      <c r="A53" s="22" t="n"/>
      <c r="B53" s="25" t="inlineStr">
        <is>
          <t>KB/M23 GENEL TOPLAM</t>
        </is>
      </c>
      <c r="C53" s="26" t="inlineStr">
        <is>
          <t>ton</t>
        </is>
      </c>
      <c r="D53" s="22" t="n"/>
      <c r="E53" s="22" t="n"/>
      <c r="F53" s="22" t="n"/>
      <c r="G53" s="22" t="n"/>
      <c r="H53" s="22" t="n"/>
      <c r="I53" s="22" t="n"/>
      <c r="J53" s="22" t="n"/>
      <c r="K53" s="35">
        <f>SUM(J50:J52)</f>
        <v/>
      </c>
    </row>
    <row r="54" ht="15" customHeight="1">
      <c r="A54" s="20" t="inlineStr">
        <is>
          <t>15.160.1002</t>
        </is>
      </c>
      <c r="B54" s="8" t="inlineStr">
        <is>
          <t>[M27]  Nervürlü çelik hasırın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23" t="inlineStr">
        <is>
          <t>Kümes zemin döşemesi 78.00 x 13,90 (servis bölümü hariç); Q188 hasır = 3,05 kg/m², %10 bindirme payı ile 3,355 kg/m² (blok başına)</t>
        </is>
      </c>
      <c r="C55" s="6" t="n"/>
      <c r="D55" s="28" t="n">
        <v>1</v>
      </c>
      <c r="E55" s="28" t="n">
        <v>1</v>
      </c>
      <c r="F55" s="29" t="n">
        <v>78</v>
      </c>
      <c r="G55" s="29" t="n">
        <v>13.9</v>
      </c>
      <c r="H55" s="36" t="inlineStr">
        <is>
          <t>Q188 çelik hasır</t>
        </is>
      </c>
      <c r="I55" s="33" t="n">
        <v>0.003355</v>
      </c>
      <c r="J55" s="34">
        <f>D55*E55*F55*G55*I55</f>
        <v/>
      </c>
      <c r="K55" s="6" t="n"/>
    </row>
    <row r="56">
      <c r="A56" s="22" t="n"/>
      <c r="B56" s="25" t="inlineStr">
        <is>
          <t>KB/M27 GENEL TOPLAM</t>
        </is>
      </c>
      <c r="C56" s="26" t="inlineStr">
        <is>
          <t>ton</t>
        </is>
      </c>
      <c r="D56" s="22" t="n"/>
      <c r="E56" s="22" t="n"/>
      <c r="F56" s="22" t="n"/>
      <c r="G56" s="22" t="n"/>
      <c r="H56" s="22" t="n"/>
      <c r="I56" s="22" t="n"/>
      <c r="J56" s="22" t="n"/>
      <c r="K56" s="35">
        <f>SUM(J55:J55)</f>
        <v/>
      </c>
    </row>
    <row r="57" ht="22" customHeight="1">
      <c r="A57" s="20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19" t="inlineStr">
        <is>
          <t>ton</t>
        </is>
      </c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 ht="20" customHeight="1">
      <c r="A58" s="6" t="n"/>
      <c r="B58" s="23" t="inlineStr">
        <is>
          <t>KLN dış kolonlar — 21 çerçeve x 2 adet, boy 2,84 m (kolon üstü kotu +2,84)</t>
        </is>
      </c>
      <c r="C58" s="6" t="n"/>
      <c r="D58" s="28" t="n">
        <v>21</v>
      </c>
      <c r="E58" s="28" t="n">
        <v>2</v>
      </c>
      <c r="F58" s="29" t="n">
        <v>2.84</v>
      </c>
      <c r="G58" s="6" t="n"/>
      <c r="H58" s="36" t="inlineStr">
        <is>
          <t>SHS 150x150x6</t>
        </is>
      </c>
      <c r="I58" s="33" t="n">
        <v>0.02689</v>
      </c>
      <c r="J58" s="34">
        <f>D58*E58*F58*I58</f>
        <v/>
      </c>
      <c r="K58" s="6" t="n"/>
    </row>
    <row r="59" ht="20" customHeight="1">
      <c r="A59" s="6" t="n"/>
      <c r="B59" s="23" t="inlineStr">
        <is>
          <t>KLN iç kolonlar — 21 çerçeve x 2 adet, ortalama boy 3,68 m (eğik kiriş altında)</t>
        </is>
      </c>
      <c r="C59" s="6" t="n"/>
      <c r="D59" s="28" t="n">
        <v>21</v>
      </c>
      <c r="E59" s="28" t="n">
        <v>2</v>
      </c>
      <c r="F59" s="29" t="n">
        <v>3.6755</v>
      </c>
      <c r="G59" s="6" t="n"/>
      <c r="H59" s="36" t="inlineStr">
        <is>
          <t>SHS 150x150x6</t>
        </is>
      </c>
      <c r="I59" s="33" t="n">
        <v>0.02689</v>
      </c>
      <c r="J59" s="34">
        <f>D59*E59*F59*I59</f>
        <v/>
      </c>
      <c r="K59" s="6" t="n"/>
    </row>
    <row r="60" ht="20" customHeight="1">
      <c r="A60" s="6" t="n"/>
      <c r="B60" s="23" t="inlineStr">
        <is>
          <t>AKR ana kirişler — 21 çerçeve x 2 adet, eğik boy 6,94 m (yarım açıklık 6,775 / kot farkı 1,50)</t>
        </is>
      </c>
      <c r="C60" s="6" t="n"/>
      <c r="D60" s="28" t="n">
        <v>21</v>
      </c>
      <c r="E60" s="28" t="n">
        <v>2</v>
      </c>
      <c r="F60" s="29" t="n">
        <v>6.939</v>
      </c>
      <c r="G60" s="6" t="n"/>
      <c r="H60" s="36" t="inlineStr">
        <is>
          <t>SHS 150x150x6</t>
        </is>
      </c>
      <c r="I60" s="33" t="n">
        <v>0.02689</v>
      </c>
      <c r="J60" s="34">
        <f>D60*E60*F60*I60</f>
        <v/>
      </c>
      <c r="K60" s="6" t="n"/>
    </row>
    <row r="61" ht="20" customHeight="1">
      <c r="A61" s="6" t="n"/>
      <c r="B61" s="23" t="inlineStr">
        <is>
          <t>SKR boyuna kirişler — 2 saçak + 1 mahya hattı, boy 79,00 m</t>
        </is>
      </c>
      <c r="C61" s="6" t="n"/>
      <c r="D61" s="28" t="n">
        <v>3</v>
      </c>
      <c r="E61" s="28" t="n">
        <v>1</v>
      </c>
      <c r="F61" s="29" t="n">
        <v>79</v>
      </c>
      <c r="G61" s="6" t="n"/>
      <c r="H61" s="36" t="inlineStr">
        <is>
          <t>SHS 150x150x6</t>
        </is>
      </c>
      <c r="I61" s="33" t="n">
        <v>0.02689</v>
      </c>
      <c r="J61" s="34">
        <f>D61*E61*F61*I61</f>
        <v/>
      </c>
      <c r="K61" s="6" t="n"/>
    </row>
    <row r="62" ht="20" customHeight="1">
      <c r="A62" s="6" t="n"/>
      <c r="B62" s="23" t="inlineStr">
        <is>
          <t>CAS çatı aşıkları — kesitte sayılan 16 hat, boy 79,80 m (saçak payı dâhil)</t>
        </is>
      </c>
      <c r="C62" s="6" t="n"/>
      <c r="D62" s="28" t="n">
        <v>16</v>
      </c>
      <c r="E62" s="28" t="n">
        <v>1</v>
      </c>
      <c r="F62" s="29" t="n">
        <v>79.8</v>
      </c>
      <c r="G62" s="6" t="n"/>
      <c r="H62" s="36" t="inlineStr">
        <is>
          <t>RHS 100x50x3</t>
        </is>
      </c>
      <c r="I62" s="33" t="n">
        <v>0.00672</v>
      </c>
      <c r="J62" s="34">
        <f>D62*E62*F62*I62</f>
        <v/>
      </c>
      <c r="K62" s="6" t="n"/>
    </row>
    <row r="63" ht="20" customHeight="1">
      <c r="A63" s="6" t="n"/>
      <c r="B63" s="23" t="inlineStr">
        <is>
          <t>YAS uzun cephe kuşakları — 4 seviye x 2 cephe, boy 79,00 m</t>
        </is>
      </c>
      <c r="C63" s="6" t="n"/>
      <c r="D63" s="28" t="n">
        <v>8</v>
      </c>
      <c r="E63" s="28" t="n">
        <v>1</v>
      </c>
      <c r="F63" s="29" t="n">
        <v>79</v>
      </c>
      <c r="G63" s="6" t="n"/>
      <c r="H63" s="36" t="inlineStr">
        <is>
          <t>RHS 100x50x3</t>
        </is>
      </c>
      <c r="I63" s="33" t="n">
        <v>0.00672</v>
      </c>
      <c r="J63" s="34">
        <f>D63*E63*F63*I63</f>
        <v/>
      </c>
      <c r="K63" s="6" t="n"/>
    </row>
    <row r="64" ht="20" customHeight="1">
      <c r="A64" s="6" t="n"/>
      <c r="B64" s="23" t="inlineStr">
        <is>
          <t>YAS alınlık kuşakları — 4 seviye x 2 alınlık, boy 13,55 m</t>
        </is>
      </c>
      <c r="C64" s="6" t="n"/>
      <c r="D64" s="28" t="n">
        <v>8</v>
      </c>
      <c r="E64" s="28" t="n">
        <v>1</v>
      </c>
      <c r="F64" s="29" t="n">
        <v>13.55</v>
      </c>
      <c r="G64" s="6" t="n"/>
      <c r="H64" s="36" t="inlineStr">
        <is>
          <t>RHS 100x50x3</t>
        </is>
      </c>
      <c r="I64" s="33" t="n">
        <v>0.00672</v>
      </c>
      <c r="J64" s="34">
        <f>D64*E64*F64*I64</f>
        <v/>
      </c>
      <c r="K64" s="6" t="n"/>
    </row>
    <row r="65" ht="20" customHeight="1">
      <c r="A65" s="6" t="n"/>
      <c r="B65" s="23" t="inlineStr">
        <is>
          <t>KS iç kuşaklar — 21 çerçeve x 2 adet, orta açıklık 6,00 m</t>
        </is>
      </c>
      <c r="C65" s="6" t="n"/>
      <c r="D65" s="28" t="n">
        <v>21</v>
      </c>
      <c r="E65" s="28" t="n">
        <v>2</v>
      </c>
      <c r="F65" s="29" t="n">
        <v>6</v>
      </c>
      <c r="G65" s="6" t="n"/>
      <c r="H65" s="36" t="inlineStr">
        <is>
          <t>RHS 100x50x3</t>
        </is>
      </c>
      <c r="I65" s="33" t="n">
        <v>0.00672</v>
      </c>
      <c r="J65" s="34">
        <f>D65*E65*F65*I65</f>
        <v/>
      </c>
      <c r="K65" s="6" t="n"/>
    </row>
    <row r="66" ht="20" customHeight="1">
      <c r="A66" s="6" t="n"/>
      <c r="B66" s="23" t="inlineStr">
        <is>
          <t>CCPR ve YCPR çatı ve cephe çaprazları — toplam 270,00 m</t>
        </is>
      </c>
      <c r="C66" s="6" t="n"/>
      <c r="D66" s="28" t="n">
        <v>1</v>
      </c>
      <c r="E66" s="28" t="n">
        <v>1</v>
      </c>
      <c r="F66" s="29" t="n">
        <v>270</v>
      </c>
      <c r="G66" s="6" t="n"/>
      <c r="H66" s="36" t="inlineStr">
        <is>
          <t>SHS 100x100x4</t>
        </is>
      </c>
      <c r="I66" s="33" t="n">
        <v>0.01195</v>
      </c>
      <c r="J66" s="34">
        <f>D66*E66*F66*I66</f>
        <v/>
      </c>
      <c r="K66" s="6" t="n"/>
    </row>
    <row r="67" ht="20" customHeight="1">
      <c r="A67" s="6" t="n"/>
      <c r="B67" s="31" t="inlineStr">
        <is>
          <t>Gusse, alın levhası, taban plakası ve bulonlar — profil ağırlığının %10'u</t>
        </is>
      </c>
      <c r="C67" s="6" t="n"/>
      <c r="D67" s="28" t="n">
        <v>1</v>
      </c>
      <c r="E67" s="28" t="n">
        <v>1</v>
      </c>
      <c r="F67" s="6" t="n"/>
      <c r="G67" s="6" t="n"/>
      <c r="H67" s="32" t="inlineStr">
        <is>
          <t>Levha ve bulon</t>
        </is>
      </c>
      <c r="I67" s="33" t="n">
        <v>4.00439689</v>
      </c>
      <c r="J67" s="34">
        <f>D67*E67*I67</f>
        <v/>
      </c>
      <c r="K67" s="6" t="n"/>
    </row>
    <row r="68">
      <c r="A68" s="22" t="n"/>
      <c r="B68" s="25" t="inlineStr">
        <is>
          <t>KB/M31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SUM(J58:J67)</f>
        <v/>
      </c>
    </row>
    <row r="69" ht="22" customHeight="1">
      <c r="A69" s="20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19" t="inlineStr">
        <is>
          <t>kg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12" customHeight="1">
      <c r="A70" s="6" t="n"/>
      <c r="B70" s="23" t="inlineStr">
        <is>
          <t>Mahya kapama profili — blok başına, boy 79,80 m</t>
        </is>
      </c>
      <c r="C70" s="6" t="n"/>
      <c r="D70" s="28" t="n">
        <v>1</v>
      </c>
      <c r="E70" s="28" t="n">
        <v>1</v>
      </c>
      <c r="F70" s="29" t="n">
        <v>79.8</v>
      </c>
      <c r="G70" s="6" t="n"/>
      <c r="H70" s="36" t="inlineStr">
        <is>
          <t>50x5 lama</t>
        </is>
      </c>
      <c r="I70" s="33" t="n">
        <v>2.5</v>
      </c>
      <c r="J70" s="34">
        <f>D70*E70*F70*I70</f>
        <v/>
      </c>
      <c r="K70" s="6" t="n"/>
    </row>
    <row r="71" ht="20" customHeight="1">
      <c r="A71" s="6" t="n"/>
      <c r="B71" s="23" t="inlineStr">
        <is>
          <t>Saçak kapama profili — blok başına 2 kenar, 2 kenar; boy 79,80 m</t>
        </is>
      </c>
      <c r="C71" s="6" t="n"/>
      <c r="D71" s="28" t="n">
        <v>2</v>
      </c>
      <c r="E71" s="28" t="n">
        <v>1</v>
      </c>
      <c r="F71" s="29" t="n">
        <v>79.8</v>
      </c>
      <c r="G71" s="6" t="n"/>
      <c r="H71" s="36" t="inlineStr">
        <is>
          <t>50x5 lama</t>
        </is>
      </c>
      <c r="I71" s="33" t="n">
        <v>2.5</v>
      </c>
      <c r="J71" s="34">
        <f>D71*E71*F71*I71</f>
        <v/>
      </c>
      <c r="K71" s="6" t="n"/>
    </row>
    <row r="72" ht="20" customHeight="1">
      <c r="A72" s="6" t="n"/>
      <c r="B72" s="23" t="inlineStr">
        <is>
          <t>Alınlık eğim kapamaları — alınlık başına 2 eğim, 2 alınlık, 2 blok = 8; eğik boy 7,55 m</t>
        </is>
      </c>
      <c r="C72" s="6" t="n"/>
      <c r="D72" s="28" t="n">
        <v>4</v>
      </c>
      <c r="E72" s="28" t="n">
        <v>1</v>
      </c>
      <c r="F72" s="29" t="n">
        <v>7.55</v>
      </c>
      <c r="G72" s="6" t="n"/>
      <c r="H72" s="36" t="inlineStr">
        <is>
          <t>50x5 lama</t>
        </is>
      </c>
      <c r="I72" s="33" t="n">
        <v>2.5</v>
      </c>
      <c r="J72" s="34">
        <f>D72*E72*F72*I72</f>
        <v/>
      </c>
      <c r="K72" s="6" t="n"/>
    </row>
    <row r="73">
      <c r="A73" s="22" t="n"/>
      <c r="B73" s="25" t="inlineStr">
        <is>
          <t>KB/M34 GENEL TOPLAM</t>
        </is>
      </c>
      <c r="C73" s="26" t="inlineStr">
        <is>
          <t>kg</t>
        </is>
      </c>
      <c r="D73" s="22" t="n"/>
      <c r="E73" s="22" t="n"/>
      <c r="F73" s="22" t="n"/>
      <c r="G73" s="22" t="n"/>
      <c r="H73" s="22" t="n"/>
      <c r="I73" s="22" t="n"/>
      <c r="J73" s="22" t="n"/>
      <c r="K73" s="35">
        <f>SUM(J70:J72)</f>
        <v/>
      </c>
    </row>
    <row r="75" ht="20" customHeight="1">
      <c r="A75" s="18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0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19" t="inlineStr">
        <is>
          <t>ton</t>
        </is>
      </c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 ht="20" customHeight="1">
      <c r="A78" s="6" t="n"/>
      <c r="B78" s="23" t="inlineStr">
        <is>
          <t>Radye temel 11.50 x 10.00 x 0,40 m; birim donatı oranı 110 kg/m³</t>
        </is>
      </c>
      <c r="C78" s="6" t="n"/>
      <c r="D78" s="28" t="n">
        <v>1</v>
      </c>
      <c r="E78" s="28" t="n">
        <v>1</v>
      </c>
      <c r="F78" s="29" t="n">
        <v>115</v>
      </c>
      <c r="G78" s="29" t="n">
        <v>0.4</v>
      </c>
      <c r="H78" s="36" t="inlineStr">
        <is>
          <t>ø8-12 nervürlü</t>
        </is>
      </c>
      <c r="I78" s="33" t="n">
        <v>0.11</v>
      </c>
      <c r="J78" s="34">
        <f>D78*E78*F78*G78*I78</f>
        <v/>
      </c>
      <c r="K78" s="6" t="n"/>
    </row>
    <row r="79" ht="20" customHeight="1">
      <c r="A79" s="6" t="n"/>
      <c r="B79" s="23" t="inlineStr">
        <is>
          <t>Üst döşeme donatısı — proje METRAJ tablosu 577,60 kg, alan oranı (1.000000) ile ölçeklenmiş</t>
        </is>
      </c>
      <c r="C79" s="6" t="n"/>
      <c r="D79" s="28" t="n">
        <v>1</v>
      </c>
      <c r="E79" s="28" t="n">
        <v>1</v>
      </c>
      <c r="F79" s="6" t="n"/>
      <c r="G79" s="6" t="n"/>
      <c r="H79" s="36" t="inlineStr">
        <is>
          <t>ø8-12 nervürlü</t>
        </is>
      </c>
      <c r="I79" s="33" t="n">
        <v>0.5776</v>
      </c>
      <c r="J79" s="34">
        <f>D79*E79*I79</f>
        <v/>
      </c>
      <c r="K79" s="6" t="n"/>
    </row>
    <row r="80" ht="20" customHeight="1">
      <c r="A80" s="6" t="n"/>
      <c r="B80" s="23" t="inlineStr">
        <is>
          <t>Perde ve kolon donatısı — proje METRAJ tablosu 1.961,69 kg, alan oranı ile ölçeklenmiş</t>
        </is>
      </c>
      <c r="C80" s="6" t="n"/>
      <c r="D80" s="28" t="n">
        <v>1</v>
      </c>
      <c r="E80" s="28" t="n">
        <v>1</v>
      </c>
      <c r="F80" s="6" t="n"/>
      <c r="G80" s="6" t="n"/>
      <c r="H80" s="36" t="inlineStr">
        <is>
          <t>ø8-12 nervürlü</t>
        </is>
      </c>
      <c r="I80" s="33" t="n">
        <v>1.96169</v>
      </c>
      <c r="J80" s="34">
        <f>D80*E80*I80</f>
        <v/>
      </c>
      <c r="K80" s="6" t="n"/>
    </row>
    <row r="81">
      <c r="A81" s="22" t="n"/>
      <c r="B81" s="25" t="inlineStr">
        <is>
          <t>GC/M24 GENEL TOPLAM</t>
        </is>
      </c>
      <c r="C81" s="26" t="inlineStr">
        <is>
          <t>ton</t>
        </is>
      </c>
      <c r="D81" s="22" t="n"/>
      <c r="E81" s="22" t="n"/>
      <c r="F81" s="22" t="n"/>
      <c r="G81" s="22" t="n"/>
      <c r="H81" s="22" t="n"/>
      <c r="I81" s="22" t="n"/>
      <c r="J81" s="22" t="n"/>
      <c r="K81" s="35">
        <f>SUM(J78:J80)</f>
        <v/>
      </c>
    </row>
    <row r="82" ht="22" customHeight="1">
      <c r="A82" s="20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19" t="inlineStr">
        <is>
          <t>ton</t>
        </is>
      </c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 ht="20" customHeight="1">
      <c r="A83" s="6" t="n"/>
      <c r="B83" s="23" t="inlineStr">
        <is>
          <t>Gübre çukuru kalın donatı — proje METRAJ tablosu 564,10 kg, alan oranı (1.000000) ile ölçeklenmiş</t>
        </is>
      </c>
      <c r="C83" s="6" t="n"/>
      <c r="D83" s="28" t="n">
        <v>1</v>
      </c>
      <c r="E83" s="28" t="n">
        <v>1</v>
      </c>
      <c r="F83" s="6" t="n"/>
      <c r="G83" s="6" t="n"/>
      <c r="H83" s="36" t="inlineStr">
        <is>
          <t>ø14-28 nervürlü</t>
        </is>
      </c>
      <c r="I83" s="33" t="n">
        <v>0.5641</v>
      </c>
      <c r="J83" s="34">
        <f>D83*E83*I83</f>
        <v/>
      </c>
      <c r="K83" s="6" t="n"/>
    </row>
    <row r="84">
      <c r="A84" s="22" t="n"/>
      <c r="B84" s="25" t="inlineStr">
        <is>
          <t>GC/M25 GENEL TOPLAM</t>
        </is>
      </c>
      <c r="C84" s="26" t="inlineStr">
        <is>
          <t>ton</t>
        </is>
      </c>
      <c r="D84" s="22" t="n"/>
      <c r="E84" s="22" t="n"/>
      <c r="F84" s="22" t="n"/>
      <c r="G84" s="22" t="n"/>
      <c r="H84" s="22" t="n"/>
      <c r="I84" s="22" t="n"/>
      <c r="J84" s="22" t="n"/>
      <c r="K84" s="35">
        <f>SUM(J83:J83)</f>
        <v/>
      </c>
    </row>
    <row r="86" ht="20" customHeight="1">
      <c r="A86" s="18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0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19" t="inlineStr">
        <is>
          <t>ton</t>
        </is>
      </c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 ht="20" customHeight="1">
      <c r="A89" s="6" t="n"/>
      <c r="B89" s="23" t="inlineStr">
        <is>
          <t>Radye ve üst döşeme — proje metrajı 335,40 + 46,70 = 382,10 kg</t>
        </is>
      </c>
      <c r="C89" s="6" t="n"/>
      <c r="D89" s="28" t="n">
        <v>1</v>
      </c>
      <c r="E89" s="28" t="n">
        <v>1</v>
      </c>
      <c r="F89" s="6" t="n"/>
      <c r="G89" s="6" t="n"/>
      <c r="H89" s="36" t="inlineStr">
        <is>
          <t>ø8-12 nervürlü</t>
        </is>
      </c>
      <c r="I89" s="33" t="n">
        <v>0.3821</v>
      </c>
      <c r="J89" s="34">
        <f>D89*E89*I89</f>
        <v/>
      </c>
      <c r="K89" s="6" t="n"/>
    </row>
    <row r="90" ht="12" customHeight="1">
      <c r="A90" s="6" t="n"/>
      <c r="B90" s="23" t="inlineStr">
        <is>
          <t>Perdeler 17,00 x 0,25 x 3,00 m³; 100 kg/m³</t>
        </is>
      </c>
      <c r="C90" s="6" t="n"/>
      <c r="D90" s="28" t="n">
        <v>1</v>
      </c>
      <c r="E90" s="28" t="n">
        <v>1</v>
      </c>
      <c r="F90" s="29" t="n">
        <v>4.25</v>
      </c>
      <c r="G90" s="29" t="n">
        <v>3</v>
      </c>
      <c r="H90" s="36" t="inlineStr">
        <is>
          <t>ø8-12 nervürlü</t>
        </is>
      </c>
      <c r="I90" s="33" t="n">
        <v>0.1</v>
      </c>
      <c r="J90" s="34">
        <f>D90*E90*F90*G90*I90</f>
        <v/>
      </c>
      <c r="K90" s="6" t="n"/>
    </row>
    <row r="91">
      <c r="A91" s="22" t="n"/>
      <c r="B91" s="25" t="inlineStr">
        <is>
          <t>OC/M26 GENEL TOPLAM</t>
        </is>
      </c>
      <c r="C91" s="26" t="inlineStr">
        <is>
          <t>ton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SUM(J89:J90)</f>
        <v/>
      </c>
    </row>
    <row r="93" ht="20" customHeight="1">
      <c r="A93" s="18" t="inlineStr">
        <is>
          <t>Yapı/Bina Adı: YEM SILOSU BETONARME KAIDELERI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0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19" t="inlineStr">
        <is>
          <t>ton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12" customHeight="1">
      <c r="A96" s="6" t="n"/>
      <c r="B96" s="23" t="inlineStr">
        <is>
          <t>Kaideler 2,90 x 2,90 x 0,50 m³, 2 adet; 90 kg/m³</t>
        </is>
      </c>
      <c r="C96" s="6" t="n"/>
      <c r="D96" s="28" t="n">
        <v>2</v>
      </c>
      <c r="E96" s="28" t="n">
        <v>1</v>
      </c>
      <c r="F96" s="29" t="n">
        <v>8.41</v>
      </c>
      <c r="G96" s="29" t="n">
        <v>0.5</v>
      </c>
      <c r="H96" s="36" t="inlineStr">
        <is>
          <t>ø8-12 nervürlü</t>
        </is>
      </c>
      <c r="I96" s="33" t="n">
        <v>0.09</v>
      </c>
      <c r="J96" s="34">
        <f>D96*E96*F96*G96*I96</f>
        <v/>
      </c>
      <c r="K96" s="6" t="n"/>
    </row>
    <row r="97">
      <c r="A97" s="22" t="n"/>
      <c r="B97" s="25" t="inlineStr">
        <is>
          <t>SL/M26 GENEL TOPLAM</t>
        </is>
      </c>
      <c r="C97" s="26" t="inlineStr">
        <is>
          <t>ton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SU DEPOSU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[M26]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ve üst döşeme — proje metrajı 223,70 + 32,90 = 256,60 kg</t>
        </is>
      </c>
      <c r="C102" s="6" t="n"/>
      <c r="D102" s="28" t="n">
        <v>1</v>
      </c>
      <c r="E102" s="28" t="n">
        <v>1</v>
      </c>
      <c r="F102" s="6" t="n"/>
      <c r="G102" s="6" t="n"/>
      <c r="H102" s="36" t="inlineStr">
        <is>
          <t>ø8-12 nervürlü</t>
        </is>
      </c>
      <c r="I102" s="33" t="n">
        <v>0.2566</v>
      </c>
      <c r="J102" s="34">
        <f>D102*E102*I102</f>
        <v/>
      </c>
      <c r="K102" s="6" t="n"/>
    </row>
    <row r="103" ht="12" customHeight="1">
      <c r="A103" s="6" t="n"/>
      <c r="B103" s="23" t="inlineStr">
        <is>
          <t>Perdeler 13,00 x 0,25 x 3,00 m³; 100 kg/m³</t>
        </is>
      </c>
      <c r="C103" s="6" t="n"/>
      <c r="D103" s="28" t="n">
        <v>1</v>
      </c>
      <c r="E103" s="28" t="n">
        <v>1</v>
      </c>
      <c r="F103" s="29" t="n">
        <v>3.25</v>
      </c>
      <c r="G103" s="29" t="n">
        <v>3</v>
      </c>
      <c r="H103" s="36" t="inlineStr">
        <is>
          <t>ø8-12 nervürlü</t>
        </is>
      </c>
      <c r="I103" s="33" t="n">
        <v>0.1</v>
      </c>
      <c r="J103" s="34">
        <f>D103*E103*F103*G103*I103</f>
        <v/>
      </c>
      <c r="K103" s="6" t="n"/>
    </row>
    <row r="104">
      <c r="A104" s="22" t="n"/>
      <c r="B104" s="25" t="inlineStr">
        <is>
          <t>SD/M26 GENEL TOPLAM</t>
        </is>
      </c>
      <c r="C104" s="26" t="inlineStr">
        <is>
          <t>ton</t>
        </is>
      </c>
      <c r="D104" s="22" t="n"/>
      <c r="E104" s="22" t="n"/>
      <c r="F104" s="22" t="n"/>
      <c r="G104" s="22" t="n"/>
      <c r="H104" s="22" t="n"/>
      <c r="I104" s="22" t="n"/>
      <c r="J104" s="22" t="n"/>
      <c r="K104" s="35">
        <f>SUM(J102:J103)</f>
        <v/>
      </c>
    </row>
    <row r="106">
      <c r="A106" s="16" t="inlineStr">
        <is>
          <t>AÇIKLAMALAR VE VARSAYIMLAR</t>
        </is>
      </c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39" t="n"/>
      <c r="K106" s="40" t="n"/>
    </row>
    <row r="107" ht="13" customHeight="1">
      <c r="A107" s="17" t="inlineStr">
        <is>
          <t>•  SARI zeminli 'demir çapı veya profil tipi' hücreleri, proje toplamını tutturmak üzere yapılan dağıtımı gösterir.</t>
        </is>
      </c>
    </row>
    <row r="108" ht="33" customHeight="1">
      <c r="A108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09" ht="22" customHeight="1">
      <c r="A109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0" ht="13" customHeight="1">
      <c r="A110" s="17" t="inlineStr">
        <is>
          <t>•  Gübre çukuru ve müştemilat donatısı, projedeki METRAJ tablolarından ve eleman hacmi x birim donatı oranı (kg/m³) esasıyla hesaplanmıştır.</t>
        </is>
      </c>
    </row>
    <row r="111" ht="22" customHeight="1">
      <c r="A111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5">
    <mergeCell ref="A3:K3"/>
    <mergeCell ref="A86:K86"/>
    <mergeCell ref="A109:K109"/>
    <mergeCell ref="A2:K2"/>
    <mergeCell ref="A107:K107"/>
    <mergeCell ref="A99:K99"/>
    <mergeCell ref="A93:K93"/>
    <mergeCell ref="A108:K108"/>
    <mergeCell ref="A5:K5"/>
    <mergeCell ref="A75:K75"/>
    <mergeCell ref="A1:K1"/>
    <mergeCell ref="A40:K40"/>
    <mergeCell ref="A110:K110"/>
    <mergeCell ref="A111:K111"/>
    <mergeCell ref="A106:K10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2026-08-31T06:02:26Z</dcterms:created>
  <dcterms:modified xmlns:dcterms="http://purl.org/dc/terms/" xmlns:xsi="http://www.w3.org/2001/XMLSchema-instance" xsi:type="dcterms:W3CDTF">2026-08-31T06:02:27Z</dcterms:modified>
</cp:coreProperties>
</file>