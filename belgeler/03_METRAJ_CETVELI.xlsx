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22" customHeight="1">
      <c r="A405" s="19" t="n">
        <v>3</v>
      </c>
      <c r="B405" s="20" t="inlineStr">
        <is>
          <t>ÖP-15</t>
        </is>
      </c>
      <c r="C405" s="8" t="inlineStr">
        <is>
          <t>[M62]  Prefabrik polietilen sızdırmaz foseptik tankı — 6 m³, temini, yerine konulması ve bağlantıları</t>
        </is>
      </c>
      <c r="D405" s="21" t="inlineStr">
        <is>
          <t>ad</t>
        </is>
      </c>
      <c r="E405" s="22" t="n"/>
      <c r="F405" s="22" t="n"/>
      <c r="G405" s="22" t="n"/>
      <c r="H405" s="22" t="n"/>
      <c r="I405" s="22" t="n"/>
      <c r="J405" s="22" t="n"/>
    </row>
    <row r="406" ht="20" customHeight="1">
      <c r="A406" s="6" t="n"/>
      <c r="B406" s="6" t="n"/>
      <c r="C406" s="23" t="inlineStr">
        <is>
          <t>Foseptik — betonarme gövdenin iç hacmi 1.50x1.50x2.50 = 5.62 m³; en yakın standart tank 6 m³</t>
        </is>
      </c>
      <c r="D406" s="6" t="n"/>
      <c r="E406" s="28" t="n">
        <v>1</v>
      </c>
      <c r="F406" s="6" t="n"/>
      <c r="G406" s="6" t="n"/>
      <c r="H406" s="6" t="n"/>
      <c r="I406" s="24">
        <f>E406</f>
        <v/>
      </c>
      <c r="J406" s="6" t="n"/>
    </row>
    <row r="407">
      <c r="A407" s="22" t="n"/>
      <c r="B407" s="22" t="n"/>
      <c r="C407" s="25" t="inlineStr">
        <is>
          <t>M62 TOPLAMI</t>
        </is>
      </c>
      <c r="D407" s="26" t="inlineStr">
        <is>
          <t>ad</t>
        </is>
      </c>
      <c r="E407" s="22" t="n"/>
      <c r="F407" s="22" t="n"/>
      <c r="G407" s="22" t="n"/>
      <c r="H407" s="22" t="n"/>
      <c r="I407" s="22" t="n"/>
      <c r="J407" s="27">
        <f>SUM(I406:I406)</f>
        <v/>
      </c>
    </row>
    <row r="409" ht="20" customHeight="1">
      <c r="A409" s="18" t="inlineStr">
        <is>
          <t>Yapı/Bina Adı: YEM SILOSU BETONARME KAIDELERI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19" t="n">
        <v>1</v>
      </c>
      <c r="B411" s="20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1" t="inlineStr">
        <is>
          <t>m³</t>
        </is>
      </c>
      <c r="E411" s="22" t="n"/>
      <c r="F411" s="22" t="n"/>
      <c r="G411" s="22" t="n"/>
      <c r="H411" s="22" t="n"/>
      <c r="I411" s="22" t="n"/>
      <c r="J411" s="22" t="n"/>
    </row>
    <row r="412" ht="20" customHeight="1">
      <c r="A412" s="6" t="n"/>
      <c r="B412" s="6" t="n"/>
      <c r="C412" s="23" t="inlineStr">
        <is>
          <t>Silo kaideleri: 2.90x2.90 kaide; 1,00 m çalışma payı -&gt; 4.90x4.90; derinlik 1,00 m</t>
        </is>
      </c>
      <c r="D412" s="6" t="n"/>
      <c r="E412" s="28" t="n">
        <v>2</v>
      </c>
      <c r="F412" s="29" t="n">
        <v>4.9</v>
      </c>
      <c r="G412" s="29" t="n">
        <v>4.9</v>
      </c>
      <c r="H412" s="29" t="n">
        <v>1</v>
      </c>
      <c r="I412" s="24">
        <f>E412*F412*G412*H412</f>
        <v/>
      </c>
      <c r="J412" s="6" t="n"/>
    </row>
    <row r="413">
      <c r="A413" s="22" t="n"/>
      <c r="B413" s="22" t="n"/>
      <c r="C413" s="25" t="inlineStr">
        <is>
          <t>M05 TOPLAMI</t>
        </is>
      </c>
      <c r="D413" s="26" t="inlineStr">
        <is>
          <t>m³</t>
        </is>
      </c>
      <c r="E413" s="22" t="n"/>
      <c r="F413" s="22" t="n"/>
      <c r="G413" s="22" t="n"/>
      <c r="H413" s="22" t="n"/>
      <c r="I413" s="22" t="n"/>
      <c r="J413" s="27">
        <f>SUM(I412:I412)</f>
        <v/>
      </c>
    </row>
    <row r="414" ht="22" customHeight="1">
      <c r="A414" s="19" t="n">
        <v>2</v>
      </c>
      <c r="B414" s="20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1" t="inlineStr">
        <is>
          <t>m³</t>
        </is>
      </c>
      <c r="E414" s="22" t="n"/>
      <c r="F414" s="22" t="n"/>
      <c r="G414" s="22" t="n"/>
      <c r="H414" s="22" t="n"/>
      <c r="I414" s="22" t="n"/>
      <c r="J414" s="22" t="n"/>
    </row>
    <row r="415" ht="12" customHeight="1">
      <c r="A415" s="6" t="n"/>
      <c r="B415" s="6" t="n"/>
      <c r="C415" s="23" t="inlineStr">
        <is>
          <t>Silo kaideleri (2.90x2.90 + 0,10 taşma), 2 adet</t>
        </is>
      </c>
      <c r="D415" s="6" t="n"/>
      <c r="E415" s="28" t="n">
        <v>2</v>
      </c>
      <c r="F415" s="29" t="n">
        <v>3.1</v>
      </c>
      <c r="G415" s="29" t="n">
        <v>3.1</v>
      </c>
      <c r="H415" s="29" t="n">
        <v>0.1</v>
      </c>
      <c r="I415" s="24">
        <f>E415*F415*G415*H415</f>
        <v/>
      </c>
      <c r="J415" s="6" t="n"/>
    </row>
    <row r="416">
      <c r="A416" s="22" t="n"/>
      <c r="B416" s="22" t="n"/>
      <c r="C416" s="25" t="inlineStr">
        <is>
          <t>M11 TOPLAMI</t>
        </is>
      </c>
      <c r="D416" s="26" t="inlineStr">
        <is>
          <t>m³</t>
        </is>
      </c>
      <c r="E416" s="22" t="n"/>
      <c r="F416" s="22" t="n"/>
      <c r="G416" s="22" t="n"/>
      <c r="H416" s="22" t="n"/>
      <c r="I416" s="22" t="n"/>
      <c r="J416" s="27">
        <f>SUM(I415:I415)</f>
        <v/>
      </c>
    </row>
    <row r="417" ht="15" customHeight="1">
      <c r="A417" s="19" t="n">
        <v>3</v>
      </c>
      <c r="B417" s="20" t="inlineStr">
        <is>
          <t>15.150.1005</t>
        </is>
      </c>
      <c r="C417" s="8" t="inlineStr">
        <is>
          <t>[M17]  C 25/30 hazır beton dökülmesi — silo kaideleri</t>
        </is>
      </c>
      <c r="D417" s="21" t="inlineStr">
        <is>
          <t>m³</t>
        </is>
      </c>
      <c r="E417" s="22" t="n"/>
      <c r="F417" s="22" t="n"/>
      <c r="G417" s="22" t="n"/>
      <c r="H417" s="22" t="n"/>
      <c r="I417" s="22" t="n"/>
      <c r="J417" s="22" t="n"/>
    </row>
    <row r="418" ht="12" customHeight="1">
      <c r="A418" s="6" t="n"/>
      <c r="B418" s="6" t="n"/>
      <c r="C418" s="23" t="inlineStr">
        <is>
          <t>Silo betonarme kaidesi (2 adet)</t>
        </is>
      </c>
      <c r="D418" s="6" t="n"/>
      <c r="E418" s="28" t="n">
        <v>2</v>
      </c>
      <c r="F418" s="29" t="n">
        <v>2.9</v>
      </c>
      <c r="G418" s="29" t="n">
        <v>2.9</v>
      </c>
      <c r="H418" s="29" t="n">
        <v>0.5</v>
      </c>
      <c r="I418" s="24">
        <f>E418*F418*G418*H418</f>
        <v/>
      </c>
      <c r="J418" s="6" t="n"/>
    </row>
    <row r="419">
      <c r="A419" s="22" t="n"/>
      <c r="B419" s="22" t="n"/>
      <c r="C419" s="25" t="inlineStr">
        <is>
          <t>M17 TOPLAMI</t>
        </is>
      </c>
      <c r="D419" s="26" t="inlineStr">
        <is>
          <t>m³</t>
        </is>
      </c>
      <c r="E419" s="22" t="n"/>
      <c r="F419" s="22" t="n"/>
      <c r="G419" s="22" t="n"/>
      <c r="H419" s="22" t="n"/>
      <c r="I419" s="22" t="n"/>
      <c r="J419" s="27">
        <f>SUM(I418:I418)</f>
        <v/>
      </c>
    </row>
    <row r="420" ht="15" customHeight="1">
      <c r="A420" s="19" t="n">
        <v>4</v>
      </c>
      <c r="B420" s="20" t="inlineStr">
        <is>
          <t>15.180.1003</t>
        </is>
      </c>
      <c r="C420" s="8" t="inlineStr">
        <is>
          <t>[M21]  Plywood ile düz yüzeyli betonarme kalıbı — silo kaideleri</t>
        </is>
      </c>
      <c r="D420" s="21" t="inlineStr">
        <is>
          <t>m²</t>
        </is>
      </c>
      <c r="E420" s="22" t="n"/>
      <c r="F420" s="22" t="n"/>
      <c r="G420" s="22" t="n"/>
      <c r="H420" s="22" t="n"/>
      <c r="I420" s="22" t="n"/>
      <c r="J420" s="22" t="n"/>
    </row>
    <row r="421" ht="20" customHeight="1">
      <c r="A421" s="6" t="n"/>
      <c r="B421" s="6" t="n"/>
      <c r="C421" s="23" t="inlineStr">
        <is>
          <t>Silo kaidesi yan yüzleri: 4 yüz x 2 adet, boy 2.90, yükseklik 0.50</t>
        </is>
      </c>
      <c r="D421" s="6" t="n"/>
      <c r="E421" s="28" t="n">
        <v>8</v>
      </c>
      <c r="F421" s="6" t="n"/>
      <c r="G421" s="29" t="n">
        <v>2.9</v>
      </c>
      <c r="H421" s="29" t="n">
        <v>0.5</v>
      </c>
      <c r="I421" s="24">
        <f>E421*G421*H421</f>
        <v/>
      </c>
      <c r="J421" s="6" t="n"/>
    </row>
    <row r="422">
      <c r="A422" s="22" t="n"/>
      <c r="B422" s="22" t="n"/>
      <c r="C422" s="25" t="inlineStr">
        <is>
          <t>M21 TOPLAMI</t>
        </is>
      </c>
      <c r="D422" s="26" t="inlineStr">
        <is>
          <t>m²</t>
        </is>
      </c>
      <c r="E422" s="22" t="n"/>
      <c r="F422" s="22" t="n"/>
      <c r="G422" s="22" t="n"/>
      <c r="H422" s="22" t="n"/>
      <c r="I422" s="22" t="n"/>
      <c r="J422" s="27">
        <f>SUM(I421:I421)</f>
        <v/>
      </c>
    </row>
    <row r="423" ht="22" customHeight="1">
      <c r="A423" s="19" t="n">
        <v>5</v>
      </c>
      <c r="B423" s="20" t="inlineStr">
        <is>
          <t>15.160.1003</t>
        </is>
      </c>
      <c r="C423" s="8" t="inlineStr">
        <is>
          <t>[M26]  Ø8-Ø12 nervürlü beton çelik çubuğu — çukur, depo ve silo kaideleri</t>
        </is>
      </c>
      <c r="D423" s="21" t="inlineStr">
        <is>
          <t>ton</t>
        </is>
      </c>
      <c r="E423" s="22" t="n"/>
      <c r="F423" s="22" t="n"/>
      <c r="G423" s="22" t="n"/>
      <c r="H423" s="22" t="n"/>
      <c r="I423" s="22" t="n"/>
      <c r="J423" s="22" t="n"/>
    </row>
    <row r="424" ht="12" customHeight="1">
      <c r="A424" s="6" t="n"/>
      <c r="B424" s="6" t="n"/>
      <c r="C424" s="23" t="inlineStr">
        <is>
          <t>Silo kaideleri: 2.90x2.90x0.50 m³ x 2, 90 kg/m³</t>
        </is>
      </c>
      <c r="D424" s="6" t="n"/>
      <c r="E424" s="28" t="n">
        <v>2</v>
      </c>
      <c r="F424" s="29" t="n">
        <v>2.9</v>
      </c>
      <c r="G424" s="29" t="n">
        <v>2.9</v>
      </c>
      <c r="H424" s="29" t="n">
        <v>0.5</v>
      </c>
      <c r="I424" s="24">
        <f>E424*F424*G424*H424*J424</f>
        <v/>
      </c>
      <c r="J424" s="30" t="n">
        <v>0.09</v>
      </c>
    </row>
    <row r="425">
      <c r="A425" s="22" t="n"/>
      <c r="B425" s="22" t="n"/>
      <c r="C425" s="25" t="inlineStr">
        <is>
          <t>M26 TOPLAMI</t>
        </is>
      </c>
      <c r="D425" s="26" t="inlineStr">
        <is>
          <t>ton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7" ht="20" customHeight="1">
      <c r="A427" s="18" t="inlineStr">
        <is>
          <t>Yapı/Bina Adı: SU DEPOSU</t>
        </is>
      </c>
    </row>
    <row r="428" ht="28" customHeight="1">
      <c r="A428" s="7" t="inlineStr">
        <is>
          <t>No</t>
        </is>
      </c>
      <c r="B428" s="7" t="inlineStr">
        <is>
          <t>Poz No</t>
        </is>
      </c>
      <c r="C428" s="7" t="inlineStr">
        <is>
          <t>Tanımı / Ölçünün Alındığı Yer</t>
        </is>
      </c>
      <c r="D428" s="7" t="inlineStr">
        <is>
          <t>Birimi</t>
        </is>
      </c>
      <c r="E428" s="7" t="inlineStr">
        <is>
          <t>Adet</t>
        </is>
      </c>
      <c r="F428" s="7" t="inlineStr">
        <is>
          <t>En (m)</t>
        </is>
      </c>
      <c r="G428" s="7" t="inlineStr">
        <is>
          <t>Boy (m)</t>
        </is>
      </c>
      <c r="H428" s="7" t="inlineStr">
        <is>
          <t>Yükseklik (m)</t>
        </is>
      </c>
      <c r="I428" s="7" t="inlineStr">
        <is>
          <t>Miktar</t>
        </is>
      </c>
      <c r="J428" s="7" t="inlineStr">
        <is>
          <t>Toplam Miktar</t>
        </is>
      </c>
    </row>
    <row r="429" ht="22" customHeight="1">
      <c r="A429" s="19" t="n">
        <v>1</v>
      </c>
      <c r="B429" s="20" t="inlineStr">
        <is>
          <t>15.120.1101</t>
        </is>
      </c>
      <c r="C429" s="8" t="inlineStr">
        <is>
          <t>[M05]  Makine ile dar ve derin sandık kazı — ölü atma çukuru, depolar,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20" customHeight="1">
      <c r="A430" s="6" t="n"/>
      <c r="B430" s="6" t="n"/>
      <c r="C430" s="23" t="inlineStr">
        <is>
          <t>Su deposu: dış 4.00x3.00; 1,00 m çalışma payı -&gt; 6.00x5.00; derinlik 3.55 m</t>
        </is>
      </c>
      <c r="D430" s="6" t="n"/>
      <c r="E430" s="28" t="n">
        <v>1</v>
      </c>
      <c r="F430" s="29" t="n">
        <v>5</v>
      </c>
      <c r="G430" s="29" t="n">
        <v>6</v>
      </c>
      <c r="H430" s="29" t="n">
        <v>3.55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M05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2</v>
      </c>
      <c r="B432" s="20" t="inlineStr">
        <is>
          <t>15.150.1003</t>
        </is>
      </c>
      <c r="C432" s="8" t="inlineStr">
        <is>
          <t>[M11]  C 16/20 hazır beton dökülmesi — çukur, depo, foseptik ve silo kaideleri altı grobeton</t>
        </is>
      </c>
      <c r="D432" s="21" t="inlineStr">
        <is>
          <t>m³</t>
        </is>
      </c>
      <c r="E432" s="22" t="n"/>
      <c r="F432" s="22" t="n"/>
      <c r="G432" s="22" t="n"/>
      <c r="H432" s="22" t="n"/>
      <c r="I432" s="22" t="n"/>
      <c r="J432" s="22" t="n"/>
    </row>
    <row r="433" ht="12" customHeight="1">
      <c r="A433" s="6" t="n"/>
      <c r="B433" s="6" t="n"/>
      <c r="C433" s="23" t="inlineStr">
        <is>
          <t>Su deposu (4.00x3.00 + 0,10 taşma)</t>
        </is>
      </c>
      <c r="D433" s="6" t="n"/>
      <c r="E433" s="28" t="n">
        <v>1</v>
      </c>
      <c r="F433" s="29" t="n">
        <v>3.2</v>
      </c>
      <c r="G433" s="29" t="n">
        <v>4.2</v>
      </c>
      <c r="H433" s="29" t="n">
        <v>0.1</v>
      </c>
      <c r="I433" s="24">
        <f>E433*F433*G433*H433</f>
        <v/>
      </c>
      <c r="J433" s="6" t="n"/>
    </row>
    <row r="434">
      <c r="A434" s="22" t="n"/>
      <c r="B434" s="22" t="n"/>
      <c r="C434" s="25" t="inlineStr">
        <is>
          <t>M11 TOPLAMI</t>
        </is>
      </c>
      <c r="D434" s="26" t="inlineStr">
        <is>
          <t>m³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3</v>
      </c>
      <c r="B435" s="20" t="inlineStr">
        <is>
          <t>15.150.1005</t>
        </is>
      </c>
      <c r="C435" s="8" t="inlineStr">
        <is>
          <t>[M16]  C 25/30 hazır beton dökülmesi — ölü atma çukuru, su ve yağmur suyu depoları</t>
        </is>
      </c>
      <c r="D435" s="21" t="inlineStr">
        <is>
          <t>m³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Su deposu radye 30 cm (dış 4.00x3.00)</t>
        </is>
      </c>
      <c r="D436" s="6" t="n"/>
      <c r="E436" s="28" t="n">
        <v>1</v>
      </c>
      <c r="F436" s="29" t="n">
        <v>3</v>
      </c>
      <c r="G436" s="29" t="n">
        <v>4</v>
      </c>
      <c r="H436" s="29" t="n">
        <v>0.3</v>
      </c>
      <c r="I436" s="24">
        <f>E436*F436*G436*H436</f>
        <v/>
      </c>
      <c r="J436" s="6" t="n"/>
    </row>
    <row r="437" ht="12" customHeight="1">
      <c r="A437" s="6" t="n"/>
      <c r="B437" s="6" t="n"/>
      <c r="C437" s="23" t="inlineStr">
        <is>
          <t>Su deposu perdeleri: orta çevre 2x(3.75+2.75) = 13.00 m</t>
        </is>
      </c>
      <c r="D437" s="6" t="n"/>
      <c r="E437" s="28" t="n">
        <v>1</v>
      </c>
      <c r="F437" s="29" t="n">
        <v>0.25</v>
      </c>
      <c r="G437" s="29" t="n">
        <v>13</v>
      </c>
      <c r="H437" s="29" t="n">
        <v>3</v>
      </c>
      <c r="I437" s="24">
        <f>E437*F437*G437*H437</f>
        <v/>
      </c>
      <c r="J437" s="6" t="n"/>
    </row>
    <row r="438" ht="12" customHeight="1">
      <c r="A438" s="6" t="n"/>
      <c r="B438" s="6" t="n"/>
      <c r="C438" s="23" t="inlineStr">
        <is>
          <t>Su deposu üst döşemesi 15 cm</t>
        </is>
      </c>
      <c r="D438" s="6" t="n"/>
      <c r="E438" s="28" t="n">
        <v>1</v>
      </c>
      <c r="F438" s="29" t="n">
        <v>3</v>
      </c>
      <c r="G438" s="29" t="n">
        <v>4</v>
      </c>
      <c r="H438" s="29" t="n">
        <v>0.15</v>
      </c>
      <c r="I438" s="24">
        <f>E438*F438*G438*H438</f>
        <v/>
      </c>
      <c r="J438" s="6" t="n"/>
    </row>
    <row r="439">
      <c r="A439" s="22" t="n"/>
      <c r="B439" s="22" t="n"/>
      <c r="C439" s="25" t="inlineStr">
        <is>
          <t>M16 TOPLAMI</t>
        </is>
      </c>
      <c r="D439" s="26" t="inlineStr">
        <is>
          <t>m³</t>
        </is>
      </c>
      <c r="E439" s="22" t="n"/>
      <c r="F439" s="22" t="n"/>
      <c r="G439" s="22" t="n"/>
      <c r="H439" s="22" t="n"/>
      <c r="I439" s="22" t="n"/>
      <c r="J439" s="27">
        <f>SUM(I436:I438)</f>
        <v/>
      </c>
    </row>
    <row r="440" ht="15" customHeight="1">
      <c r="A440" s="19" t="n">
        <v>4</v>
      </c>
      <c r="B440" s="20" t="inlineStr">
        <is>
          <t>15.180.1003</t>
        </is>
      </c>
      <c r="C440" s="8" t="inlineStr">
        <is>
          <t>[M20]  Plywood ile düz yüzeyli betonarme kalıbı — çukur ve depolar</t>
        </is>
      </c>
      <c r="D440" s="21" t="inlineStr">
        <is>
          <t>m²</t>
        </is>
      </c>
      <c r="E440" s="22" t="n"/>
      <c r="F440" s="22" t="n"/>
      <c r="G440" s="22" t="n"/>
      <c r="H440" s="22" t="n"/>
      <c r="I440" s="22" t="n"/>
      <c r="J440" s="22" t="n"/>
    </row>
    <row r="441" ht="12" customHeight="1">
      <c r="A441" s="6" t="n"/>
      <c r="B441" s="6" t="n"/>
      <c r="C441" s="23" t="inlineStr">
        <is>
          <t>Su deposu radye çevresi 2x(4.00+3.00) = 14.00 m x 0,40</t>
        </is>
      </c>
      <c r="D441" s="6" t="n"/>
      <c r="E441" s="28" t="n">
        <v>1</v>
      </c>
      <c r="F441" s="6" t="n"/>
      <c r="G441" s="29" t="n">
        <v>14</v>
      </c>
      <c r="H441" s="29" t="n">
        <v>0.4</v>
      </c>
      <c r="I441" s="24">
        <f>E441*G441*H441</f>
        <v/>
      </c>
      <c r="J441" s="6" t="n"/>
    </row>
    <row r="442" ht="12" customHeight="1">
      <c r="A442" s="6" t="n"/>
      <c r="B442" s="6" t="n"/>
      <c r="C442" s="23" t="inlineStr">
        <is>
          <t>Su deposu perde iki yüz (13.00 m x 3.00 m)</t>
        </is>
      </c>
      <c r="D442" s="6" t="n"/>
      <c r="E442" s="28" t="n">
        <v>2</v>
      </c>
      <c r="F442" s="6" t="n"/>
      <c r="G442" s="29" t="n">
        <v>13</v>
      </c>
      <c r="H442" s="29" t="n">
        <v>3</v>
      </c>
      <c r="I442" s="24">
        <f>E442*G442*H442</f>
        <v/>
      </c>
      <c r="J442" s="6" t="n"/>
    </row>
    <row r="443" ht="12" customHeight="1">
      <c r="A443" s="6" t="n"/>
      <c r="B443" s="6" t="n"/>
      <c r="C443" s="23" t="inlineStr">
        <is>
          <t>Su deposu tavan kalıbı</t>
        </is>
      </c>
      <c r="D443" s="6" t="n"/>
      <c r="E443" s="28" t="n">
        <v>1</v>
      </c>
      <c r="F443" s="29" t="n">
        <v>3</v>
      </c>
      <c r="G443" s="29" t="n">
        <v>4</v>
      </c>
      <c r="H443" s="6" t="n"/>
      <c r="I443" s="24">
        <f>E443*F443*G443</f>
        <v/>
      </c>
      <c r="J443" s="6" t="n"/>
    </row>
    <row r="444">
      <c r="A444" s="22" t="n"/>
      <c r="B444" s="22" t="n"/>
      <c r="C444" s="25" t="inlineStr">
        <is>
          <t>M20 TOPLAMI</t>
        </is>
      </c>
      <c r="D444" s="26" t="inlineStr">
        <is>
          <t>m²</t>
        </is>
      </c>
      <c r="E444" s="22" t="n"/>
      <c r="F444" s="22" t="n"/>
      <c r="G444" s="22" t="n"/>
      <c r="H444" s="22" t="n"/>
      <c r="I444" s="22" t="n"/>
      <c r="J444" s="27">
        <f>SUM(I441:I443)</f>
        <v/>
      </c>
    </row>
    <row r="445" ht="22" customHeight="1">
      <c r="A445" s="19" t="n">
        <v>5</v>
      </c>
      <c r="B445" s="20" t="inlineStr">
        <is>
          <t>15.160.1003</t>
        </is>
      </c>
      <c r="C445" s="8" t="inlineStr">
        <is>
          <t>[M26]  Ø8-Ø12 nervürlü beton çelik çubuğu — çukur, depo ve silo kaideleri</t>
        </is>
      </c>
      <c r="D445" s="21" t="inlineStr">
        <is>
          <t>ton</t>
        </is>
      </c>
      <c r="E445" s="22" t="n"/>
      <c r="F445" s="22" t="n"/>
      <c r="G445" s="22" t="n"/>
      <c r="H445" s="22" t="n"/>
      <c r="I445" s="22" t="n"/>
      <c r="J445" s="22" t="n"/>
    </row>
    <row r="446" ht="20" customHeight="1">
      <c r="A446" s="6" t="n"/>
      <c r="B446" s="6" t="n"/>
      <c r="C446" s="23" t="inlineStr">
        <is>
          <t>Su deposu radye ve döşeme — proje metrajı 223,70+32,90 = 256,60 kg</t>
        </is>
      </c>
      <c r="D446" s="6" t="n"/>
      <c r="E446" s="28" t="n">
        <v>1</v>
      </c>
      <c r="F446" s="6" t="n"/>
      <c r="G446" s="6" t="n"/>
      <c r="H446" s="6" t="n"/>
      <c r="I446" s="24">
        <f>E446*J446</f>
        <v/>
      </c>
      <c r="J446" s="30" t="n">
        <v>0.2566</v>
      </c>
    </row>
    <row r="447" ht="12" customHeight="1">
      <c r="A447" s="6" t="n"/>
      <c r="B447" s="6" t="n"/>
      <c r="C447" s="23" t="inlineStr">
        <is>
          <t>Su deposu perdeleri: 13.00x0,25x3.00 m³, 100 kg/m³</t>
        </is>
      </c>
      <c r="D447" s="6" t="n"/>
      <c r="E447" s="28" t="n">
        <v>1</v>
      </c>
      <c r="F447" s="29" t="n">
        <v>0.25</v>
      </c>
      <c r="G447" s="29" t="n">
        <v>13</v>
      </c>
      <c r="H447" s="29" t="n">
        <v>3</v>
      </c>
      <c r="I447" s="24">
        <f>E447*F447*G447*H447*J447</f>
        <v/>
      </c>
      <c r="J447" s="30" t="n">
        <v>0.1</v>
      </c>
    </row>
    <row r="448">
      <c r="A448" s="22" t="n"/>
      <c r="B448" s="22" t="n"/>
      <c r="C448" s="25" t="inlineStr">
        <is>
          <t>M26 TOPLAMI</t>
        </is>
      </c>
      <c r="D448" s="26" t="inlineStr">
        <is>
          <t>ton</t>
        </is>
      </c>
      <c r="E448" s="22" t="n"/>
      <c r="F448" s="22" t="n"/>
      <c r="G448" s="22" t="n"/>
      <c r="H448" s="22" t="n"/>
      <c r="I448" s="22" t="n"/>
      <c r="J448" s="27">
        <f>SUM(I446:I447)</f>
        <v/>
      </c>
    </row>
    <row r="450" ht="20" customHeight="1">
      <c r="A450" s="18" t="inlineStr">
        <is>
          <t>Yapı/Bina Adı: YAĞMUR SUYU DEPOSU</t>
        </is>
      </c>
    </row>
    <row r="451" ht="28" customHeight="1">
      <c r="A451" s="7" t="inlineStr">
        <is>
          <t>No</t>
        </is>
      </c>
      <c r="B451" s="7" t="inlineStr">
        <is>
          <t>Poz No</t>
        </is>
      </c>
      <c r="C451" s="7" t="inlineStr">
        <is>
          <t>Tanımı / Ölçünün Alındığı Yer</t>
        </is>
      </c>
      <c r="D451" s="7" t="inlineStr">
        <is>
          <t>Birimi</t>
        </is>
      </c>
      <c r="E451" s="7" t="inlineStr">
        <is>
          <t>Adet</t>
        </is>
      </c>
      <c r="F451" s="7" t="inlineStr">
        <is>
          <t>En (m)</t>
        </is>
      </c>
      <c r="G451" s="7" t="inlineStr">
        <is>
          <t>Boy (m)</t>
        </is>
      </c>
      <c r="H451" s="7" t="inlineStr">
        <is>
          <t>Yükseklik (m)</t>
        </is>
      </c>
      <c r="I451" s="7" t="inlineStr">
        <is>
          <t>Miktar</t>
        </is>
      </c>
      <c r="J451" s="7" t="inlineStr">
        <is>
          <t>Toplam Miktar</t>
        </is>
      </c>
    </row>
    <row r="452" ht="22" customHeight="1">
      <c r="A452" s="19" t="n">
        <v>1</v>
      </c>
      <c r="B452" s="20" t="inlineStr">
        <is>
          <t>15.120.1101</t>
        </is>
      </c>
      <c r="C452" s="8" t="inlineStr">
        <is>
          <t>[M05]  Makine ile dar ve derin sandık kazı — ölü atma çukuru, depolar, foseptik ve silo kaideleri</t>
        </is>
      </c>
      <c r="D452" s="21" t="inlineStr">
        <is>
          <t>m³</t>
        </is>
      </c>
      <c r="E452" s="22" t="n"/>
      <c r="F452" s="22" t="n"/>
      <c r="G452" s="22" t="n"/>
      <c r="H452" s="22" t="n"/>
      <c r="I452" s="22" t="n"/>
      <c r="J452" s="22" t="n"/>
    </row>
    <row r="453" ht="20" customHeight="1">
      <c r="A453" s="6" t="n"/>
      <c r="B453" s="6" t="n"/>
      <c r="C453" s="23" t="inlineStr">
        <is>
          <t>Yağmur suyu deposu: dış 3.00x3.00; 1,00 m çalışma payı -&gt; 5.00x5.00; derinlik 3.55 m</t>
        </is>
      </c>
      <c r="D453" s="6" t="n"/>
      <c r="E453" s="28" t="n">
        <v>1</v>
      </c>
      <c r="F453" s="29" t="n">
        <v>5</v>
      </c>
      <c r="G453" s="29" t="n">
        <v>5</v>
      </c>
      <c r="H453" s="29" t="n">
        <v>3.55</v>
      </c>
      <c r="I453" s="24">
        <f>E453*F453*G453*H453</f>
        <v/>
      </c>
      <c r="J453" s="6" t="n"/>
    </row>
    <row r="454">
      <c r="A454" s="22" t="n"/>
      <c r="B454" s="22" t="n"/>
      <c r="C454" s="25" t="inlineStr">
        <is>
          <t>M05 TOPLAMI</t>
        </is>
      </c>
      <c r="D454" s="26" t="inlineStr">
        <is>
          <t>m³</t>
        </is>
      </c>
      <c r="E454" s="22" t="n"/>
      <c r="F454" s="22" t="n"/>
      <c r="G454" s="22" t="n"/>
      <c r="H454" s="22" t="n"/>
      <c r="I454" s="22" t="n"/>
      <c r="J454" s="27">
        <f>SUM(I453:I453)</f>
        <v/>
      </c>
    </row>
    <row r="455" ht="22" customHeight="1">
      <c r="A455" s="19" t="n">
        <v>2</v>
      </c>
      <c r="B455" s="20" t="inlineStr">
        <is>
          <t>15.150.1003</t>
        </is>
      </c>
      <c r="C455" s="8" t="inlineStr">
        <is>
          <t>[M11]  C 16/20 hazır beton dökülmesi — çukur, depo, foseptik ve silo kaideleri altı grobeton</t>
        </is>
      </c>
      <c r="D455" s="21" t="inlineStr">
        <is>
          <t>m³</t>
        </is>
      </c>
      <c r="E455" s="22" t="n"/>
      <c r="F455" s="22" t="n"/>
      <c r="G455" s="22" t="n"/>
      <c r="H455" s="22" t="n"/>
      <c r="I455" s="22" t="n"/>
      <c r="J455" s="22" t="n"/>
    </row>
    <row r="456" ht="12" customHeight="1">
      <c r="A456" s="6" t="n"/>
      <c r="B456" s="6" t="n"/>
      <c r="C456" s="23" t="inlineStr">
        <is>
          <t>Yağmur suyu deposu (3.00x3.00 + 0,10 taşma)</t>
        </is>
      </c>
      <c r="D456" s="6" t="n"/>
      <c r="E456" s="28" t="n">
        <v>1</v>
      </c>
      <c r="F456" s="29" t="n">
        <v>3.2</v>
      </c>
      <c r="G456" s="29" t="n">
        <v>3.2</v>
      </c>
      <c r="H456" s="29" t="n">
        <v>0.1</v>
      </c>
      <c r="I456" s="24">
        <f>E456*F456*G456*H456</f>
        <v/>
      </c>
      <c r="J456" s="6" t="n"/>
    </row>
    <row r="457">
      <c r="A457" s="22" t="n"/>
      <c r="B457" s="22" t="n"/>
      <c r="C457" s="25" t="inlineStr">
        <is>
          <t>M11 TOPLAMI</t>
        </is>
      </c>
      <c r="D457" s="26" t="inlineStr">
        <is>
          <t>m³</t>
        </is>
      </c>
      <c r="E457" s="22" t="n"/>
      <c r="F457" s="22" t="n"/>
      <c r="G457" s="22" t="n"/>
      <c r="H457" s="22" t="n"/>
      <c r="I457" s="22" t="n"/>
      <c r="J457" s="27">
        <f>SUM(I456:I456)</f>
        <v/>
      </c>
    </row>
    <row r="458" ht="22" customHeight="1">
      <c r="A458" s="19" t="n">
        <v>3</v>
      </c>
      <c r="B458" s="20" t="inlineStr">
        <is>
          <t>15.150.1005</t>
        </is>
      </c>
      <c r="C458" s="8" t="inlineStr">
        <is>
          <t>[M16]  C 25/30 hazır beton dökülmesi — ölü atma çukuru, su ve yağmur suyu depoları</t>
        </is>
      </c>
      <c r="D458" s="21" t="inlineStr">
        <is>
          <t>m³</t>
        </is>
      </c>
      <c r="E458" s="22" t="n"/>
      <c r="F458" s="22" t="n"/>
      <c r="G458" s="22" t="n"/>
      <c r="H458" s="22" t="n"/>
      <c r="I458" s="22" t="n"/>
      <c r="J458" s="22" t="n"/>
    </row>
    <row r="459" ht="12" customHeight="1">
      <c r="A459" s="6" t="n"/>
      <c r="B459" s="6" t="n"/>
      <c r="C459" s="23" t="inlineStr">
        <is>
          <t>Yağmur suyu deposu radye 30 cm (dış 3.00x3.00)</t>
        </is>
      </c>
      <c r="D459" s="6" t="n"/>
      <c r="E459" s="28" t="n">
        <v>1</v>
      </c>
      <c r="F459" s="29" t="n">
        <v>3</v>
      </c>
      <c r="G459" s="29" t="n">
        <v>3</v>
      </c>
      <c r="H459" s="29" t="n">
        <v>0.3</v>
      </c>
      <c r="I459" s="24">
        <f>E459*F459*G459*H459</f>
        <v/>
      </c>
      <c r="J459" s="6" t="n"/>
    </row>
    <row r="460" ht="20" customHeight="1">
      <c r="A460" s="6" t="n"/>
      <c r="B460" s="6" t="n"/>
      <c r="C460" s="23" t="inlineStr">
        <is>
          <t>Yağmur suyu deposu perdeleri: orta çevre 2x(2.75+2.75) = 11.00 m</t>
        </is>
      </c>
      <c r="D460" s="6" t="n"/>
      <c r="E460" s="28" t="n">
        <v>1</v>
      </c>
      <c r="F460" s="29" t="n">
        <v>0.25</v>
      </c>
      <c r="G460" s="29" t="n">
        <v>11</v>
      </c>
      <c r="H460" s="29" t="n">
        <v>3</v>
      </c>
      <c r="I460" s="24">
        <f>E460*F460*G460*H460</f>
        <v/>
      </c>
      <c r="J460" s="6" t="n"/>
    </row>
    <row r="461" ht="12" customHeight="1">
      <c r="A461" s="6" t="n"/>
      <c r="B461" s="6" t="n"/>
      <c r="C461" s="23" t="inlineStr">
        <is>
          <t>Yağmur suyu deposu üst döşemesi 15 cm</t>
        </is>
      </c>
      <c r="D461" s="6" t="n"/>
      <c r="E461" s="28" t="n">
        <v>1</v>
      </c>
      <c r="F461" s="29" t="n">
        <v>3</v>
      </c>
      <c r="G461" s="29" t="n">
        <v>3</v>
      </c>
      <c r="H461" s="29" t="n">
        <v>0.15</v>
      </c>
      <c r="I461" s="24">
        <f>E461*F461*G461*H461</f>
        <v/>
      </c>
      <c r="J461" s="6" t="n"/>
    </row>
    <row r="462">
      <c r="A462" s="22" t="n"/>
      <c r="B462" s="22" t="n"/>
      <c r="C462" s="25" t="inlineStr">
        <is>
          <t>M16 TOPLAMI</t>
        </is>
      </c>
      <c r="D462" s="26" t="inlineStr">
        <is>
          <t>m³</t>
        </is>
      </c>
      <c r="E462" s="22" t="n"/>
      <c r="F462" s="22" t="n"/>
      <c r="G462" s="22" t="n"/>
      <c r="H462" s="22" t="n"/>
      <c r="I462" s="22" t="n"/>
      <c r="J462" s="27">
        <f>SUM(I459:I461)</f>
        <v/>
      </c>
    </row>
    <row r="463" ht="15" customHeight="1">
      <c r="A463" s="19" t="n">
        <v>4</v>
      </c>
      <c r="B463" s="20" t="inlineStr">
        <is>
          <t>15.180.1003</t>
        </is>
      </c>
      <c r="C463" s="8" t="inlineStr">
        <is>
          <t>[M20]  Plywood ile düz yüzeyli betonarme kalıbı — çukur ve depolar</t>
        </is>
      </c>
      <c r="D463" s="21" t="inlineStr">
        <is>
          <t>m²</t>
        </is>
      </c>
      <c r="E463" s="22" t="n"/>
      <c r="F463" s="22" t="n"/>
      <c r="G463" s="22" t="n"/>
      <c r="H463" s="22" t="n"/>
      <c r="I463" s="22" t="n"/>
      <c r="J463" s="22" t="n"/>
    </row>
    <row r="464" ht="20" customHeight="1">
      <c r="A464" s="6" t="n"/>
      <c r="B464" s="6" t="n"/>
      <c r="C464" s="23" t="inlineStr">
        <is>
          <t>Yağmur suyu deposu radye çevresi 2x(3.00+3.00) = 12.00 m x 0,40</t>
        </is>
      </c>
      <c r="D464" s="6" t="n"/>
      <c r="E464" s="28" t="n">
        <v>1</v>
      </c>
      <c r="F464" s="6" t="n"/>
      <c r="G464" s="29" t="n">
        <v>12</v>
      </c>
      <c r="H464" s="29" t="n">
        <v>0.4</v>
      </c>
      <c r="I464" s="24">
        <f>E464*G464*H464</f>
        <v/>
      </c>
      <c r="J464" s="6" t="n"/>
    </row>
    <row r="465" ht="12" customHeight="1">
      <c r="A465" s="6" t="n"/>
      <c r="B465" s="6" t="n"/>
      <c r="C465" s="23" t="inlineStr">
        <is>
          <t>Yağmur suyu deposu perde iki yüz (11.00 m x 3.00 m)</t>
        </is>
      </c>
      <c r="D465" s="6" t="n"/>
      <c r="E465" s="28" t="n">
        <v>2</v>
      </c>
      <c r="F465" s="6" t="n"/>
      <c r="G465" s="29" t="n">
        <v>11</v>
      </c>
      <c r="H465" s="29" t="n">
        <v>3</v>
      </c>
      <c r="I465" s="24">
        <f>E465*G465*H465</f>
        <v/>
      </c>
      <c r="J465" s="6" t="n"/>
    </row>
    <row r="466" ht="12" customHeight="1">
      <c r="A466" s="6" t="n"/>
      <c r="B466" s="6" t="n"/>
      <c r="C466" s="23" t="inlineStr">
        <is>
          <t>Yağmur suyu deposu tavan kalıbı</t>
        </is>
      </c>
      <c r="D466" s="6" t="n"/>
      <c r="E466" s="28" t="n">
        <v>1</v>
      </c>
      <c r="F466" s="29" t="n">
        <v>3</v>
      </c>
      <c r="G466" s="29" t="n">
        <v>3</v>
      </c>
      <c r="H466" s="6" t="n"/>
      <c r="I466" s="24">
        <f>E466*F466*G466</f>
        <v/>
      </c>
      <c r="J466" s="6" t="n"/>
    </row>
    <row r="467">
      <c r="A467" s="22" t="n"/>
      <c r="B467" s="22" t="n"/>
      <c r="C467" s="25" t="inlineStr">
        <is>
          <t>M20 TOPLAMI</t>
        </is>
      </c>
      <c r="D467" s="26" t="inlineStr">
        <is>
          <t>m²</t>
        </is>
      </c>
      <c r="E467" s="22" t="n"/>
      <c r="F467" s="22" t="n"/>
      <c r="G467" s="22" t="n"/>
      <c r="H467" s="22" t="n"/>
      <c r="I467" s="22" t="n"/>
      <c r="J467" s="27">
        <f>SUM(I464:I466)</f>
        <v/>
      </c>
    </row>
    <row r="468" ht="22" customHeight="1">
      <c r="A468" s="19" t="n">
        <v>5</v>
      </c>
      <c r="B468" s="20" t="inlineStr">
        <is>
          <t>15.160.1003</t>
        </is>
      </c>
      <c r="C468" s="8" t="inlineStr">
        <is>
          <t>[M26]  Ø8-Ø12 nervürlü beton çelik çubuğu — çukur, depo ve silo kaideleri</t>
        </is>
      </c>
      <c r="D468" s="21" t="inlineStr">
        <is>
          <t>ton</t>
        </is>
      </c>
      <c r="E468" s="22" t="n"/>
      <c r="F468" s="22" t="n"/>
      <c r="G468" s="22" t="n"/>
      <c r="H468" s="22" t="n"/>
      <c r="I468" s="22" t="n"/>
      <c r="J468" s="22" t="n"/>
    </row>
    <row r="469" ht="12" customHeight="1">
      <c r="A469" s="6" t="n"/>
      <c r="B469" s="6" t="n"/>
      <c r="C469" s="23" t="inlineStr">
        <is>
          <t>Yağmur suyu deposu radyesi: 3.00x3.00x0,30 m³, 100 kg/m³</t>
        </is>
      </c>
      <c r="D469" s="6" t="n"/>
      <c r="E469" s="28" t="n">
        <v>1</v>
      </c>
      <c r="F469" s="29" t="n">
        <v>3</v>
      </c>
      <c r="G469" s="29" t="n">
        <v>3</v>
      </c>
      <c r="H469" s="29" t="n">
        <v>0.3</v>
      </c>
      <c r="I469" s="24">
        <f>E469*F469*G469*H469*J469</f>
        <v/>
      </c>
      <c r="J469" s="30" t="n">
        <v>0.1</v>
      </c>
    </row>
    <row r="470" ht="20" customHeight="1">
      <c r="A470" s="6" t="n"/>
      <c r="B470" s="6" t="n"/>
      <c r="C470" s="23" t="inlineStr">
        <is>
          <t>Yağmur suyu deposu perdeleri: 11.00x0,25x3.00 m³, 100 kg/m³</t>
        </is>
      </c>
      <c r="D470" s="6" t="n"/>
      <c r="E470" s="28" t="n">
        <v>1</v>
      </c>
      <c r="F470" s="29" t="n">
        <v>0.25</v>
      </c>
      <c r="G470" s="29" t="n">
        <v>11</v>
      </c>
      <c r="H470" s="29" t="n">
        <v>3</v>
      </c>
      <c r="I470" s="24">
        <f>E470*F470*G470*H470*J470</f>
        <v/>
      </c>
      <c r="J470" s="30" t="n">
        <v>0.1</v>
      </c>
    </row>
    <row r="471" ht="12" customHeight="1">
      <c r="A471" s="6" t="n"/>
      <c r="B471" s="6" t="n"/>
      <c r="C471" s="23" t="inlineStr">
        <is>
          <t>Yağmur suyu deposu döşemesi: 3.00x3.00x0,15 m³, 100 kg/m³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0.15</v>
      </c>
      <c r="I471" s="24">
        <f>E471*F471*G471*H471*J471</f>
        <v/>
      </c>
      <c r="J471" s="30" t="n">
        <v>0.1</v>
      </c>
    </row>
    <row r="472">
      <c r="A472" s="22" t="n"/>
      <c r="B472" s="22" t="n"/>
      <c r="C472" s="25" t="inlineStr">
        <is>
          <t>M26 TOPLAMI</t>
        </is>
      </c>
      <c r="D472" s="26" t="inlineStr">
        <is>
          <t>ton</t>
        </is>
      </c>
      <c r="E472" s="22" t="n"/>
      <c r="F472" s="22" t="n"/>
      <c r="G472" s="22" t="n"/>
      <c r="H472" s="22" t="n"/>
      <c r="I472" s="22" t="n"/>
      <c r="J472" s="27">
        <f>SUM(I469:I471)</f>
        <v/>
      </c>
    </row>
    <row r="474" ht="20" customHeight="1">
      <c r="A474" s="18" t="inlineStr">
        <is>
          <t>Yapı/Bina Adı: ÇEVRE DÜZENLEMESI VE SAHA ALTYAPISI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15" customHeight="1">
      <c r="A476" s="19" t="n">
        <v>1</v>
      </c>
      <c r="B476" s="20" t="inlineStr">
        <is>
          <t>15.120.1001</t>
        </is>
      </c>
      <c r="C476" s="8" t="inlineStr">
        <is>
          <t>[M02]  Makine ile kaba tesviye kazısı — tesis içi yol güzergâhı</t>
        </is>
      </c>
      <c r="D476" s="21" t="inlineStr">
        <is>
          <t>m³</t>
        </is>
      </c>
      <c r="E476" s="22" t="n"/>
      <c r="F476" s="22" t="n"/>
      <c r="G476" s="22" t="n"/>
      <c r="H476" s="22" t="n"/>
      <c r="I476" s="22" t="n"/>
      <c r="J476" s="22" t="n"/>
    </row>
    <row r="477" ht="20" customHeight="1">
      <c r="A477" s="6" t="n"/>
      <c r="B477" s="6" t="n"/>
      <c r="C477" s="23" t="inlineStr">
        <is>
          <t>Tesis içi yol güzergâhı: 745,57 m² alan, ortalama 5,00 m genişlik -&gt; 149,11 m uzunluk</t>
        </is>
      </c>
      <c r="D477" s="6" t="n"/>
      <c r="E477" s="28" t="n">
        <v>1</v>
      </c>
      <c r="F477" s="29" t="n">
        <v>5</v>
      </c>
      <c r="G477" s="29" t="n">
        <v>149.11</v>
      </c>
      <c r="H477" s="29" t="n">
        <v>0.35</v>
      </c>
      <c r="I477" s="24">
        <f>E477*F477*G477*H477</f>
        <v/>
      </c>
      <c r="J477" s="6" t="n"/>
    </row>
    <row r="478">
      <c r="A478" s="22" t="n"/>
      <c r="B478" s="22" t="n"/>
      <c r="C478" s="25" t="inlineStr">
        <is>
          <t>M02 TOPLAMI</t>
        </is>
      </c>
      <c r="D478" s="26" t="inlineStr">
        <is>
          <t>m³</t>
        </is>
      </c>
      <c r="E478" s="22" t="n"/>
      <c r="F478" s="22" t="n"/>
      <c r="G478" s="22" t="n"/>
      <c r="H478" s="22" t="n"/>
      <c r="I478" s="22" t="n"/>
      <c r="J478" s="27">
        <f>SUM(I477:I477)</f>
        <v/>
      </c>
    </row>
    <row r="479" ht="22" customHeight="1">
      <c r="A479" s="19" t="n">
        <v>2</v>
      </c>
      <c r="B479" s="20" t="inlineStr">
        <is>
          <t>TKDK-0091</t>
        </is>
      </c>
      <c r="C479" s="8" t="inlineStr">
        <is>
          <t>[M46]  1,50 m yükseklikte sıcak daldırma galvanizli tel örgü ile çit yapılması</t>
        </is>
      </c>
      <c r="D479" s="21" t="inlineStr">
        <is>
          <t>m</t>
        </is>
      </c>
      <c r="E479" s="22" t="n"/>
      <c r="F479" s="22" t="n"/>
      <c r="G479" s="22" t="n"/>
      <c r="H479" s="22" t="n"/>
      <c r="I479" s="22" t="n"/>
      <c r="J479" s="22" t="n"/>
    </row>
    <row r="480" ht="30" customHeight="1">
      <c r="A480" s="6" t="n"/>
      <c r="B480" s="6" t="n"/>
      <c r="C480" s="23" t="inlineStr">
        <is>
          <t>Parsel 7.966,67 m²; yerleşim planındaki cephe 113,04 m, buna karşılık gelen derinlik 7.966,67/113,04 = 70,48 m; çevre 2x(113,04+70,48)</t>
        </is>
      </c>
      <c r="D480" s="6" t="n"/>
      <c r="E480" s="28" t="n">
        <v>1</v>
      </c>
      <c r="F480" s="6" t="n"/>
      <c r="G480" s="29" t="n">
        <v>367.04</v>
      </c>
      <c r="H480" s="6" t="n"/>
      <c r="I480" s="24">
        <f>E480*G480</f>
        <v/>
      </c>
      <c r="J480" s="6" t="n"/>
    </row>
    <row r="481" ht="12" customHeight="1">
      <c r="A481" s="6" t="n"/>
      <c r="B481" s="6" t="n"/>
      <c r="C481" s="23" t="inlineStr">
        <is>
          <t>Giriş kapısı açıklığı düşülür</t>
        </is>
      </c>
      <c r="D481" s="6" t="n"/>
      <c r="E481" s="28" t="n">
        <v>1</v>
      </c>
      <c r="F481" s="6" t="n"/>
      <c r="G481" s="29" t="n">
        <v>6</v>
      </c>
      <c r="H481" s="6" t="n"/>
      <c r="I481" s="24">
        <f>-E481*G481</f>
        <v/>
      </c>
      <c r="J481" s="6" t="n"/>
    </row>
    <row r="482">
      <c r="A482" s="22" t="n"/>
      <c r="B482" s="22" t="n"/>
      <c r="C482" s="25" t="inlineStr">
        <is>
          <t>M46 TOPLAMI</t>
        </is>
      </c>
      <c r="D482" s="26" t="inlineStr">
        <is>
          <t>m</t>
        </is>
      </c>
      <c r="E482" s="22" t="n"/>
      <c r="F482" s="22" t="n"/>
      <c r="G482" s="22" t="n"/>
      <c r="H482" s="22" t="n"/>
      <c r="I482" s="22" t="n"/>
      <c r="J482" s="27">
        <f>SUM(I480:I481)</f>
        <v/>
      </c>
    </row>
    <row r="483" ht="22" customHeight="1">
      <c r="A483" s="19" t="n">
        <v>3</v>
      </c>
      <c r="B483" s="20" t="inlineStr">
        <is>
          <t>43.527.1001</t>
        </is>
      </c>
      <c r="C483" s="8" t="inlineStr">
        <is>
          <t>[M59]  ø150 HDPE koruge boru ile pissu hattı döşenmesi (SN 8, lastik conta ve boru bedeli dahil)</t>
        </is>
      </c>
      <c r="D483" s="21" t="inlineStr">
        <is>
          <t>m</t>
        </is>
      </c>
      <c r="E483" s="22" t="n"/>
      <c r="F483" s="22" t="n"/>
      <c r="G483" s="22" t="n"/>
      <c r="H483" s="22" t="n"/>
      <c r="I483" s="22" t="n"/>
      <c r="J483" s="22" t="n"/>
    </row>
    <row r="484" ht="12" customHeight="1">
      <c r="A484" s="6" t="n"/>
      <c r="B484" s="6" t="n"/>
      <c r="C484" s="23" t="inlineStr">
        <is>
          <t>Kümes A blok servis bölümü - foseptik</t>
        </is>
      </c>
      <c r="D484" s="6" t="n"/>
      <c r="E484" s="28" t="n">
        <v>1</v>
      </c>
      <c r="F484" s="6" t="n"/>
      <c r="G484" s="29" t="n">
        <v>25</v>
      </c>
      <c r="H484" s="6" t="n"/>
      <c r="I484" s="24">
        <f>E484*G484</f>
        <v/>
      </c>
      <c r="J484" s="6" t="n"/>
    </row>
    <row r="485" ht="12" customHeight="1">
      <c r="A485" s="6" t="n"/>
      <c r="B485" s="6" t="n"/>
      <c r="C485" s="23" t="inlineStr">
        <is>
          <t>Kümes B blok servis bölümü - foseptik</t>
        </is>
      </c>
      <c r="D485" s="6" t="n"/>
      <c r="E485" s="28" t="n">
        <v>1</v>
      </c>
      <c r="F485" s="6" t="n"/>
      <c r="G485" s="29" t="n">
        <v>25</v>
      </c>
      <c r="H485" s="6" t="n"/>
      <c r="I485" s="24">
        <f>E485*G485</f>
        <v/>
      </c>
      <c r="J485" s="6" t="n"/>
    </row>
    <row r="486">
      <c r="A486" s="22" t="n"/>
      <c r="B486" s="22" t="n"/>
      <c r="C486" s="25" t="inlineStr">
        <is>
          <t>M59 TOPLAMI</t>
        </is>
      </c>
      <c r="D486" s="26" t="inlineStr">
        <is>
          <t>m</t>
        </is>
      </c>
      <c r="E486" s="22" t="n"/>
      <c r="F486" s="22" t="n"/>
      <c r="G486" s="22" t="n"/>
      <c r="H486" s="22" t="n"/>
      <c r="I486" s="22" t="n"/>
      <c r="J486" s="27">
        <f>SUM(I484:I485)</f>
        <v/>
      </c>
    </row>
    <row r="487" ht="15" customHeight="1">
      <c r="A487" s="19" t="n">
        <v>4</v>
      </c>
      <c r="B487" s="20" t="inlineStr">
        <is>
          <t>15.150.1005</t>
        </is>
      </c>
      <c r="C487" s="8" t="inlineStr">
        <is>
          <t>[M61A]  C 25/30 hazır beton dökülmesi — betonarme rögarlar</t>
        </is>
      </c>
      <c r="D487" s="21" t="inlineStr">
        <is>
          <t>m³</t>
        </is>
      </c>
      <c r="E487" s="22" t="n"/>
      <c r="F487" s="22" t="n"/>
      <c r="G487" s="22" t="n"/>
      <c r="H487" s="22" t="n"/>
      <c r="I487" s="22" t="n"/>
      <c r="J487" s="22" t="n"/>
    </row>
    <row r="488" ht="12" customHeight="1">
      <c r="A488" s="6" t="n"/>
      <c r="B488" s="6" t="n"/>
      <c r="C488" s="23" t="inlineStr">
        <is>
          <t>Dış prizma: 0,90 x 0,90 x 0,75; 4 adet</t>
        </is>
      </c>
      <c r="D488" s="6" t="n"/>
      <c r="E488" s="28" t="n">
        <v>4</v>
      </c>
      <c r="F488" s="29" t="n">
        <v>0.9</v>
      </c>
      <c r="G488" s="29" t="n">
        <v>0.9</v>
      </c>
      <c r="H488" s="29" t="n">
        <v>0.75</v>
      </c>
      <c r="I488" s="24">
        <f>E488*F488*G488*H488</f>
        <v/>
      </c>
      <c r="J488" s="6" t="n"/>
    </row>
    <row r="489" ht="12" customHeight="1">
      <c r="A489" s="6" t="n"/>
      <c r="B489" s="6" t="n"/>
      <c r="C489" s="23" t="inlineStr">
        <is>
          <t>Net iç hacim düşülür: 0,60 x 0,60 x 0,60; 4 adet</t>
        </is>
      </c>
      <c r="D489" s="6" t="n"/>
      <c r="E489" s="28" t="n">
        <v>4</v>
      </c>
      <c r="F489" s="29" t="n">
        <v>0.6</v>
      </c>
      <c r="G489" s="29" t="n">
        <v>0.6</v>
      </c>
      <c r="H489" s="29" t="n">
        <v>0.6</v>
      </c>
      <c r="I489" s="24">
        <f>-E489*F489*G489*H489</f>
        <v/>
      </c>
      <c r="J489" s="6" t="n"/>
    </row>
    <row r="490">
      <c r="A490" s="22" t="n"/>
      <c r="B490" s="22" t="n"/>
      <c r="C490" s="25" t="inlineStr">
        <is>
          <t>M61A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SUM(I488:I489)</f>
        <v/>
      </c>
    </row>
    <row r="491" ht="22" customHeight="1">
      <c r="A491" s="19" t="n">
        <v>5</v>
      </c>
      <c r="B491" s="20" t="inlineStr">
        <is>
          <t>15.180.1003</t>
        </is>
      </c>
      <c r="C491" s="8" t="inlineStr">
        <is>
          <t>[M61B]  Düz yüzeyli beton ve betonarme kalıbı yapılması — betonarme rögarlar</t>
        </is>
      </c>
      <c r="D491" s="21" t="inlineStr">
        <is>
          <t>m²</t>
        </is>
      </c>
      <c r="E491" s="22" t="n"/>
      <c r="F491" s="22" t="n"/>
      <c r="G491" s="22" t="n"/>
      <c r="H491" s="22" t="n"/>
      <c r="I491" s="22" t="n"/>
      <c r="J491" s="22" t="n"/>
    </row>
    <row r="492" ht="12" customHeight="1">
      <c r="A492" s="6" t="n"/>
      <c r="B492" s="6" t="n"/>
      <c r="C492" s="23" t="inlineStr">
        <is>
          <t>İç yüzler: 4 yüz x 0,60 x 0,60; 4 adet</t>
        </is>
      </c>
      <c r="D492" s="6" t="n"/>
      <c r="E492" s="28" t="n">
        <v>4</v>
      </c>
      <c r="F492" s="29" t="n">
        <v>0.6</v>
      </c>
      <c r="G492" s="29" t="n">
        <v>4</v>
      </c>
      <c r="H492" s="29" t="n">
        <v>0.6</v>
      </c>
      <c r="I492" s="24">
        <f>E492*F492*G492*H492</f>
        <v/>
      </c>
      <c r="J492" s="6" t="n"/>
    </row>
    <row r="493" ht="12" customHeight="1">
      <c r="A493" s="6" t="n"/>
      <c r="B493" s="6" t="n"/>
      <c r="C493" s="23" t="inlineStr">
        <is>
          <t>Dış yüzler: 4 yüz x 0,90 x 0,60; 4 adet</t>
        </is>
      </c>
      <c r="D493" s="6" t="n"/>
      <c r="E493" s="28" t="n">
        <v>4</v>
      </c>
      <c r="F493" s="29" t="n">
        <v>0.9</v>
      </c>
      <c r="G493" s="29" t="n">
        <v>4</v>
      </c>
      <c r="H493" s="29" t="n">
        <v>0.6</v>
      </c>
      <c r="I493" s="24">
        <f>E493*F493*G493*H493</f>
        <v/>
      </c>
      <c r="J493" s="6" t="n"/>
    </row>
    <row r="494">
      <c r="A494" s="22" t="n"/>
      <c r="B494" s="22" t="n"/>
      <c r="C494" s="25" t="inlineStr">
        <is>
          <t>M61B TOPLAMI</t>
        </is>
      </c>
      <c r="D494" s="26" t="inlineStr">
        <is>
          <t>m²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15" customHeight="1">
      <c r="A495" s="19" t="n">
        <v>6</v>
      </c>
      <c r="B495" s="20" t="inlineStr">
        <is>
          <t>15.160.1003</t>
        </is>
      </c>
      <c r="C495" s="8" t="inlineStr">
        <is>
          <t>[M61C]  Nervürlü betonarme çeliği ø8-ø12 — betonarme rögarlar</t>
        </is>
      </c>
      <c r="D495" s="21" t="inlineStr">
        <is>
          <t>ton</t>
        </is>
      </c>
      <c r="E495" s="22" t="n"/>
      <c r="F495" s="22" t="n"/>
      <c r="G495" s="22" t="n"/>
      <c r="H495" s="22" t="n"/>
      <c r="I495" s="22" t="n"/>
      <c r="J495" s="22" t="n"/>
    </row>
    <row r="496" ht="20" customHeight="1">
      <c r="A496" s="6" t="n"/>
      <c r="B496" s="6" t="n"/>
      <c r="C496" s="23" t="inlineStr">
        <is>
          <t>Beton hacmi 1,566 m³, ortalama donatı oranı 90 kg/m³ -&gt; 140,94 kg = 0,141 ton</t>
        </is>
      </c>
      <c r="D496" s="6" t="n"/>
      <c r="E496" s="28" t="n">
        <v>1</v>
      </c>
      <c r="F496" s="6" t="n"/>
      <c r="G496" s="29" t="n">
        <v>1.566</v>
      </c>
      <c r="H496" s="6" t="n"/>
      <c r="I496" s="24">
        <f>E496*G496*J496</f>
        <v/>
      </c>
      <c r="J496" s="30" t="n">
        <v>0.09</v>
      </c>
    </row>
    <row r="497">
      <c r="A497" s="22" t="n"/>
      <c r="B497" s="22" t="n"/>
      <c r="C497" s="25" t="inlineStr">
        <is>
          <t>M61C TOPLAMI</t>
        </is>
      </c>
      <c r="D497" s="26" t="inlineStr">
        <is>
          <t>ton</t>
        </is>
      </c>
      <c r="E497" s="22" t="n"/>
      <c r="F497" s="22" t="n"/>
      <c r="G497" s="22" t="n"/>
      <c r="H497" s="22" t="n"/>
      <c r="I497" s="22" t="n"/>
      <c r="J497" s="27">
        <f>SUM(I496:I496)</f>
        <v/>
      </c>
    </row>
    <row r="498" ht="15" customHeight="1">
      <c r="A498" s="19" t="n">
        <v>7</v>
      </c>
      <c r="B498" s="20" t="inlineStr">
        <is>
          <t>15.560.1003</t>
        </is>
      </c>
      <c r="C498" s="8" t="inlineStr">
        <is>
          <t>[M61D]  Betonarme kompozit rögar kapağı temini ve yerine konulması</t>
        </is>
      </c>
      <c r="D498" s="21" t="inlineStr">
        <is>
          <t>ad</t>
        </is>
      </c>
      <c r="E498" s="22" t="n"/>
      <c r="F498" s="22" t="n"/>
      <c r="G498" s="22" t="n"/>
      <c r="H498" s="22" t="n"/>
      <c r="I498" s="22" t="n"/>
      <c r="J498" s="22" t="n"/>
    </row>
    <row r="499" ht="12" customHeight="1">
      <c r="A499" s="6" t="n"/>
      <c r="B499" s="6" t="n"/>
      <c r="C499" s="23" t="inlineStr">
        <is>
          <t>Pissu hattında 4 adet</t>
        </is>
      </c>
      <c r="D499" s="6" t="n"/>
      <c r="E499" s="28" t="n">
        <v>4</v>
      </c>
      <c r="F499" s="6" t="n"/>
      <c r="G499" s="6" t="n"/>
      <c r="H499" s="6" t="n"/>
      <c r="I499" s="24">
        <f>E499</f>
        <v/>
      </c>
      <c r="J499" s="6" t="n"/>
    </row>
    <row r="500">
      <c r="A500" s="22" t="n"/>
      <c r="B500" s="22" t="n"/>
      <c r="C500" s="25" t="inlineStr">
        <is>
          <t>M61D TOPLAMI</t>
        </is>
      </c>
      <c r="D500" s="26" t="inlineStr">
        <is>
          <t>ad</t>
        </is>
      </c>
      <c r="E500" s="22" t="n"/>
      <c r="F500" s="22" t="n"/>
      <c r="G500" s="22" t="n"/>
      <c r="H500" s="22" t="n"/>
      <c r="I500" s="22" t="n"/>
      <c r="J500" s="27">
        <f>SUM(I499:I499)</f>
        <v/>
      </c>
    </row>
    <row r="501" ht="22" customHeight="1">
      <c r="A501" s="19" t="n">
        <v>8</v>
      </c>
      <c r="B501" s="20" t="inlineStr">
        <is>
          <t>35.100.1104</t>
        </is>
      </c>
      <c r="C501" s="8" t="inlineStr">
        <is>
          <t>[M63]  Ana dağıtım panosu (dikili tip galvanizli sac, en az 700 mm en, 400 mm derinlik)</t>
        </is>
      </c>
      <c r="D501" s="21" t="inlineStr">
        <is>
          <t>ad</t>
        </is>
      </c>
      <c r="E501" s="22" t="n"/>
      <c r="F501" s="22" t="n"/>
      <c r="G501" s="22" t="n"/>
      <c r="H501" s="22" t="n"/>
      <c r="I501" s="22" t="n"/>
      <c r="J501" s="22" t="n"/>
    </row>
    <row r="502" ht="12" customHeight="1">
      <c r="A502" s="6" t="n"/>
      <c r="B502" s="6" t="n"/>
      <c r="C502" s="23" t="inlineStr">
        <is>
          <t>Tesis girişinde 1 adet</t>
        </is>
      </c>
      <c r="D502" s="6" t="n"/>
      <c r="E502" s="28" t="n">
        <v>1</v>
      </c>
      <c r="F502" s="6" t="n"/>
      <c r="G502" s="6" t="n"/>
      <c r="H502" s="6" t="n"/>
      <c r="I502" s="24">
        <f>E502*J502</f>
        <v/>
      </c>
      <c r="J502" s="30" t="n">
        <v>1</v>
      </c>
    </row>
    <row r="503">
      <c r="A503" s="22" t="n"/>
      <c r="B503" s="22" t="n"/>
      <c r="C503" s="25" t="inlineStr">
        <is>
          <t>M63 TOPLAMI</t>
        </is>
      </c>
      <c r="D503" s="26" t="inlineStr">
        <is>
          <t>ad</t>
        </is>
      </c>
      <c r="E503" s="22" t="n"/>
      <c r="F503" s="22" t="n"/>
      <c r="G503" s="22" t="n"/>
      <c r="H503" s="22" t="n"/>
      <c r="I503" s="22" t="n"/>
      <c r="J503" s="27">
        <f>SUM(I502:I502)</f>
        <v/>
      </c>
    </row>
    <row r="504" ht="15" customHeight="1">
      <c r="A504" s="19" t="n">
        <v>9</v>
      </c>
      <c r="B504" s="20" t="inlineStr">
        <is>
          <t>35.100.2106</t>
        </is>
      </c>
      <c r="C504" s="8" t="inlineStr">
        <is>
          <t>[M64]  Sayaç panosu (sıva üstü galvanizli sac tablo, 0,50-0,60 m²)</t>
        </is>
      </c>
      <c r="D504" s="21" t="inlineStr">
        <is>
          <t>ad</t>
        </is>
      </c>
      <c r="E504" s="22" t="n"/>
      <c r="F504" s="22" t="n"/>
      <c r="G504" s="22" t="n"/>
      <c r="H504" s="22" t="n"/>
      <c r="I504" s="22" t="n"/>
      <c r="J504" s="22" t="n"/>
    </row>
    <row r="505" ht="12" customHeight="1">
      <c r="A505" s="6" t="n"/>
      <c r="B505" s="6" t="n"/>
      <c r="C505" s="23" t="inlineStr">
        <is>
          <t>Tesis girişinde 1 adet</t>
        </is>
      </c>
      <c r="D505" s="6" t="n"/>
      <c r="E505" s="28" t="n">
        <v>1</v>
      </c>
      <c r="F505" s="6" t="n"/>
      <c r="G505" s="6" t="n"/>
      <c r="H505" s="6" t="n"/>
      <c r="I505" s="24">
        <f>E505*J505</f>
        <v/>
      </c>
      <c r="J505" s="30" t="n">
        <v>1</v>
      </c>
    </row>
    <row r="506">
      <c r="A506" s="22" t="n"/>
      <c r="B506" s="22" t="n"/>
      <c r="C506" s="25" t="inlineStr">
        <is>
          <t>M64 TOPLAMI</t>
        </is>
      </c>
      <c r="D506" s="26" t="inlineStr">
        <is>
          <t>ad</t>
        </is>
      </c>
      <c r="E506" s="22" t="n"/>
      <c r="F506" s="22" t="n"/>
      <c r="G506" s="22" t="n"/>
      <c r="H506" s="22" t="n"/>
      <c r="I506" s="22" t="n"/>
      <c r="J506" s="27">
        <f>SUM(I505:I505)</f>
        <v/>
      </c>
    </row>
    <row r="507" ht="22" customHeight="1">
      <c r="A507" s="19" t="n">
        <v>10</v>
      </c>
      <c r="B507" s="20" t="inlineStr">
        <is>
          <t>35.135.3201</t>
        </is>
      </c>
      <c r="C507" s="8" t="inlineStr">
        <is>
          <t>[M65]  Üç fazlı zaman tarifeli elektronik aktif sayaç, en az 5(100) A, 3x230/400 V</t>
        </is>
      </c>
      <c r="D507" s="21" t="inlineStr">
        <is>
          <t>ad</t>
        </is>
      </c>
      <c r="E507" s="22" t="n"/>
      <c r="F507" s="22" t="n"/>
      <c r="G507" s="22" t="n"/>
      <c r="H507" s="22" t="n"/>
      <c r="I507" s="22" t="n"/>
      <c r="J507" s="22" t="n"/>
    </row>
    <row r="508" ht="12" customHeight="1">
      <c r="A508" s="6" t="n"/>
      <c r="B508" s="6" t="n"/>
      <c r="C508" s="23" t="inlineStr">
        <is>
          <t>Sayaç panosu içinde 1 adet</t>
        </is>
      </c>
      <c r="D508" s="6" t="n"/>
      <c r="E508" s="28" t="n">
        <v>1</v>
      </c>
      <c r="F508" s="6" t="n"/>
      <c r="G508" s="6" t="n"/>
      <c r="H508" s="6" t="n"/>
      <c r="I508" s="24">
        <f>E508*J508</f>
        <v/>
      </c>
      <c r="J508" s="30" t="n">
        <v>1</v>
      </c>
    </row>
    <row r="509">
      <c r="A509" s="22" t="n"/>
      <c r="B509" s="22" t="n"/>
      <c r="C509" s="25" t="inlineStr">
        <is>
          <t>M65 TOPLAMI</t>
        </is>
      </c>
      <c r="D509" s="26" t="inlineStr">
        <is>
          <t>ad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22" customHeight="1">
      <c r="A510" s="19" t="n">
        <v>11</v>
      </c>
      <c r="B510" s="20" t="inlineStr">
        <is>
          <t>35.110.1104</t>
        </is>
      </c>
      <c r="C510" s="8" t="inlineStr">
        <is>
          <t>[M66]  Termik-manyetik kompakt şalter 3x160 A, Icu 35 kA — ana giriş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Ana dağıtım panosu girişi</t>
        </is>
      </c>
      <c r="D511" s="6" t="n"/>
      <c r="E511" s="28" t="n">
        <v>1</v>
      </c>
      <c r="F511" s="6" t="n"/>
      <c r="G511" s="6" t="n"/>
      <c r="H511" s="6" t="n"/>
      <c r="I511" s="24">
        <f>E511*J511</f>
        <v/>
      </c>
      <c r="J511" s="30" t="n">
        <v>1</v>
      </c>
    </row>
    <row r="512">
      <c r="A512" s="22" t="n"/>
      <c r="B512" s="22" t="n"/>
      <c r="C512" s="25" t="inlineStr">
        <is>
          <t>M66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15" customHeight="1">
      <c r="A513" s="19" t="n">
        <v>12</v>
      </c>
      <c r="B513" s="20" t="inlineStr">
        <is>
          <t>35.115.1003</t>
        </is>
      </c>
      <c r="C513" s="8" t="inlineStr">
        <is>
          <t>[M69]  Kaçak akım koruma şalteri 2x63 A, 30 mA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Ana pano ve sayaç panosunda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2</v>
      </c>
    </row>
    <row r="515">
      <c r="A515" s="22" t="n"/>
      <c r="B515" s="22" t="n"/>
      <c r="C515" s="25" t="inlineStr">
        <is>
          <t>M69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22" customHeight="1">
      <c r="A516" s="19" t="n">
        <v>13</v>
      </c>
      <c r="B516" s="20" t="inlineStr">
        <is>
          <t>35.140.3105</t>
        </is>
      </c>
      <c r="C516" s="8" t="inlineStr">
        <is>
          <t>[M70]  YVV (NYY) 1 kV yeraltı kablosu ile besleme hattı tesisi — 1x35 mm²</t>
        </is>
      </c>
      <c r="D516" s="21" t="inlineStr">
        <is>
          <t>m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Şebeke bağlantı noktası - ana dağıtım panosu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50</v>
      </c>
    </row>
    <row r="518">
      <c r="A518" s="22" t="n"/>
      <c r="B518" s="22" t="n"/>
      <c r="C518" s="25" t="inlineStr">
        <is>
          <t>M70 TOPLAMI</t>
        </is>
      </c>
      <c r="D518" s="26" t="inlineStr">
        <is>
          <t>m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14</v>
      </c>
      <c r="B519" s="20" t="inlineStr">
        <is>
          <t>35.140.3101</t>
        </is>
      </c>
      <c r="C519" s="8" t="inlineStr">
        <is>
          <t>[M72]  YVV (NYY) 1 kV yeraltı kablosu ile besleme hattı tesisi — 1x6 mm²</t>
        </is>
      </c>
      <c r="D519" s="21" t="inlineStr">
        <is>
          <t>m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Saha aydınlatma direkleri besleme hattı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50</v>
      </c>
    </row>
    <row r="521">
      <c r="A521" s="22" t="n"/>
      <c r="B521" s="22" t="n"/>
      <c r="C521" s="25" t="inlineStr">
        <is>
          <t>M72 TOPLAMI</t>
        </is>
      </c>
      <c r="D521" s="26" t="inlineStr">
        <is>
          <t>m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15</v>
      </c>
      <c r="B522" s="20" t="inlineStr">
        <is>
          <t>35.172.1706</t>
        </is>
      </c>
      <c r="C522" s="8" t="inlineStr">
        <is>
          <t>[M82]  Aydınlatma direği — taban çapı en az 80 mm, yükseklik en az 4,00 m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Tesis içi yol ve saha aydınlatması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4</v>
      </c>
    </row>
    <row r="524">
      <c r="A524" s="22" t="n"/>
      <c r="B524" s="22" t="n"/>
      <c r="C524" s="25" t="inlineStr">
        <is>
          <t>M82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16</v>
      </c>
      <c r="B525" s="20" t="inlineStr">
        <is>
          <t>35.170.4002</t>
        </is>
      </c>
      <c r="C525" s="8" t="inlineStr">
        <is>
          <t>[M83]  LED projektör, ışık akısı en az 5100 lm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Aydınlatma direği başına 1 adet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4</v>
      </c>
    </row>
    <row r="527">
      <c r="A527" s="22" t="n"/>
      <c r="B527" s="22" t="n"/>
      <c r="C527" s="25" t="inlineStr">
        <is>
          <t>M83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9">
      <c r="A529" s="16" t="inlineStr">
        <is>
          <t>AÇIKLAMALAR</t>
        </is>
      </c>
      <c r="B529" s="39" t="n"/>
      <c r="C529" s="39" t="n"/>
      <c r="D529" s="39" t="n"/>
      <c r="E529" s="39" t="n"/>
      <c r="F529" s="39" t="n"/>
      <c r="G529" s="39" t="n"/>
      <c r="H529" s="39" t="n"/>
      <c r="I529" s="39" t="n"/>
      <c r="J529" s="40" t="n"/>
    </row>
    <row r="530" ht="13" customHeight="1">
      <c r="A530" s="17" t="inlineStr">
        <is>
          <t>•  Miktar sütunundaki her formül yalnızca o satırdaki ölçü hücrelerini çarpar; hiçbir sayı formülün içine gömülmemiştir.</t>
        </is>
      </c>
    </row>
    <row r="531" ht="13" customHeight="1">
      <c r="A531" s="17" t="inlineStr">
        <is>
          <t>•  Son sütundaki katsayı, birim ağırlık (kg/m², kg/m³, ton/m²), bindirme payı, üçgen alan çarpanı (0,50) veya adet çarpanıdır.</t>
        </is>
      </c>
    </row>
    <row r="532" ht="22" customHeight="1">
      <c r="A532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33" ht="13" customHeight="1">
      <c r="A533" s="17" t="inlineStr">
        <is>
          <t>•  (-) işaretli satırlar minha edilen (düşülen) miktarlardır.</t>
        </is>
      </c>
    </row>
  </sheetData>
  <mergeCells count="17">
    <mergeCell ref="A374:J374"/>
    <mergeCell ref="A450:J450"/>
    <mergeCell ref="A1:J1"/>
    <mergeCell ref="A5:J5"/>
    <mergeCell ref="A397:J397"/>
    <mergeCell ref="A343:J343"/>
    <mergeCell ref="A409:J409"/>
    <mergeCell ref="A474:J474"/>
    <mergeCell ref="A3:J3"/>
    <mergeCell ref="A427:J427"/>
    <mergeCell ref="A531:J531"/>
    <mergeCell ref="A532:J532"/>
    <mergeCell ref="A529:J529"/>
    <mergeCell ref="A174:J174"/>
    <mergeCell ref="A2:J2"/>
    <mergeCell ref="A530:J530"/>
    <mergeCell ref="A533:J53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2026-08-30T17:48:36Z</dcterms:created>
  <dcterms:modified xmlns:dcterms="http://purl.org/dc/terms/" xmlns:xsi="http://www.w3.org/2001/XMLSchema-instance" xsi:type="dcterms:W3CDTF">2026-08-30T17:48:36Z</dcterms:modified>
</cp:coreProperties>
</file>