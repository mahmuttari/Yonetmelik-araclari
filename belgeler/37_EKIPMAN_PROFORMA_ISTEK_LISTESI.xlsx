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forma İstek Listes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0"/>
    </font>
    <font>
      <sz val="9"/>
    </font>
    <font>
      <i val="1"/>
      <color rgb="00555555"/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2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4" fontId="0" fillId="0" borderId="1" pivotButton="0" quotePrefix="0" xfId="0"/>
    <xf numFmtId="0" fontId="2" fillId="3" borderId="1" applyAlignment="1" pivotButton="0" quotePrefix="0" xfId="0">
      <alignment horizontal="right"/>
    </xf>
    <xf numFmtId="0" fontId="0" fillId="3" borderId="1" pivotButton="0" quotePrefix="0" xfId="0"/>
    <xf numFmtId="4" fontId="2" fillId="3" borderId="1" pivotButton="0" quotePrefix="0" xfId="0"/>
    <xf numFmtId="0" fontId="2" fillId="2" borderId="0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9"/>
  <sheetViews>
    <sheetView workbookViewId="0">
      <selection activeCell="A1" sqref="A1"/>
    </sheetView>
  </sheetViews>
  <sheetFormatPr baseColWidth="8" defaultRowHeight="15"/>
  <cols>
    <col width="6" customWidth="1" min="1" max="1"/>
    <col width="68" customWidth="1" min="2" max="2"/>
    <col width="8" customWidth="1" min="3" max="3"/>
    <col width="16" customWidth="1" min="4" max="4"/>
    <col width="18" customWidth="1" min="5" max="5"/>
    <col width="18" customWidth="1" min="6" max="6"/>
    <col width="18" customWidth="1" min="7" max="7"/>
  </cols>
  <sheetData>
    <row r="1" ht="20" customHeight="1">
      <c r="A1" s="1" t="inlineStr">
        <is>
          <t>MAKİNE-EKİPMAN VE ISITMA SİSTEMİ LİSTESİ — PROFORMA İÇİN</t>
        </is>
      </c>
    </row>
    <row r="2">
      <c r="A2" s="2" t="inlineStr">
        <is>
          <t>Yatırımın Adı</t>
        </is>
      </c>
      <c r="B2" s="3" t="inlineStr">
        <is>
          <t>MUSAB EDER ÇİFTLİĞİ KANATLI (ETLİK PİLİÇ) KÜMESİ MAKİNE VE EKİPMAN ALIMI</t>
        </is>
      </c>
    </row>
    <row r="3">
      <c r="A3" s="2" t="inlineStr">
        <is>
          <t>Yatırımın Adresi</t>
        </is>
      </c>
      <c r="B3" s="3" t="inlineStr">
        <is>
          <t>Kocaeli İli Karamürsel İlçesi İnebeyli Mahallesi, 138 ada 17 parsel, 7.966,67 m² arsa</t>
        </is>
      </c>
    </row>
    <row r="4">
      <c r="A4" s="2" t="inlineStr">
        <is>
          <t>Yatırımcı</t>
        </is>
      </c>
      <c r="B4" s="3" t="inlineStr">
        <is>
          <t>MUSAB EDER</t>
        </is>
      </c>
    </row>
    <row r="6">
      <c r="A6" s="4" t="inlineStr">
        <is>
          <t>Birim fiyat ve tutar sütunlarını tedarikçi doldurur. Miktarlar projeden gelir, değiştirilmez.</t>
        </is>
      </c>
    </row>
    <row r="8" ht="30" customHeight="1">
      <c r="A8" s="5" t="inlineStr">
        <is>
          <t>No</t>
        </is>
      </c>
      <c r="B8" s="5" t="inlineStr">
        <is>
          <t>Kalemin adı</t>
        </is>
      </c>
      <c r="C8" s="5" t="inlineStr">
        <is>
          <t>Birimi</t>
        </is>
      </c>
      <c r="D8" s="5" t="inlineStr">
        <is>
          <t>Kümes başına miktar</t>
        </is>
      </c>
      <c r="E8" s="5" t="inlineStr">
        <is>
          <t>Toplam miktar (2 kümes)</t>
        </is>
      </c>
      <c r="F8" s="5" t="inlineStr">
        <is>
          <t>Birim fiyat (TL, KDV hariç)</t>
        </is>
      </c>
      <c r="G8" s="5" t="inlineStr">
        <is>
          <t>Tutar (TL, KDV hariç)</t>
        </is>
      </c>
    </row>
    <row r="9">
      <c r="A9" s="6" t="inlineStr">
        <is>
          <t>A — KÜMES MEKANİK EKİPMANI</t>
        </is>
      </c>
      <c r="B9" s="7" t="n"/>
      <c r="C9" s="7" t="n"/>
      <c r="D9" s="7" t="n"/>
      <c r="E9" s="7" t="n"/>
      <c r="F9" s="7" t="n"/>
      <c r="G9" s="7" t="n"/>
    </row>
    <row r="10" ht="44" customHeight="1">
      <c r="A10" s="8" t="n">
        <v>1</v>
      </c>
      <c r="B10" s="9" t="inlineStr">
        <is>
          <t>Otomatik spiral yemlik sistemi (depo motor grubu ve kaldırma dâhil) (HZC-FD-01) — 3 hat, 243 m yemlik hattı, 150 kg galvanizli yem deposu x 3, 0,55 kW yemlik motoru x 3, 35 cm çapında 324 plastik yemlik, 1,1 kW çift redüktörlü frenli otomatik kaldırma</t>
        </is>
      </c>
      <c r="C10" s="8" t="inlineStr">
        <is>
          <t>set</t>
        </is>
      </c>
      <c r="D10" s="10" t="n">
        <v>1</v>
      </c>
      <c r="E10" s="10" t="n">
        <v>2</v>
      </c>
      <c r="F10" s="10" t="n"/>
      <c r="G10" s="10">
        <f>IF(F10="","",E10*F10)</f>
        <v/>
      </c>
    </row>
    <row r="11" ht="44" customHeight="1">
      <c r="A11" s="8" t="n">
        <v>2</v>
      </c>
      <c r="B11" s="9" t="inlineStr">
        <is>
          <t>Otomatik nipel suluk sistemi (regülatör, hat sonu ve kaldırma dâhil) (HZC-WTR-005) — Kümes başına 4 hat, toplam 312 m hat, 22 x 22 mm hat çapı, 1.560 metal 360° nipel suluk, 4 regülatör, 4 hat sonu, 0,75 kW çift redüktörlü frenli otomatik kaldırma</t>
        </is>
      </c>
      <c r="C11" s="8" t="inlineStr">
        <is>
          <t>set</t>
        </is>
      </c>
      <c r="D11" s="10" t="n">
        <v>1</v>
      </c>
      <c r="E11" s="10" t="n">
        <v>2</v>
      </c>
      <c r="F11" s="10" t="n"/>
      <c r="G11" s="10">
        <f>IF(F11="","",E11*F11)</f>
        <v/>
      </c>
    </row>
    <row r="12" ht="33" customHeight="1">
      <c r="A12" s="8" t="n">
        <v>3</v>
      </c>
      <c r="B12" s="9" t="inlineStr">
        <is>
          <t>Havalandırma fanları (HZC-WNT-012) — Kümes başına 4 adet tünel fanı, 138 x 138 x 42 cm, 40.000 m³/h, 1,5 kW, galvanizli çelik kanat, ahtapot sistemli otomatik panjur</t>
        </is>
      </c>
      <c r="C12" s="8" t="inlineStr">
        <is>
          <t>set</t>
        </is>
      </c>
      <c r="D12" s="10" t="n">
        <v>1</v>
      </c>
      <c r="E12" s="10" t="n">
        <v>2</v>
      </c>
      <c r="F12" s="10" t="n"/>
      <c r="G12" s="10">
        <f>IF(F12="","",E12*F12)</f>
        <v/>
      </c>
    </row>
    <row r="13" ht="44" customHeight="1">
      <c r="A13" s="8" t="n">
        <v>4</v>
      </c>
      <c r="B13" s="9" t="inlineStr">
        <is>
          <t>Soğutma petek sistemi (açma-kapama ve petek panelleri dâhil) (HZC-WNT-024) — Tüplü, dahili devridaimli; 15 cm kalınlık, 150 cm yükseklik, kümes başına 2 x 15 m (45 m² ped alanı), PVC çerçeve, XPS petek kapakları, 2 aktüatör, 2 adet 0,50 kW su pompası</t>
        </is>
      </c>
      <c r="C13" s="8" t="inlineStr">
        <is>
          <t>set</t>
        </is>
      </c>
      <c r="D13" s="10" t="n">
        <v>1</v>
      </c>
      <c r="E13" s="10" t="n">
        <v>2</v>
      </c>
      <c r="F13" s="10" t="n"/>
      <c r="G13" s="10">
        <f>IF(F13="","",E13*F13)</f>
        <v/>
      </c>
    </row>
    <row r="14" ht="33" customHeight="1">
      <c r="A14" s="8" t="n">
        <v>5</v>
      </c>
      <c r="B14" s="9" t="inlineStr">
        <is>
          <t>Hava klape sistemi (açma-kapama hattı dâhil) (HZC-WNT-001) — Kümes başına 30 adet 26 x 56 cm izolasyonlu plastik klape, 2 aktüatörlü açma-kapama, 161 m hat</t>
        </is>
      </c>
      <c r="C14" s="8" t="inlineStr">
        <is>
          <t>set</t>
        </is>
      </c>
      <c r="D14" s="10" t="n">
        <v>1</v>
      </c>
      <c r="E14" s="10" t="n">
        <v>2</v>
      </c>
      <c r="F14" s="10" t="n"/>
      <c r="G14" s="10">
        <f>IF(F14="","",E14*F14)</f>
        <v/>
      </c>
    </row>
    <row r="15" ht="33" customHeight="1">
      <c r="A15" s="8" t="n">
        <v>6</v>
      </c>
      <c r="B15" s="9" t="inlineStr">
        <is>
          <t>17,67 ton silo ve aktarma grubu (HZC-SLO-004) — Kümes başına 1 adet galvaniz kaplama sac silo, helezonlu merdiven, 0,75 kW yem nakil motoru, 22 m PVC nakil hattı</t>
        </is>
      </c>
      <c r="C15" s="8" t="inlineStr">
        <is>
          <t>set</t>
        </is>
      </c>
      <c r="D15" s="10" t="n">
        <v>1</v>
      </c>
      <c r="E15" s="10" t="n">
        <v>2</v>
      </c>
      <c r="F15" s="10" t="n"/>
      <c r="G15" s="10">
        <f>IF(F15="","",E15*F15)</f>
        <v/>
      </c>
    </row>
    <row r="16" ht="22" customHeight="1">
      <c r="A16" s="8" t="n">
        <v>7</v>
      </c>
      <c r="B16" s="9" t="inlineStr">
        <is>
          <t>Aydınlatma sistemi (HZC-LGHT-01) — Kümes başına 56 adet E27 / LED lamba (7-12 W), contalı duy, 266 m kablo</t>
        </is>
      </c>
      <c r="C16" s="8" t="inlineStr">
        <is>
          <t>set</t>
        </is>
      </c>
      <c r="D16" s="10" t="n">
        <v>1</v>
      </c>
      <c r="E16" s="10" t="n">
        <v>2</v>
      </c>
      <c r="F16" s="10" t="n"/>
      <c r="G16" s="10">
        <f>IF(F16="","",E16*F16)</f>
        <v/>
      </c>
    </row>
    <row r="17" ht="33" customHeight="1">
      <c r="A17" s="8" t="n">
        <v>8</v>
      </c>
      <c r="B17" s="9" t="inlineStr">
        <is>
          <t>Isıtma sistemi — 350.000 kcal/h (HZC-HEA-004) — Kümes başına 1 adet; en az 1.700 m² ısıtma alanı, 350.000 kcal/h, 5,5 kW fan motoru, 21.000 m³/h basma, üç geçişli kazan, 10 mm cehennemlik</t>
        </is>
      </c>
      <c r="C17" s="8" t="inlineStr">
        <is>
          <t>set</t>
        </is>
      </c>
      <c r="D17" s="10" t="n">
        <v>1</v>
      </c>
      <c r="E17" s="10" t="n">
        <v>2</v>
      </c>
      <c r="F17" s="10" t="n"/>
      <c r="G17" s="10">
        <f>IF(F17="","",E17*F17)</f>
        <v/>
      </c>
    </row>
    <row r="18" ht="33" customHeight="1">
      <c r="A18" s="8" t="n">
        <v>9</v>
      </c>
      <c r="B18" s="9" t="inlineStr">
        <is>
          <t>Kümes otomasyonu ve bilgisayar sistemi (HZC-COM-004) — HZC-70 işlemcili; 5 sıcaklık, 1 nem, 1 basınç ve 1 CO2 sensörü, alarm sistemi, uzaktan erişim, PLC kontrol, raporlama ve analiz</t>
        </is>
      </c>
      <c r="C18" s="8" t="inlineStr">
        <is>
          <t>set</t>
        </is>
      </c>
      <c r="D18" s="10" t="n">
        <v>1</v>
      </c>
      <c r="E18" s="10" t="n">
        <v>2</v>
      </c>
      <c r="F18" s="10" t="n"/>
      <c r="G18" s="10">
        <f>IF(F18="","",E18*F18)</f>
        <v/>
      </c>
    </row>
    <row r="19" ht="14" customHeight="1">
      <c r="A19" s="8" t="n">
        <v>10</v>
      </c>
      <c r="B19" s="9" t="inlineStr">
        <is>
          <t>İşçilik ve nakliye (—) — Kümes montajı ve nakliye bedelleri</t>
        </is>
      </c>
      <c r="C19" s="8" t="inlineStr">
        <is>
          <t>set</t>
        </is>
      </c>
      <c r="D19" s="10" t="n">
        <v>1</v>
      </c>
      <c r="E19" s="10" t="n">
        <v>2</v>
      </c>
      <c r="F19" s="10" t="n"/>
      <c r="G19" s="10">
        <f>IF(F19="","",E19*F19)</f>
        <v/>
      </c>
    </row>
    <row r="20">
      <c r="A20" s="6" t="inlineStr">
        <is>
          <t>B — KÜMES ISITMA SİSTEMİ</t>
        </is>
      </c>
      <c r="B20" s="7" t="n"/>
      <c r="C20" s="7" t="n"/>
      <c r="D20" s="7" t="n"/>
      <c r="E20" s="7" t="n"/>
      <c r="F20" s="7" t="n"/>
      <c r="G20" s="7" t="n"/>
    </row>
    <row r="21" ht="33" customHeight="1">
      <c r="A21" s="8" t="n">
        <v>1</v>
      </c>
      <c r="B21" s="9" t="inlineStr">
        <is>
          <t>Merkezi sistem katı yakıtlı sıcak hava üreteci (kazan) — kümes başına en az 307 kW (≈ 264.000 kcal/h) ısıtma kapasitesi; kümes içi branda ve hava kanalı ekipmanları, montaj ve devreye alma dâhil</t>
        </is>
      </c>
      <c r="C21" s="8" t="inlineStr">
        <is>
          <t>ad</t>
        </is>
      </c>
      <c r="D21" s="10" t="n">
        <v>1</v>
      </c>
      <c r="E21" s="10" t="n">
        <v>2</v>
      </c>
      <c r="F21" s="10" t="n"/>
      <c r="G21" s="10">
        <f>IF(F21="","",E21*F21)</f>
        <v/>
      </c>
    </row>
    <row r="22">
      <c r="A22" s="11" t="inlineStr">
        <is>
          <t>TOPLAM (KDV hariç)</t>
        </is>
      </c>
      <c r="B22" s="12" t="n"/>
      <c r="C22" s="12" t="n"/>
      <c r="D22" s="12" t="n"/>
      <c r="E22" s="12" t="n"/>
      <c r="F22" s="12" t="n"/>
      <c r="G22" s="13">
        <f>SUM(G10:G21)</f>
        <v/>
      </c>
    </row>
    <row r="24">
      <c r="A24" s="14" t="inlineStr">
        <is>
          <t>TEDARİKÇİ BİLGİLERİ</t>
        </is>
      </c>
    </row>
    <row r="25">
      <c r="A25" s="15" t="inlineStr">
        <is>
          <t>Tedarikçinin ticari unvanı</t>
        </is>
      </c>
      <c r="B25" s="7" t="n"/>
      <c r="C25" s="7" t="n"/>
      <c r="D25" s="7" t="n"/>
      <c r="E25" s="7" t="n"/>
      <c r="F25" s="7" t="n"/>
      <c r="G25" s="7" t="n"/>
    </row>
    <row r="26">
      <c r="A26" s="15" t="inlineStr">
        <is>
          <t>Adresi</t>
        </is>
      </c>
      <c r="B26" s="7" t="n"/>
      <c r="C26" s="7" t="n"/>
      <c r="D26" s="7" t="n"/>
      <c r="E26" s="7" t="n"/>
      <c r="F26" s="7" t="n"/>
      <c r="G26" s="7" t="n"/>
    </row>
    <row r="27">
      <c r="A27" s="15" t="inlineStr">
        <is>
          <t>Vergi dairesi ve numarası</t>
        </is>
      </c>
      <c r="B27" s="7" t="n"/>
      <c r="C27" s="7" t="n"/>
      <c r="D27" s="7" t="n"/>
      <c r="E27" s="7" t="n"/>
      <c r="F27" s="7" t="n"/>
      <c r="G27" s="7" t="n"/>
    </row>
    <row r="28">
      <c r="A28" s="15" t="inlineStr">
        <is>
          <t>Telefon / e-posta</t>
        </is>
      </c>
      <c r="B28" s="7" t="n"/>
      <c r="C28" s="7" t="n"/>
      <c r="D28" s="7" t="n"/>
      <c r="E28" s="7" t="n"/>
      <c r="F28" s="7" t="n"/>
      <c r="G28" s="7" t="n"/>
    </row>
    <row r="29">
      <c r="A29" s="15" t="inlineStr">
        <is>
          <t>Proforma numarası ve tarihi</t>
        </is>
      </c>
      <c r="B29" s="7" t="n"/>
      <c r="C29" s="7" t="n"/>
      <c r="D29" s="7" t="n"/>
      <c r="E29" s="7" t="n"/>
      <c r="F29" s="7" t="n"/>
      <c r="G29" s="7" t="n"/>
    </row>
    <row r="31">
      <c r="A31" s="14" t="inlineStr">
        <is>
          <t>TESLİM VE ÖDEME ŞARTLARI</t>
        </is>
      </c>
    </row>
    <row r="32">
      <c r="A32" s="15" t="inlineStr">
        <is>
          <t>Para birimi</t>
        </is>
      </c>
      <c r="B32" s="7" t="n"/>
      <c r="C32" s="7" t="n"/>
      <c r="D32" s="7" t="n"/>
      <c r="E32" s="7" t="n"/>
      <c r="F32" s="7" t="n"/>
      <c r="G32" s="7" t="n"/>
    </row>
    <row r="33">
      <c r="A33" s="15" t="inlineStr">
        <is>
          <t>Fiyatlara KDV dâhil mi</t>
        </is>
      </c>
      <c r="B33" s="7" t="n"/>
      <c r="C33" s="7" t="n"/>
      <c r="D33" s="7" t="n"/>
      <c r="E33" s="7" t="n"/>
      <c r="F33" s="7" t="n"/>
      <c r="G33" s="7" t="n"/>
    </row>
    <row r="34">
      <c r="A34" s="15" t="inlineStr">
        <is>
          <t>Teslim yeri</t>
        </is>
      </c>
      <c r="B34" s="7" t="n"/>
      <c r="C34" s="7" t="n"/>
      <c r="D34" s="7" t="n"/>
      <c r="E34" s="7" t="n"/>
      <c r="F34" s="7" t="n"/>
      <c r="G34" s="7" t="n"/>
    </row>
    <row r="35">
      <c r="A35" s="15" t="inlineStr">
        <is>
          <t>Teslim süresi</t>
        </is>
      </c>
      <c r="B35" s="7" t="n"/>
      <c r="C35" s="7" t="n"/>
      <c r="D35" s="7" t="n"/>
      <c r="E35" s="7" t="n"/>
      <c r="F35" s="7" t="n"/>
      <c r="G35" s="7" t="n"/>
    </row>
    <row r="36">
      <c r="A36" s="15" t="inlineStr">
        <is>
          <t>Ödeme şekli</t>
        </is>
      </c>
      <c r="B36" s="7" t="n"/>
      <c r="C36" s="7" t="n"/>
      <c r="D36" s="7" t="n"/>
      <c r="E36" s="7" t="n"/>
      <c r="F36" s="7" t="n"/>
      <c r="G36" s="7" t="n"/>
    </row>
    <row r="37">
      <c r="A37" s="15" t="inlineStr">
        <is>
          <t>Fiyat geçerlilik süresi</t>
        </is>
      </c>
      <c r="B37" s="7" t="n"/>
      <c r="C37" s="7" t="n"/>
      <c r="D37" s="7" t="n"/>
      <c r="E37" s="7" t="n"/>
      <c r="F37" s="7" t="n"/>
      <c r="G37" s="7" t="n"/>
    </row>
    <row r="39">
      <c r="A39" s="4" t="inlineStr">
        <is>
          <t>Proforma, tedarikçinin kendi antetli kâğıdında, kaşe ve imzasıyla düzenlenmelidir.</t>
        </is>
      </c>
    </row>
  </sheetData>
  <mergeCells count="20">
    <mergeCell ref="B2:G2"/>
    <mergeCell ref="A20:G20"/>
    <mergeCell ref="B29:G29"/>
    <mergeCell ref="B34:G34"/>
    <mergeCell ref="B28:G28"/>
    <mergeCell ref="A9:G9"/>
    <mergeCell ref="A31:G31"/>
    <mergeCell ref="B37:G37"/>
    <mergeCell ref="A24:G24"/>
    <mergeCell ref="A22:F22"/>
    <mergeCell ref="B33:G33"/>
    <mergeCell ref="A1:G1"/>
    <mergeCell ref="B36:G36"/>
    <mergeCell ref="B32:G32"/>
    <mergeCell ref="B4:G4"/>
    <mergeCell ref="B35:G35"/>
    <mergeCell ref="B26:G26"/>
    <mergeCell ref="B25:G25"/>
    <mergeCell ref="B3:G3"/>
    <mergeCell ref="B27:G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2026-08-31T05:19:23Z</dcterms:created>
  <dcterms:modified xmlns:dcterms="http://purl.org/dc/terms/" xmlns:xsi="http://www.w3.org/2001/XMLSchema-instance" xsi:type="dcterms:W3CDTF">2026-08-31T05:19:23Z</dcterms:modified>
</cp:coreProperties>
</file>