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22" customHeight="1">
      <c r="A10" s="8" t="n">
        <v>1</v>
      </c>
      <c r="B10" s="9" t="inlineStr">
        <is>
          <t>Yemlik depo motor grubu (170 kg yem deposu, milli yemlik motoru, yemlik hat sonu, elektrik kutusu ile)</t>
        </is>
      </c>
      <c r="C10" s="8" t="inlineStr">
        <is>
          <t>ad</t>
        </is>
      </c>
      <c r="D10" s="10" t="n">
        <v>3</v>
      </c>
      <c r="E10" s="10" t="n">
        <v>6</v>
      </c>
      <c r="F10" s="10" t="n"/>
      <c r="G10" s="10">
        <f>IF(F10="","",E10*F10)</f>
        <v/>
      </c>
    </row>
    <row r="11" ht="22" customHeight="1">
      <c r="A11" s="8" t="n">
        <v>2</v>
      </c>
      <c r="B11" s="9" t="inlineStr">
        <is>
          <t>Spiral yemleme sistemi (yemlik boru, yemlik tabağı, yay, boru kelepçesi)</t>
        </is>
      </c>
      <c r="C11" s="8" t="inlineStr">
        <is>
          <t>m</t>
        </is>
      </c>
      <c r="D11" s="10" t="n">
        <v>234</v>
      </c>
      <c r="E11" s="10" t="n">
        <v>468</v>
      </c>
      <c r="F11" s="10" t="n"/>
      <c r="G11" s="10">
        <f>IF(F11="","",E11*F11)</f>
        <v/>
      </c>
    </row>
    <row r="12" ht="22" customHeight="1">
      <c r="A12" s="8" t="n">
        <v>3</v>
      </c>
      <c r="B12" s="9" t="inlineStr">
        <is>
          <t>15'li nipel sulama sistemi (20 cm'de bir krom nipelli boru, nipel çanağı, muf ve muf teli ile)</t>
        </is>
      </c>
      <c r="C12" s="8" t="inlineStr">
        <is>
          <t>m</t>
        </is>
      </c>
      <c r="D12" s="10" t="n">
        <v>312</v>
      </c>
      <c r="E12" s="10" t="n">
        <v>624</v>
      </c>
      <c r="F12" s="10" t="n"/>
      <c r="G12" s="10">
        <f>IF(F12="","",E12*F12)</f>
        <v/>
      </c>
    </row>
    <row r="13" ht="14" customHeight="1">
      <c r="A13" s="8" t="n">
        <v>4</v>
      </c>
      <c r="B13" s="9" t="inlineStr">
        <is>
          <t>Regülatör takımı</t>
        </is>
      </c>
      <c r="C13" s="8" t="inlineStr">
        <is>
          <t>ad</t>
        </is>
      </c>
      <c r="D13" s="10" t="n">
        <v>4</v>
      </c>
      <c r="E13" s="10" t="n">
        <v>8</v>
      </c>
      <c r="F13" s="10" t="n"/>
      <c r="G13" s="10">
        <f>IF(F13="","",E13*F13)</f>
        <v/>
      </c>
    </row>
    <row r="14" ht="22" customHeight="1">
      <c r="A14" s="8" t="n">
        <v>5</v>
      </c>
      <c r="B14" s="9" t="inlineStr">
        <is>
          <t>Yemlik ve suluk kaldırma sistemi (6 ve 5 mm halat, sarı ve beyaz ip, klemens, plastik makara, askı saçı, bilyalı makara)</t>
        </is>
      </c>
      <c r="C14" s="8" t="inlineStr">
        <is>
          <t>m</t>
        </is>
      </c>
      <c r="D14" s="10" t="n">
        <v>630</v>
      </c>
      <c r="E14" s="10" t="n">
        <v>1260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Yemlik motorlu kaldırma sistemi (1,1 kW çift redüktörlü frenli kaldırma motoru, mafsal 50'lik boru, UCP bilya, kontrol panosu dâhil)</t>
        </is>
      </c>
      <c r="C15" s="8" t="inlineStr">
        <is>
          <t>ad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Nipel motorlu kaldırma sistemi (0,75 kW çift redüktörlü frenli kaldırma motoru, mafsal 50'lik boru, UCP bilya, kontrol panosu dâhil)</t>
        </is>
      </c>
      <c r="C16" s="8" t="inlineStr">
        <is>
          <t>ad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8</v>
      </c>
      <c r="B17" s="9" t="inlineStr">
        <is>
          <t>140 x 140 cm tünel havalandırma fanı</t>
        </is>
      </c>
      <c r="C17" s="8" t="inlineStr">
        <is>
          <t>ad</t>
        </is>
      </c>
      <c r="D17" s="10" t="n">
        <v>4</v>
      </c>
      <c r="E17" s="10" t="n">
        <v>8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3 makaralı klape (hava giriş kapağı)</t>
        </is>
      </c>
      <c r="C18" s="8" t="inlineStr">
        <is>
          <t>ad</t>
        </is>
      </c>
      <c r="D18" s="10" t="n">
        <v>30</v>
      </c>
      <c r="E18" s="10" t="n">
        <v>60</v>
      </c>
      <c r="F18" s="10" t="n"/>
      <c r="G18" s="10">
        <f>IF(F18="","",E18*F18)</f>
        <v/>
      </c>
    </row>
    <row r="19" ht="14" customHeight="1">
      <c r="A19" s="8" t="n">
        <v>10</v>
      </c>
      <c r="B19" s="9" t="inlineStr">
        <is>
          <t>Klape açma sistemi</t>
        </is>
      </c>
      <c r="C19" s="8" t="inlineStr">
        <is>
          <t>ad</t>
        </is>
      </c>
      <c r="D19" s="10" t="n">
        <v>2</v>
      </c>
      <c r="E19" s="10" t="n">
        <v>4</v>
      </c>
      <c r="F19" s="10" t="n"/>
      <c r="G19" s="10">
        <f>IF(F19="","",E19*F19)</f>
        <v/>
      </c>
    </row>
    <row r="20" ht="22" customHeight="1">
      <c r="A20" s="8" t="n">
        <v>11</v>
      </c>
      <c r="B20" s="9" t="inlineStr">
        <is>
          <t>7 inç dokunmatik ekran kümes kontrol panosu (uzaktan erişim, karbondioksit, nem ve basınç sensörü, 5 ısı sensörü dâhil)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 ht="22" customHeight="1">
      <c r="A21" s="8" t="n">
        <v>12</v>
      </c>
      <c r="B21" s="9" t="inlineStr">
        <is>
          <t>15 m x 1,5 m x 15 cm PVC çerçeveli, kendinden depolu ve su pompalı tüp ped (serinletme) sistemi</t>
        </is>
      </c>
      <c r="C21" s="8" t="inlineStr">
        <is>
          <t>m²</t>
        </is>
      </c>
      <c r="D21" s="10" t="n">
        <v>22.86</v>
      </c>
      <c r="E21" s="10" t="n">
        <v>45.72</v>
      </c>
      <c r="F21" s="10" t="n"/>
      <c r="G21" s="10">
        <f>IF(F21="","",E21*F21)</f>
        <v/>
      </c>
    </row>
    <row r="22" ht="14" customHeight="1">
      <c r="A22" s="8" t="n">
        <v>13</v>
      </c>
      <c r="B22" s="9" t="inlineStr">
        <is>
          <t>Ped kapağı açma sistemi</t>
        </is>
      </c>
      <c r="C22" s="8" t="inlineStr">
        <is>
          <t>ad</t>
        </is>
      </c>
      <c r="D22" s="10" t="n">
        <v>2</v>
      </c>
      <c r="E22" s="10" t="n">
        <v>4</v>
      </c>
      <c r="F22" s="10" t="n"/>
      <c r="G22" s="10">
        <f>IF(F22="","",E22*F22)</f>
        <v/>
      </c>
    </row>
    <row r="23" ht="14" customHeight="1">
      <c r="A23" s="8" t="n">
        <v>14</v>
      </c>
      <c r="B23" s="9" t="inlineStr">
        <is>
          <t>110 x 150 cm ped kapağı</t>
        </is>
      </c>
      <c r="C23" s="8" t="inlineStr">
        <is>
          <t>ad</t>
        </is>
      </c>
      <c r="D23" s="10" t="n">
        <v>20</v>
      </c>
      <c r="E23" s="10" t="n">
        <v>40</v>
      </c>
      <c r="F23" s="10" t="n"/>
      <c r="G23" s="10">
        <f>IF(F23="","",E23*F23)</f>
        <v/>
      </c>
    </row>
    <row r="24" ht="14" customHeight="1">
      <c r="A24" s="8" t="n">
        <v>15</v>
      </c>
      <c r="B24" s="9" t="inlineStr">
        <is>
          <t>18 ton galvaniz yem silosu ve alt grubu</t>
        </is>
      </c>
      <c r="C24" s="8" t="inlineStr">
        <is>
          <t>ad</t>
        </is>
      </c>
      <c r="D24" s="10" t="n">
        <v>1</v>
      </c>
      <c r="E24" s="10" t="n">
        <v>2</v>
      </c>
      <c r="F24" s="10" t="n"/>
      <c r="G24" s="10">
        <f>IF(F24="","",E24*F24)</f>
        <v/>
      </c>
    </row>
    <row r="25" ht="14" customHeight="1">
      <c r="A25" s="8" t="n">
        <v>16</v>
      </c>
      <c r="B25" s="9" t="inlineStr">
        <is>
          <t>İşçilik ve nakliye</t>
        </is>
      </c>
      <c r="C25" s="8" t="inlineStr">
        <is>
          <t>tk</t>
        </is>
      </c>
      <c r="D25" s="10" t="n">
        <v>1</v>
      </c>
      <c r="E25" s="10" t="n">
        <v>2</v>
      </c>
      <c r="F25" s="10" t="n"/>
      <c r="G25" s="10">
        <f>IF(F25="","",E25*F25)</f>
        <v/>
      </c>
    </row>
    <row r="26">
      <c r="A26" s="6" t="inlineStr">
        <is>
          <t>B — KÜMES ISITMA SİSTEMİ</t>
        </is>
      </c>
      <c r="B26" s="7" t="n"/>
      <c r="C26" s="7" t="n"/>
      <c r="D26" s="7" t="n"/>
      <c r="E26" s="7" t="n"/>
      <c r="F26" s="7" t="n"/>
      <c r="G26" s="7" t="n"/>
    </row>
    <row r="27" ht="33" customHeight="1">
      <c r="A27" s="8" t="n">
        <v>1</v>
      </c>
      <c r="B27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27" s="8" t="inlineStr">
        <is>
          <t>ad</t>
        </is>
      </c>
      <c r="D27" s="10" t="n">
        <v>1</v>
      </c>
      <c r="E27" s="10" t="n">
        <v>2</v>
      </c>
      <c r="F27" s="10" t="n"/>
      <c r="G27" s="10">
        <f>IF(F27="","",E27*F27)</f>
        <v/>
      </c>
    </row>
    <row r="28">
      <c r="A28" s="11" t="inlineStr">
        <is>
          <t>TOPLAM (KDV hariç)</t>
        </is>
      </c>
      <c r="B28" s="12" t="n"/>
      <c r="C28" s="12" t="n"/>
      <c r="D28" s="12" t="n"/>
      <c r="E28" s="12" t="n"/>
      <c r="F28" s="12" t="n"/>
      <c r="G28" s="13">
        <f>SUM(G10:G27)</f>
        <v/>
      </c>
    </row>
    <row r="30">
      <c r="A30" s="14" t="inlineStr">
        <is>
          <t>TEDARİKÇİ BİLGİLERİ</t>
        </is>
      </c>
    </row>
    <row r="31">
      <c r="A31" s="15" t="inlineStr">
        <is>
          <t>Tedarikçinin ticari unvanı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Adresi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Vergi dairesi ve numarası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Telefon / e-posta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Proforma numarası ve tarihi</t>
        </is>
      </c>
      <c r="B35" s="7" t="n"/>
      <c r="C35" s="7" t="n"/>
      <c r="D35" s="7" t="n"/>
      <c r="E35" s="7" t="n"/>
      <c r="F35" s="7" t="n"/>
      <c r="G35" s="7" t="n"/>
    </row>
    <row r="37">
      <c r="A37" s="14" t="inlineStr">
        <is>
          <t>TESLİM VE ÖDEME ŞARTLARI</t>
        </is>
      </c>
    </row>
    <row r="38">
      <c r="A38" s="15" t="inlineStr">
        <is>
          <t>Para birimi</t>
        </is>
      </c>
      <c r="B38" s="7" t="n"/>
      <c r="C38" s="7" t="n"/>
      <c r="D38" s="7" t="n"/>
      <c r="E38" s="7" t="n"/>
      <c r="F38" s="7" t="n"/>
      <c r="G38" s="7" t="n"/>
    </row>
    <row r="39">
      <c r="A39" s="15" t="inlineStr">
        <is>
          <t>Fiyatlara KDV dâhil mi</t>
        </is>
      </c>
      <c r="B39" s="7" t="n"/>
      <c r="C39" s="7" t="n"/>
      <c r="D39" s="7" t="n"/>
      <c r="E39" s="7" t="n"/>
      <c r="F39" s="7" t="n"/>
      <c r="G39" s="7" t="n"/>
    </row>
    <row r="40">
      <c r="A40" s="15" t="inlineStr">
        <is>
          <t>Teslim yeri</t>
        </is>
      </c>
      <c r="B40" s="7" t="n"/>
      <c r="C40" s="7" t="n"/>
      <c r="D40" s="7" t="n"/>
      <c r="E40" s="7" t="n"/>
      <c r="F40" s="7" t="n"/>
      <c r="G40" s="7" t="n"/>
    </row>
    <row r="41">
      <c r="A41" s="15" t="inlineStr">
        <is>
          <t>Teslim süresi</t>
        </is>
      </c>
      <c r="B41" s="7" t="n"/>
      <c r="C41" s="7" t="n"/>
      <c r="D41" s="7" t="n"/>
      <c r="E41" s="7" t="n"/>
      <c r="F41" s="7" t="n"/>
      <c r="G41" s="7" t="n"/>
    </row>
    <row r="42">
      <c r="A42" s="15" t="inlineStr">
        <is>
          <t>Ödeme şekli</t>
        </is>
      </c>
      <c r="B42" s="7" t="n"/>
      <c r="C42" s="7" t="n"/>
      <c r="D42" s="7" t="n"/>
      <c r="E42" s="7" t="n"/>
      <c r="F42" s="7" t="n"/>
      <c r="G42" s="7" t="n"/>
    </row>
    <row r="43">
      <c r="A43" s="15" t="inlineStr">
        <is>
          <t>Fiyat geçerlilik süresi</t>
        </is>
      </c>
      <c r="B43" s="7" t="n"/>
      <c r="C43" s="7" t="n"/>
      <c r="D43" s="7" t="n"/>
      <c r="E43" s="7" t="n"/>
      <c r="F43" s="7" t="n"/>
      <c r="G43" s="7" t="n"/>
    </row>
    <row r="45">
      <c r="A45" s="4" t="inlineStr">
        <is>
          <t>Proforma, tedarikçinin kendi antetli kâğıdında, kaşe ve imzasıyla düzenlenmelidir.</t>
        </is>
      </c>
    </row>
  </sheetData>
  <mergeCells count="20">
    <mergeCell ref="B2:G2"/>
    <mergeCell ref="B42:G42"/>
    <mergeCell ref="B38:G38"/>
    <mergeCell ref="B34:G34"/>
    <mergeCell ref="A9:G9"/>
    <mergeCell ref="A30:G30"/>
    <mergeCell ref="B40:G40"/>
    <mergeCell ref="B33:G33"/>
    <mergeCell ref="A1:G1"/>
    <mergeCell ref="A28:F28"/>
    <mergeCell ref="B41:G41"/>
    <mergeCell ref="B32:G32"/>
    <mergeCell ref="B4:G4"/>
    <mergeCell ref="B35:G35"/>
    <mergeCell ref="A37:G37"/>
    <mergeCell ref="B3:G3"/>
    <mergeCell ref="B31:G31"/>
    <mergeCell ref="A26:G26"/>
    <mergeCell ref="B43:G43"/>
    <mergeCell ref="B39:G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2026-08-29T12:04:26Z</dcterms:created>
  <dcterms:modified xmlns:dcterms="http://purl.org/dc/terms/" xmlns:xsi="http://www.w3.org/2001/XMLSchema-instance" xsi:type="dcterms:W3CDTF">2026-08-29T12:04:26Z</dcterms:modified>
</cp:coreProperties>
</file>