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İstek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i val="1"/>
      <color rgb="00555555"/>
      <sz val="8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4" fontId="0" fillId="0" borderId="1" pivotButton="0" quotePrefix="0" xfId="0"/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pivotButton="0" quotePrefix="0" xfId="0"/>
    <xf numFmtId="0" fontId="2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68" customWidth="1" min="2" max="2"/>
    <col width="8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MAKİNE-EKİPMAN VE ISITMA SİSTEMİ LİSTESİ — PROFORMA İÇİN</t>
        </is>
      </c>
    </row>
    <row r="2">
      <c r="A2" s="2" t="inlineStr">
        <is>
          <t>Yatırımın Adı</t>
        </is>
      </c>
      <c r="B2" s="3" t="inlineStr">
        <is>
          <t>MUSAB EDER ÇİFTLİĞİ KANATLI (ETLİK PİLİÇ) KÜMESİ MAKİNE VE EKİPMAN ALIMI</t>
        </is>
      </c>
    </row>
    <row r="3">
      <c r="A3" s="2" t="inlineStr">
        <is>
          <t>Yatırımın Adresi</t>
        </is>
      </c>
      <c r="B3" s="3" t="inlineStr">
        <is>
          <t>Kocaeli İli Karamürsel İlçesi İnebeyli Mahallesi, 138 ada 17 parsel, 7.966,67 m² arsa</t>
        </is>
      </c>
    </row>
    <row r="4">
      <c r="A4" s="2" t="inlineStr">
        <is>
          <t>Yatırımcı</t>
        </is>
      </c>
      <c r="B4" s="3" t="inlineStr">
        <is>
          <t>MUSAB EDER</t>
        </is>
      </c>
    </row>
    <row r="6">
      <c r="A6" s="4" t="inlineStr">
        <is>
          <t>Birim fiyat ve tutar sütunlarını tedarikçi doldurur. Miktarlar projeden gelir, değiştirilmez.</t>
        </is>
      </c>
    </row>
    <row r="8" ht="30" customHeight="1">
      <c r="A8" s="5" t="inlineStr">
        <is>
          <t>No</t>
        </is>
      </c>
      <c r="B8" s="5" t="inlineStr">
        <is>
          <t>Kalemin adı</t>
        </is>
      </c>
      <c r="C8" s="5" t="inlineStr">
        <is>
          <t>Birimi</t>
        </is>
      </c>
      <c r="D8" s="5" t="inlineStr">
        <is>
          <t>Kümes başına miktar</t>
        </is>
      </c>
      <c r="E8" s="5" t="inlineStr">
        <is>
          <t>Toplam miktar (2 kümes)</t>
        </is>
      </c>
      <c r="F8" s="5" t="inlineStr">
        <is>
          <t>Birim fiyat (TL, KDV hariç)</t>
        </is>
      </c>
      <c r="G8" s="5" t="inlineStr">
        <is>
          <t>Tutar (TL, KDV hariç)</t>
        </is>
      </c>
    </row>
    <row r="9">
      <c r="A9" s="6" t="inlineStr">
        <is>
          <t>A — KÜMES MEKANİK EKİPMANI</t>
        </is>
      </c>
      <c r="B9" s="7" t="n"/>
      <c r="C9" s="7" t="n"/>
      <c r="D9" s="7" t="n"/>
      <c r="E9" s="7" t="n"/>
      <c r="F9" s="7" t="n"/>
      <c r="G9" s="7" t="n"/>
    </row>
    <row r="10" ht="44" customHeight="1">
      <c r="A10" s="8" t="n">
        <v>1</v>
      </c>
      <c r="B10" s="9" t="inlineStr">
        <is>
          <t>Yemleme sistemi (HZC-FD-01) — 3 hat, 243 m hat uzunluğu, 150 kg galvanizli yem deposu x 3, 0,55 kW yemlik motoru x 3, 35 cm çapında 324 plastik yemlik, 1,1 kW çift redüktörlü frenli otomatik kaldırma</t>
        </is>
      </c>
      <c r="C10" s="8" t="inlineStr">
        <is>
          <t>set</t>
        </is>
      </c>
      <c r="D10" s="10" t="n">
        <v>1</v>
      </c>
      <c r="E10" s="10" t="n">
        <v>2</v>
      </c>
      <c r="F10" s="10" t="n"/>
      <c r="G10" s="10">
        <f>IF(F10="","",E10*F10)</f>
        <v/>
      </c>
    </row>
    <row r="11" ht="33" customHeight="1">
      <c r="A11" s="8" t="n">
        <v>2</v>
      </c>
      <c r="B11" s="9" t="inlineStr">
        <is>
          <t>Kümes kontrol panosu (HZC-COM-004) — HZC-70 işlemcili; 5 sıcaklık, 1 nem, 1 basınç ve 1 CO2 sensörü, alarm sistemi, uzaktan erişim, PLC kontrol, raporlama ve analiz</t>
        </is>
      </c>
      <c r="C11" s="8" t="inlineStr">
        <is>
          <t>set</t>
        </is>
      </c>
      <c r="D11" s="10" t="n">
        <v>1</v>
      </c>
      <c r="E11" s="10" t="n">
        <v>2</v>
      </c>
      <c r="F11" s="10" t="n"/>
      <c r="G11" s="10">
        <f>IF(F11="","",E11*F11)</f>
        <v/>
      </c>
    </row>
    <row r="12" ht="33" customHeight="1">
      <c r="A12" s="8" t="n">
        <v>3</v>
      </c>
      <c r="B12" s="9" t="inlineStr">
        <is>
          <t>Tünel havalandırma fanı (HZC-WNT-012) — 4 adet, 138 x 138 x 42 cm, 40.000 m³/h, 1,5 kW, galvanizli çelik kanat, ahtapot sistemli otomatik panjur</t>
        </is>
      </c>
      <c r="C12" s="8" t="inlineStr">
        <is>
          <t>set</t>
        </is>
      </c>
      <c r="D12" s="10" t="n">
        <v>1</v>
      </c>
      <c r="E12" s="10" t="n">
        <v>2</v>
      </c>
      <c r="F12" s="10" t="n"/>
      <c r="G12" s="10">
        <f>IF(F12="","",E12*F12)</f>
        <v/>
      </c>
    </row>
    <row r="13" ht="33" customHeight="1">
      <c r="A13" s="8" t="n">
        <v>4</v>
      </c>
      <c r="B13" s="9" t="inlineStr">
        <is>
          <t>Sulama sistemi (HZC-WTR-005) — 4 hat, hat başına 312 m, 22 x 22 mm hat çapı, 1.560 metal 360° nipel suluk, 4 regülatör, 0,75 kW çift redüktörlü frenli otomatik kaldırma</t>
        </is>
      </c>
      <c r="C13" s="8" t="inlineStr">
        <is>
          <t>set</t>
        </is>
      </c>
      <c r="D13" s="10" t="n">
        <v>1</v>
      </c>
      <c r="E13" s="10" t="n">
        <v>2</v>
      </c>
      <c r="F13" s="10" t="n"/>
      <c r="G13" s="10">
        <f>IF(F13="","",E13*F13)</f>
        <v/>
      </c>
    </row>
    <row r="14" ht="44" customHeight="1">
      <c r="A14" s="8" t="n">
        <v>5</v>
      </c>
      <c r="B14" s="9" t="inlineStr">
        <is>
          <t>Soğutma pedi sistemi (HZC-WNT-024) — Tüplü, dahili devridaimli; 15 cm kalınlık, 150 cm yükseklik, 2 x 15 m uzunluk (45 m² ped alanı), PVC çerçeve, XPS petek kapakları, 2 aktüatör, 2 adet 0,50 kW su pompası</t>
        </is>
      </c>
      <c r="C14" s="8" t="inlineStr">
        <is>
          <t>set</t>
        </is>
      </c>
      <c r="D14" s="10" t="n">
        <v>1</v>
      </c>
      <c r="E14" s="10" t="n">
        <v>2</v>
      </c>
      <c r="F14" s="10" t="n"/>
      <c r="G14" s="10">
        <f>IF(F14="","",E14*F14)</f>
        <v/>
      </c>
    </row>
    <row r="15" ht="44" customHeight="1">
      <c r="A15" s="8" t="n">
        <v>6</v>
      </c>
      <c r="B15" s="9" t="inlineStr">
        <is>
          <t>Klape sistemi (HZC-WNT-001) — 30 adet 26 x 56 cm izolasyonlu plastik klape, klape başına 1.750 m³/h (30 x 1.750 = 52.500 m³/h, mekanik projedeki 46.717 m³/h ihtiyacının üzerinde), 2 aktüatörlü açma-kapama, 161 m hat</t>
        </is>
      </c>
      <c r="C15" s="8" t="inlineStr">
        <is>
          <t>set</t>
        </is>
      </c>
      <c r="D15" s="10" t="n">
        <v>1</v>
      </c>
      <c r="E15" s="10" t="n">
        <v>2</v>
      </c>
      <c r="F15" s="10" t="n"/>
      <c r="G15" s="10">
        <f>IF(F15="","",E15*F15)</f>
        <v/>
      </c>
    </row>
    <row r="16" ht="33" customHeight="1">
      <c r="A16" s="8" t="n">
        <v>7</v>
      </c>
      <c r="B16" s="9" t="inlineStr">
        <is>
          <t>Yem silosu ve nakil sistemi (HZC-SLO-004) — En az 17,77 ton galvaniz kaplama sac silo, helezonlu merdiven, 0,75 kW yem nakil motoru, 22 m PVC nakil hattı</t>
        </is>
      </c>
      <c r="C16" s="8" t="inlineStr">
        <is>
          <t>set</t>
        </is>
      </c>
      <c r="D16" s="10" t="n">
        <v>1</v>
      </c>
      <c r="E16" s="10" t="n">
        <v>2</v>
      </c>
      <c r="F16" s="10" t="n"/>
      <c r="G16" s="10">
        <f>IF(F16="","",E16*F16)</f>
        <v/>
      </c>
    </row>
    <row r="17" ht="14" customHeight="1">
      <c r="A17" s="8" t="n">
        <v>9</v>
      </c>
      <c r="B17" s="9" t="inlineStr">
        <is>
          <t>Montaj ve nakliye (—) — Kümes montajı ve nakliye bedelleri</t>
        </is>
      </c>
      <c r="C17" s="8" t="inlineStr">
        <is>
          <t>set</t>
        </is>
      </c>
      <c r="D17" s="10" t="n">
        <v>1</v>
      </c>
      <c r="E17" s="10" t="n">
        <v>2</v>
      </c>
      <c r="F17" s="10" t="n"/>
      <c r="G17" s="10">
        <f>IF(F17="","",E17*F17)</f>
        <v/>
      </c>
    </row>
    <row r="18">
      <c r="A18" s="6" t="inlineStr">
        <is>
          <t>B — KÜMES ISITMA SİSTEMİ</t>
        </is>
      </c>
      <c r="B18" s="7" t="n"/>
      <c r="C18" s="7" t="n"/>
      <c r="D18" s="7" t="n"/>
      <c r="E18" s="7" t="n"/>
      <c r="F18" s="7" t="n"/>
      <c r="G18" s="7" t="n"/>
    </row>
    <row r="19" ht="33" customHeight="1">
      <c r="A19" s="8" t="n">
        <v>1</v>
      </c>
      <c r="B19" s="9" t="inlineStr">
        <is>
          <t>Merkezi sistem katı yakıtlı sıcak hava üreteci (kazan) — kümes başına en az 290 kW (≈ 249.000 kcal/h) ısıtma kapasitesi; kümes içi branda ve hava kanalı ekipmanları, montaj ve devreye alma dâhil</t>
        </is>
      </c>
      <c r="C19" s="8" t="inlineStr">
        <is>
          <t>ad</t>
        </is>
      </c>
      <c r="D19" s="10" t="n">
        <v>1</v>
      </c>
      <c r="E19" s="10" t="n">
        <v>2</v>
      </c>
      <c r="F19" s="10" t="n"/>
      <c r="G19" s="10">
        <f>IF(F19="","",E19*F19)</f>
        <v/>
      </c>
    </row>
    <row r="20">
      <c r="A20" s="11" t="inlineStr">
        <is>
          <t>TOPLAM (KDV hariç)</t>
        </is>
      </c>
      <c r="B20" s="12" t="n"/>
      <c r="C20" s="12" t="n"/>
      <c r="D20" s="12" t="n"/>
      <c r="E20" s="12" t="n"/>
      <c r="F20" s="12" t="n"/>
      <c r="G20" s="13">
        <f>SUM(G10:G19)</f>
        <v/>
      </c>
    </row>
    <row r="22">
      <c r="A22" s="14" t="inlineStr">
        <is>
          <t>TEDARİKÇİ BİLGİLERİ</t>
        </is>
      </c>
    </row>
    <row r="23">
      <c r="A23" s="15" t="inlineStr">
        <is>
          <t>Tedarikçinin ticari unvanı</t>
        </is>
      </c>
      <c r="B23" s="7" t="n"/>
      <c r="C23" s="7" t="n"/>
      <c r="D23" s="7" t="n"/>
      <c r="E23" s="7" t="n"/>
      <c r="F23" s="7" t="n"/>
      <c r="G23" s="7" t="n"/>
    </row>
    <row r="24">
      <c r="A24" s="15" t="inlineStr">
        <is>
          <t>Adresi</t>
        </is>
      </c>
      <c r="B24" s="7" t="n"/>
      <c r="C24" s="7" t="n"/>
      <c r="D24" s="7" t="n"/>
      <c r="E24" s="7" t="n"/>
      <c r="F24" s="7" t="n"/>
      <c r="G24" s="7" t="n"/>
    </row>
    <row r="25">
      <c r="A25" s="15" t="inlineStr">
        <is>
          <t>Vergi dairesi ve numarası</t>
        </is>
      </c>
      <c r="B25" s="7" t="n"/>
      <c r="C25" s="7" t="n"/>
      <c r="D25" s="7" t="n"/>
      <c r="E25" s="7" t="n"/>
      <c r="F25" s="7" t="n"/>
      <c r="G25" s="7" t="n"/>
    </row>
    <row r="26">
      <c r="A26" s="15" t="inlineStr">
        <is>
          <t>Telefon / e-posta</t>
        </is>
      </c>
      <c r="B26" s="7" t="n"/>
      <c r="C26" s="7" t="n"/>
      <c r="D26" s="7" t="n"/>
      <c r="E26" s="7" t="n"/>
      <c r="F26" s="7" t="n"/>
      <c r="G26" s="7" t="n"/>
    </row>
    <row r="27">
      <c r="A27" s="15" t="inlineStr">
        <is>
          <t>Proforma numarası ve tarihi</t>
        </is>
      </c>
      <c r="B27" s="7" t="n"/>
      <c r="C27" s="7" t="n"/>
      <c r="D27" s="7" t="n"/>
      <c r="E27" s="7" t="n"/>
      <c r="F27" s="7" t="n"/>
      <c r="G27" s="7" t="n"/>
    </row>
    <row r="29">
      <c r="A29" s="14" t="inlineStr">
        <is>
          <t>TESLİM VE ÖDEME ŞARTLARI</t>
        </is>
      </c>
    </row>
    <row r="30">
      <c r="A30" s="15" t="inlineStr">
        <is>
          <t>Para birimi</t>
        </is>
      </c>
      <c r="B30" s="7" t="n"/>
      <c r="C30" s="7" t="n"/>
      <c r="D30" s="7" t="n"/>
      <c r="E30" s="7" t="n"/>
      <c r="F30" s="7" t="n"/>
      <c r="G30" s="7" t="n"/>
    </row>
    <row r="31">
      <c r="A31" s="15" t="inlineStr">
        <is>
          <t>Fiyatlara KDV dâhil mi</t>
        </is>
      </c>
      <c r="B31" s="7" t="n"/>
      <c r="C31" s="7" t="n"/>
      <c r="D31" s="7" t="n"/>
      <c r="E31" s="7" t="n"/>
      <c r="F31" s="7" t="n"/>
      <c r="G31" s="7" t="n"/>
    </row>
    <row r="32">
      <c r="A32" s="15" t="inlineStr">
        <is>
          <t>Teslim yeri</t>
        </is>
      </c>
      <c r="B32" s="7" t="n"/>
      <c r="C32" s="7" t="n"/>
      <c r="D32" s="7" t="n"/>
      <c r="E32" s="7" t="n"/>
      <c r="F32" s="7" t="n"/>
      <c r="G32" s="7" t="n"/>
    </row>
    <row r="33">
      <c r="A33" s="15" t="inlineStr">
        <is>
          <t>Teslim süresi</t>
        </is>
      </c>
      <c r="B33" s="7" t="n"/>
      <c r="C33" s="7" t="n"/>
      <c r="D33" s="7" t="n"/>
      <c r="E33" s="7" t="n"/>
      <c r="F33" s="7" t="n"/>
      <c r="G33" s="7" t="n"/>
    </row>
    <row r="34">
      <c r="A34" s="15" t="inlineStr">
        <is>
          <t>Ödeme şekli</t>
        </is>
      </c>
      <c r="B34" s="7" t="n"/>
      <c r="C34" s="7" t="n"/>
      <c r="D34" s="7" t="n"/>
      <c r="E34" s="7" t="n"/>
      <c r="F34" s="7" t="n"/>
      <c r="G34" s="7" t="n"/>
    </row>
    <row r="35">
      <c r="A35" s="15" t="inlineStr">
        <is>
          <t>Fiyat geçerlilik süresi</t>
        </is>
      </c>
      <c r="B35" s="7" t="n"/>
      <c r="C35" s="7" t="n"/>
      <c r="D35" s="7" t="n"/>
      <c r="E35" s="7" t="n"/>
      <c r="F35" s="7" t="n"/>
      <c r="G35" s="7" t="n"/>
    </row>
    <row r="37">
      <c r="A37" s="4" t="inlineStr">
        <is>
          <t>Proforma, tedarikçinin kendi antetli kâğıdında, kaşe ve imzasıyla düzenlenmelidir.</t>
        </is>
      </c>
    </row>
  </sheetData>
  <mergeCells count="20">
    <mergeCell ref="B2:G2"/>
    <mergeCell ref="A22:G22"/>
    <mergeCell ref="B23:G23"/>
    <mergeCell ref="A29:G29"/>
    <mergeCell ref="B34:G34"/>
    <mergeCell ref="A9:G9"/>
    <mergeCell ref="A20:F20"/>
    <mergeCell ref="B30:G30"/>
    <mergeCell ref="B33:G33"/>
    <mergeCell ref="B24:G24"/>
    <mergeCell ref="A1:G1"/>
    <mergeCell ref="B32:G32"/>
    <mergeCell ref="B4:G4"/>
    <mergeCell ref="B35:G35"/>
    <mergeCell ref="B26:G26"/>
    <mergeCell ref="B25:G25"/>
    <mergeCell ref="B3:G3"/>
    <mergeCell ref="A18:G18"/>
    <mergeCell ref="B31:G31"/>
    <mergeCell ref="B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2026-08-29T13:39:18Z</dcterms:created>
  <dcterms:modified xmlns:dcterms="http://purl.org/dc/terms/" xmlns:xsi="http://www.w3.org/2001/XMLSchema-instance" xsi:type="dcterms:W3CDTF">2026-08-29T13:39:18Z</dcterms:modified>
</cp:coreProperties>
</file>