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5" t="n"/>
      <c r="B47" s="9" t="n">
        <v>16</v>
      </c>
      <c r="C47" s="10" t="inlineStr">
        <is>
          <t>30.120.2016</t>
        </is>
      </c>
      <c r="D47" s="11" t="inlineStr">
        <is>
          <t>Otomatik transfer şalteri 4 x 200 A (%25 müteahhit kârı dahil)</t>
        </is>
      </c>
      <c r="E47" s="12" t="inlineStr">
        <is>
          <t>ad</t>
        </is>
      </c>
      <c r="F47" s="13" t="n">
        <v>1</v>
      </c>
    </row>
    <row r="48"/>
    <row r="49" ht="20" customHeight="1">
      <c r="A49" s="4" t="inlineStr">
        <is>
          <t>&lt; Kümes B Blok &gt;   —   inşaat alanı 1.106.00 m²</t>
        </is>
      </c>
    </row>
    <row r="50" ht="24" customHeight="1">
      <c r="A50" s="5" t="inlineStr">
        <is>
          <t>A blok ile geometrik olarak birebir aynıdır.</t>
        </is>
      </c>
      <c r="B50" s="6" t="n"/>
      <c r="C50" s="6" t="n"/>
      <c r="D50" s="6" t="n"/>
      <c r="E50" s="6" t="n"/>
      <c r="F50" s="6" t="n"/>
    </row>
    <row r="51" ht="28" customHeight="1">
      <c r="A51" s="7" t="inlineStr">
        <is>
          <t>Uygun Harcama Kaleminin EK-1'de yer alan adı</t>
        </is>
      </c>
      <c r="B51" s="7" t="inlineStr">
        <is>
          <t>No</t>
        </is>
      </c>
      <c r="C51" s="7" t="inlineStr">
        <is>
          <t>Poz No</t>
        </is>
      </c>
      <c r="D51" s="7" t="inlineStr">
        <is>
          <t>Yapım İşinin Adı</t>
        </is>
      </c>
      <c r="E51" s="7" t="inlineStr">
        <is>
          <t>Birimi</t>
        </is>
      </c>
      <c r="F51" s="7" t="inlineStr">
        <is>
          <t>Miktarı</t>
        </is>
      </c>
    </row>
    <row r="52" ht="14" customHeight="1">
      <c r="A52" s="8" t="inlineStr">
        <is>
          <t>Kazı, dolgu ve reglaj işleri</t>
        </is>
      </c>
      <c r="B52" s="9" t="n">
        <v>1</v>
      </c>
      <c r="C52" s="10" t="inlineStr">
        <is>
          <t>15.120.1001</t>
        </is>
      </c>
      <c r="D52" s="11" t="inlineStr">
        <is>
          <t>Makine ile yumuşak ve sert toprak kazılması</t>
        </is>
      </c>
      <c r="E52" s="12" t="inlineStr">
        <is>
          <t>m³</t>
        </is>
      </c>
      <c r="F52" s="13" t="n">
        <v>1684.38</v>
      </c>
    </row>
    <row r="53" ht="31.5" customHeight="1">
      <c r="A53" s="8" t="inlineStr">
        <is>
          <t>Beton işleri</t>
        </is>
      </c>
      <c r="B53" s="9" t="n">
        <v>1</v>
      </c>
      <c r="C53" s="10" t="inlineStr">
        <is>
          <t>15.150.1003</t>
        </is>
      </c>
      <c r="D53" s="11" t="inlineStr">
        <is>
          <t>Beton santralinde üretilen veya satın alınan ve beton pompasıyla basılan, C 16/20 basınç dayanım sınıfında, gri renkte, normal hazır beton dökülmesi (beton nakli dahil)</t>
        </is>
      </c>
      <c r="E53" s="12" t="inlineStr">
        <is>
          <t>m³</t>
        </is>
      </c>
      <c r="F53" s="13" t="n">
        <v>31.428</v>
      </c>
    </row>
    <row r="54" ht="31.5" customHeight="1">
      <c r="A54" s="8" t="inlineStr">
        <is>
          <t>Betonarme işleri</t>
        </is>
      </c>
      <c r="B54" s="9" t="n">
        <v>1</v>
      </c>
      <c r="C54" s="10" t="inlineStr">
        <is>
          <t>15.150.1005</t>
        </is>
      </c>
      <c r="D54" s="11" t="inlineStr">
        <is>
          <t>Beton santralinde üretilen veya satın alınan ve beton pompasıyla basılan, C 25/30 basınç dayanım sınıfında, gri renkte, normal hazır beton dökülmesi (beton nakli dahil)</t>
        </is>
      </c>
      <c r="E54" s="12" t="inlineStr">
        <is>
          <t>m³</t>
        </is>
      </c>
      <c r="F54" s="13" t="n">
        <v>278.34</v>
      </c>
    </row>
    <row r="55" ht="14" customHeight="1">
      <c r="A55" s="8" t="inlineStr">
        <is>
          <t>Kalıp, yapı iskelesi işleri</t>
        </is>
      </c>
      <c r="B55" s="9" t="n">
        <v>1</v>
      </c>
      <c r="C55" s="10" t="inlineStr">
        <is>
          <t>15.180.1003</t>
        </is>
      </c>
      <c r="D55" s="11" t="inlineStr">
        <is>
          <t>Plywood ile düz yüzeyli betonarme kalıbı yapılması</t>
        </is>
      </c>
      <c r="E55" s="12" t="inlineStr">
        <is>
          <t>m²</t>
        </is>
      </c>
      <c r="F55" s="13" t="n">
        <v>551.26</v>
      </c>
    </row>
    <row r="56" ht="21" customHeight="1">
      <c r="A56" s="8" t="inlineStr">
        <is>
          <t>Demir-inşaat işleri</t>
        </is>
      </c>
      <c r="B56" s="9" t="n">
        <v>1</v>
      </c>
      <c r="C56" s="10" t="inlineStr">
        <is>
          <t>15.160.1003</t>
        </is>
      </c>
      <c r="D56" s="11" t="inlineStr">
        <is>
          <t>Ø 8 - Ø 12 mm nervürlü beton çelik çubuğu, çubukların kesilmesi, bükülmesi ve yerine konulması</t>
        </is>
      </c>
      <c r="E56" s="12" t="inlineStr">
        <is>
          <t>ton</t>
        </is>
      </c>
      <c r="F56" s="13" t="n">
        <v>4.16</v>
      </c>
    </row>
    <row r="57" ht="21" customHeight="1">
      <c r="A57" s="14" t="n"/>
      <c r="B57" s="9" t="n">
        <v>2</v>
      </c>
      <c r="C57" s="10" t="inlineStr">
        <is>
          <t>15.160.1004</t>
        </is>
      </c>
      <c r="D57" s="11" t="inlineStr">
        <is>
          <t>Ø 14 - Ø 28 mm nervürlü beton çelik çubuğu, çubukların kesilmesi, bükülmesi ve yerine konulması</t>
        </is>
      </c>
      <c r="E57" s="12" t="inlineStr">
        <is>
          <t>ton</t>
        </is>
      </c>
      <c r="F57" s="13" t="n">
        <v>7.287</v>
      </c>
    </row>
    <row r="58" ht="14" customHeight="1">
      <c r="A58" s="15" t="n"/>
      <c r="B58" s="9" t="n">
        <v>3</v>
      </c>
      <c r="C58" s="10" t="inlineStr">
        <is>
          <t>15.160.1002</t>
        </is>
      </c>
      <c r="D58" s="11" t="inlineStr">
        <is>
          <t>Nervürlü çelik hasırın yerine konulması</t>
        </is>
      </c>
      <c r="E58" s="12" t="inlineStr">
        <is>
          <t>ton</t>
        </is>
      </c>
      <c r="F58" s="13" t="n">
        <v>3.637</v>
      </c>
    </row>
    <row r="59" ht="21" customHeight="1">
      <c r="A59" s="8" t="inlineStr">
        <is>
          <t>Çelik yapım-imalat işleri</t>
        </is>
      </c>
      <c r="B59" s="9" t="n">
        <v>1</v>
      </c>
      <c r="C59" s="10" t="inlineStr">
        <is>
          <t>15.165.1003</t>
        </is>
      </c>
      <c r="D59" s="11" t="inlineStr">
        <is>
          <t>Her çeşit profil, çelik çubuk ve çelik saclarla karkas (çerçeve) inşaat yapılması, yerine tespiti (boya bedeli hariç)</t>
        </is>
      </c>
      <c r="E59" s="12" t="inlineStr">
        <is>
          <t>ton</t>
        </is>
      </c>
      <c r="F59" s="13" t="n">
        <v>44.048</v>
      </c>
    </row>
    <row r="60" ht="14" customHeight="1">
      <c r="A60" s="15" t="n"/>
      <c r="B60" s="9" t="n">
        <v>2</v>
      </c>
      <c r="C60" s="10" t="inlineStr">
        <is>
          <t>15.550.1202</t>
        </is>
      </c>
      <c r="D60" s="11" t="inlineStr">
        <is>
          <t>Lama ve profil demirlerden çeşitli demir işleri yapılması ve yerine konulması</t>
        </is>
      </c>
      <c r="E60" s="12" t="inlineStr">
        <is>
          <t>kg</t>
        </is>
      </c>
      <c r="F60" s="13" t="n">
        <v>674</v>
      </c>
    </row>
    <row r="61" ht="21" customHeight="1">
      <c r="A61" s="8" t="inlineStr">
        <is>
          <t>Tuğla ve duvar işleri</t>
        </is>
      </c>
      <c r="B61" s="9" t="n">
        <v>1</v>
      </c>
      <c r="C61" s="10" t="inlineStr">
        <is>
          <t>15.225.1010</t>
        </is>
      </c>
      <c r="D61" s="11" t="inlineStr">
        <is>
          <t>20 cm kalınlığındaki teçhizatsız gazbeton duvar blokları ile duvar yapılması (gazbeton tutkalı ile)</t>
        </is>
      </c>
      <c r="E61" s="12" t="inlineStr">
        <is>
          <t>m²</t>
        </is>
      </c>
      <c r="F61" s="13" t="n">
        <v>507.91</v>
      </c>
    </row>
    <row r="62" ht="14" customHeight="1">
      <c r="A62" s="14" t="n"/>
      <c r="B62" s="9" t="n">
        <v>2</v>
      </c>
      <c r="C62" s="10" t="inlineStr">
        <is>
          <t>15.225.1410</t>
        </is>
      </c>
      <c r="D62" s="11" t="inlineStr">
        <is>
          <t>20 cm kalınlığındaki teçhizatlı gazbeton lento temini ve yerine konulması</t>
        </is>
      </c>
      <c r="E62" s="12" t="inlineStr">
        <is>
          <t>m²</t>
        </is>
      </c>
      <c r="F62" s="13" t="n">
        <v>49.85</v>
      </c>
    </row>
    <row r="63" ht="21" customHeight="1">
      <c r="A63" s="15" t="n"/>
      <c r="B63" s="9" t="n">
        <v>3</v>
      </c>
      <c r="C63" s="10" t="inlineStr">
        <is>
          <t>15.225.1004</t>
        </is>
      </c>
      <c r="D63" s="11" t="inlineStr">
        <is>
          <t>10 cm kalınlığındaki teçhizatsız gazbeton duvar blokları ile duvar yapılması (gazbeton tutkalı ile)</t>
        </is>
      </c>
      <c r="E63" s="12" t="inlineStr">
        <is>
          <t>m²</t>
        </is>
      </c>
      <c r="F63" s="13" t="n">
        <v>45</v>
      </c>
    </row>
    <row r="64" ht="21" customHeight="1">
      <c r="A64" s="8" t="inlineStr">
        <is>
          <t>Çatı ve sundurma işleri</t>
        </is>
      </c>
      <c r="B64" s="9" t="n">
        <v>1</v>
      </c>
      <c r="C64" s="10" t="inlineStr">
        <is>
          <t>TKDK-0042</t>
        </is>
      </c>
      <c r="D64" s="11" t="inlineStr">
        <is>
          <t>6 cm poliüretan dolgulu (üst min. 0,40 mm, alt min. 0,30 mm) boyalı galvanizli sac levhalar ile ısı yalıtımlı çatı kaplaması yapılması</t>
        </is>
      </c>
      <c r="E64" s="12" t="inlineStr">
        <is>
          <t>m²</t>
        </is>
      </c>
      <c r="F64" s="13" t="n">
        <v>1204.98</v>
      </c>
    </row>
    <row r="65" ht="14" customHeight="1">
      <c r="A65" s="14" t="n"/>
      <c r="B65" s="9" t="n">
        <v>2</v>
      </c>
      <c r="C65" s="10" t="inlineStr">
        <is>
          <t>TKDK-0115</t>
        </is>
      </c>
      <c r="D65" s="11" t="inlineStr">
        <is>
          <t>Galvanizli düz sacdan yağmur oluğu veya iniş borusu yapılması</t>
        </is>
      </c>
      <c r="E65" s="12" t="inlineStr">
        <is>
          <t>kg</t>
        </is>
      </c>
      <c r="F65" s="13" t="n">
        <v>319.2</v>
      </c>
    </row>
    <row r="66" ht="14" customHeight="1">
      <c r="A66" s="15" t="n"/>
      <c r="B66" s="9" t="n">
        <v>3</v>
      </c>
      <c r="C66" s="10" t="inlineStr">
        <is>
          <t>15.315.1001</t>
        </is>
      </c>
      <c r="D66" s="11" t="inlineStr">
        <is>
          <t>Ø 70 mm çapında bir ucu muflu sert PVC yağmur borusu temini ve yerine tesbiti</t>
        </is>
      </c>
      <c r="E66" s="12" t="inlineStr">
        <is>
          <t>m</t>
        </is>
      </c>
      <c r="F66" s="13" t="n">
        <v>51.2</v>
      </c>
    </row>
    <row r="67" ht="21" customHeight="1">
      <c r="A67" s="8" t="inlineStr">
        <is>
          <t>Doğramacılık işleri (Demir, Alüminyum, PVC, Kompozit)</t>
        </is>
      </c>
      <c r="B67" s="9" t="n">
        <v>1</v>
      </c>
      <c r="C67" s="10" t="inlineStr">
        <is>
          <t>TKDK-0151</t>
        </is>
      </c>
      <c r="D67" s="11" t="inlineStr">
        <is>
          <t>5 cm poliüretan dolgulu (üst 0,50 mm düz, alt 0,40 mm düz) fabrikasyon rulo boyama sistemi ile boyanmış galvaniz levhalar ile ısı yalıtımlı kapı yapılması</t>
        </is>
      </c>
      <c r="E67" s="12" t="inlineStr">
        <is>
          <t>m²</t>
        </is>
      </c>
      <c r="F67" s="13" t="n">
        <v>13.4</v>
      </c>
    </row>
    <row r="68" ht="21" customHeight="1">
      <c r="A68" s="14" t="n"/>
      <c r="B68" s="9" t="n">
        <v>2</v>
      </c>
      <c r="C68" s="10" t="inlineStr">
        <is>
          <t>TKDK-0175</t>
        </is>
      </c>
      <c r="D68" s="11" t="inlineStr">
        <is>
          <t>PVC kaplamalı, iki yüzü odun lifinden yapılmış levhalarla (MDF) presli, kraft dolgulu iç kapı kanadı yapılması, yerinde takılması</t>
        </is>
      </c>
      <c r="E68" s="12" t="inlineStr">
        <is>
          <t>m²</t>
        </is>
      </c>
      <c r="F68" s="13" t="n">
        <v>5.67</v>
      </c>
    </row>
    <row r="69" ht="21" customHeight="1">
      <c r="A69" s="15" t="n"/>
      <c r="B69" s="9" t="n">
        <v>3</v>
      </c>
      <c r="C69" s="10" t="inlineStr">
        <is>
          <t>15.550.1002</t>
        </is>
      </c>
      <c r="D69" s="11" t="inlineStr">
        <is>
          <t>1,50 mm kalınlığında sıcak haddelenmiş sacdan bükme kapı kasası yapılması ve yerine konulması</t>
        </is>
      </c>
      <c r="E69" s="12" t="inlineStr">
        <is>
          <t>kg</t>
        </is>
      </c>
      <c r="F69" s="13" t="n">
        <v>54.315</v>
      </c>
    </row>
    <row r="70" ht="14" customHeight="1">
      <c r="A70" s="8" t="inlineStr">
        <is>
          <t>Sıva, alçı, derz ve şap işleri</t>
        </is>
      </c>
      <c r="B70" s="9" t="n">
        <v>1</v>
      </c>
      <c r="C70" s="10" t="inlineStr">
        <is>
          <t>15.275.1116</t>
        </is>
      </c>
      <c r="D70" s="11" t="inlineStr">
        <is>
          <t>250 kg çimento dozlu harç ile kaba sıva yapılması</t>
        </is>
      </c>
      <c r="E70" s="12" t="inlineStr">
        <is>
          <t>m²</t>
        </is>
      </c>
      <c r="F70" s="13" t="n">
        <v>557.76</v>
      </c>
    </row>
    <row r="71" ht="14" customHeight="1">
      <c r="A71" s="15" t="n"/>
      <c r="B71" s="9" t="n">
        <v>2</v>
      </c>
      <c r="C71" s="10" t="inlineStr">
        <is>
          <t>15.275.1117</t>
        </is>
      </c>
      <c r="D71" s="11" t="inlineStr">
        <is>
          <t>200 kg çimento ve kireç karışımı harç ile kaba sıva yapılması (iç cephe)</t>
        </is>
      </c>
      <c r="E71" s="12" t="inlineStr">
        <is>
          <t>m²</t>
        </is>
      </c>
      <c r="F71" s="13" t="n">
        <v>647.76</v>
      </c>
    </row>
    <row r="72" ht="21" customHeight="1">
      <c r="A72" s="8" t="inlineStr">
        <is>
          <t>Boya, badana ve cila işleri</t>
        </is>
      </c>
      <c r="B72" s="9" t="n">
        <v>1</v>
      </c>
      <c r="C72" s="10" t="inlineStr">
        <is>
          <t>15.540.1606</t>
        </is>
      </c>
      <c r="D72" s="11" t="inlineStr">
        <is>
          <t>Brüt beton, sıvalı veya eski boyalı yüzeylere astar uygulanarak silikon esaslı su bazlı dış cephe boyası yapılması</t>
        </is>
      </c>
      <c r="E72" s="12" t="inlineStr">
        <is>
          <t>m²</t>
        </is>
      </c>
      <c r="F72" s="13" t="n">
        <v>557.76</v>
      </c>
    </row>
    <row r="73" ht="21" customHeight="1">
      <c r="A73" s="15" t="n"/>
      <c r="B73" s="9" t="n">
        <v>2</v>
      </c>
      <c r="C73" s="10" t="inlineStr">
        <is>
          <t>15.540.1537</t>
        </is>
      </c>
      <c r="D73" s="11" t="inlineStr">
        <is>
          <t>Yeni sıva yüzeylere astar uygulanarak iki kat su bazlı plastik antibakteriyel iç cephe boyası yapılması</t>
        </is>
      </c>
      <c r="E73" s="12" t="inlineStr">
        <is>
          <t>m²</t>
        </is>
      </c>
      <c r="F73" s="13" t="n">
        <v>612.76</v>
      </c>
    </row>
    <row r="74" ht="31.5" customHeight="1">
      <c r="A74" s="8" t="inlineStr">
        <is>
          <t>İnce yapı ve tamamlayıcı imalatlar</t>
        </is>
      </c>
      <c r="B74" s="9" t="n">
        <v>1</v>
      </c>
      <c r="C74" s="10" t="inlineStr">
        <is>
          <t>TKDK-0177</t>
        </is>
      </c>
      <c r="D74" s="11" t="inlineStr">
        <is>
          <t>(25x70 - 25x75 - 40x80 cm) anma ebatlarında, her türlü desen ve yüzey özelliğinde, renkli duvar karosu ile 3 mm derz aralıklı döşeme, duvar ve cephe kaplaması yapılması (karo yapıştırıcısı ile)</t>
        </is>
      </c>
      <c r="E74" s="12" t="inlineStr">
        <is>
          <t>m²</t>
        </is>
      </c>
      <c r="F74" s="13" t="n">
        <v>60</v>
      </c>
    </row>
    <row r="75" ht="21" customHeight="1">
      <c r="A75" s="8" t="inlineStr">
        <is>
          <t>Kanalizasyon işleri</t>
        </is>
      </c>
      <c r="B75" s="9" t="n">
        <v>1</v>
      </c>
      <c r="C75" s="10" t="inlineStr">
        <is>
          <t>43.527.1001</t>
        </is>
      </c>
      <c r="D75" s="11" t="inlineStr">
        <is>
          <t>Çapı 150 mm HDPE koruge boru döşenmesi (SN 8, lastik conta ve boru bedeli dahil)</t>
        </is>
      </c>
      <c r="E75" s="12" t="inlineStr">
        <is>
          <t>m</t>
        </is>
      </c>
      <c r="F75" s="13" t="n">
        <v>25</v>
      </c>
    </row>
    <row r="76" ht="21" customHeight="1">
      <c r="A76" s="8" t="inlineStr">
        <is>
          <t>Elektrik tesisatı ve aydınlatma</t>
        </is>
      </c>
      <c r="B76" s="9" t="n">
        <v>1</v>
      </c>
      <c r="C76" s="10" t="inlineStr">
        <is>
          <t>30.100.2105</t>
        </is>
      </c>
      <c r="D76" s="11" t="inlineStr">
        <is>
          <t>Kümes dağıtım panosu (sıva üstü galvanizli sac tablo, 0,40-0,50 m²) (%25 müteahhit kârı dahil)</t>
        </is>
      </c>
      <c r="E76" s="12" t="inlineStr">
        <is>
          <t>ad</t>
        </is>
      </c>
      <c r="F76" s="13" t="n">
        <v>1</v>
      </c>
    </row>
    <row r="77" ht="21" customHeight="1">
      <c r="A77" s="14" t="n"/>
      <c r="B77" s="9" t="n">
        <v>2</v>
      </c>
      <c r="C77" s="10" t="inlineStr">
        <is>
          <t>30.110.1102</t>
        </is>
      </c>
      <c r="D77" s="11" t="inlineStr">
        <is>
          <t>Termik-manyetik kompakt şalter 3x100 A, Icu 35 kA — kümes besleme (%25 müteahhit kârı dahil)</t>
        </is>
      </c>
      <c r="E77" s="12" t="inlineStr">
        <is>
          <t>ad</t>
        </is>
      </c>
      <c r="F77" s="13" t="n">
        <v>1</v>
      </c>
    </row>
    <row r="78" ht="14" customHeight="1">
      <c r="A78" s="14" t="n"/>
      <c r="B78" s="9" t="n">
        <v>3</v>
      </c>
      <c r="C78" s="10" t="inlineStr">
        <is>
          <t>30.115.1003</t>
        </is>
      </c>
      <c r="D78" s="11" t="inlineStr">
        <is>
          <t>Kaçak akım koruma şalteri 2x63 A, 30 mA (%25 müteahhit kârı dahil)</t>
        </is>
      </c>
      <c r="E78" s="12" t="inlineStr">
        <is>
          <t>ad</t>
        </is>
      </c>
      <c r="F78" s="13" t="n">
        <v>2</v>
      </c>
    </row>
    <row r="79" ht="21" customHeight="1">
      <c r="A79" s="14" t="n"/>
      <c r="B79" s="9" t="n">
        <v>4</v>
      </c>
      <c r="C79" s="10" t="inlineStr">
        <is>
          <t>30.140.3104</t>
        </is>
      </c>
      <c r="D79" s="11" t="inlineStr">
        <is>
          <t>YVV (NYY) 1 kV yeraltı kablosu ile kolon hattı tesisi — 1x25 mm² (%25 müteahhit kârı dahil)</t>
        </is>
      </c>
      <c r="E79" s="12" t="inlineStr">
        <is>
          <t>m</t>
        </is>
      </c>
      <c r="F79" s="13" t="n">
        <v>300</v>
      </c>
    </row>
    <row r="80" ht="21" customHeight="1">
      <c r="A80" s="14" t="n"/>
      <c r="B80" s="9" t="n">
        <v>5</v>
      </c>
      <c r="C80" s="10" t="inlineStr">
        <is>
          <t>30.170.1602</t>
        </is>
      </c>
      <c r="D80" s="11" t="inlineStr">
        <is>
          <t>LED sıva üstü etanj armatür (polikarbon gövdeli), ışık akısı en az 2700 lm — kümes genel aydınlatması (%25 müteahhit kârı dahil)</t>
        </is>
      </c>
      <c r="E80" s="12" t="inlineStr">
        <is>
          <t>ad</t>
        </is>
      </c>
      <c r="F80" s="13" t="n">
        <v>30</v>
      </c>
    </row>
    <row r="81" ht="21" customHeight="1">
      <c r="A81" s="14" t="n"/>
      <c r="B81" s="9" t="n">
        <v>6</v>
      </c>
      <c r="C81" s="10" t="inlineStr">
        <is>
          <t>30.170.1601</t>
        </is>
      </c>
      <c r="D81" s="11" t="inlineStr">
        <is>
          <t>LED sıva üstü etanj armatür (polikarbon gövdeli), ışık akısı en az 1800 lm — servis bölümü (%25 müteahhit kârı dahil)</t>
        </is>
      </c>
      <c r="E81" s="12" t="inlineStr">
        <is>
          <t>ad</t>
        </is>
      </c>
      <c r="F81" s="13" t="n">
        <v>2</v>
      </c>
    </row>
    <row r="82" ht="14" customHeight="1">
      <c r="A82" s="14" t="n"/>
      <c r="B82" s="9" t="n">
        <v>7</v>
      </c>
      <c r="C82" s="10" t="inlineStr">
        <is>
          <t>30.160.6102</t>
        </is>
      </c>
      <c r="D82" s="11" t="inlineStr">
        <is>
          <t>Boş boru döşemesi — 25-32 mm PVC boru (%25 müteahhit kârı dahil)</t>
        </is>
      </c>
      <c r="E82" s="12" t="inlineStr">
        <is>
          <t>m</t>
        </is>
      </c>
      <c r="F82" s="13" t="n">
        <v>500</v>
      </c>
    </row>
    <row r="83" ht="14" customHeight="1">
      <c r="A83" s="14" t="n"/>
      <c r="B83" s="9" t="n">
        <v>8</v>
      </c>
      <c r="C83" s="10" t="inlineStr">
        <is>
          <t>30.150.1402</t>
        </is>
      </c>
      <c r="D83" s="11" t="inlineStr">
        <is>
          <t>Halojensiz H07Z tipi iletken 1x2,5 mm² ile tesisat (%25 müteahhit kârı dahil)</t>
        </is>
      </c>
      <c r="E83" s="12" t="inlineStr">
        <is>
          <t>m</t>
        </is>
      </c>
      <c r="F83" s="13" t="n">
        <v>2000</v>
      </c>
    </row>
    <row r="84" ht="21" customHeight="1">
      <c r="A84" s="14" t="n"/>
      <c r="B84" s="9" t="n">
        <v>9</v>
      </c>
      <c r="C84" s="10" t="inlineStr">
        <is>
          <t>30.150.1401</t>
        </is>
      </c>
      <c r="D84" s="11" t="inlineStr">
        <is>
          <t>Halojensiz H07Z tipi iletken 1x1,5 mm² ile kumanda tesisatı (%25 müteahhit kârı dahil)</t>
        </is>
      </c>
      <c r="E84" s="12" t="inlineStr">
        <is>
          <t>m</t>
        </is>
      </c>
      <c r="F84" s="13" t="n">
        <v>600</v>
      </c>
    </row>
    <row r="85" ht="21" customHeight="1">
      <c r="A85" s="14" t="n"/>
      <c r="B85" s="9" t="n">
        <v>10</v>
      </c>
      <c r="C85" s="10" t="inlineStr">
        <is>
          <t>30.140.1105</t>
        </is>
      </c>
      <c r="D85" s="11" t="inlineStr">
        <is>
          <t>Çıplak bakır tel 25 mm² — eşpotansiyel bara ve topraklama iletkeni (%25 müteahhit kârı dahil)</t>
        </is>
      </c>
      <c r="E85" s="12" t="inlineStr">
        <is>
          <t>m</t>
        </is>
      </c>
      <c r="F85" s="13" t="n">
        <v>100</v>
      </c>
    </row>
    <row r="86" ht="21" customHeight="1">
      <c r="A86" s="14" t="n"/>
      <c r="B86" s="9" t="n">
        <v>11</v>
      </c>
      <c r="C86" s="10" t="inlineStr">
        <is>
          <t>30.750.3002</t>
        </is>
      </c>
      <c r="D86" s="11" t="inlineStr">
        <is>
          <t>Bina ihata iletkeni tesisatı — 30x3,5 mm galvanizli çelik lama (temel topraklaması) (%25 müteahhit kârı dahil)</t>
        </is>
      </c>
      <c r="E86" s="12" t="inlineStr">
        <is>
          <t>m</t>
        </is>
      </c>
      <c r="F86" s="13" t="n">
        <v>186</v>
      </c>
    </row>
    <row r="87" ht="21" customHeight="1">
      <c r="A87" s="14" t="n"/>
      <c r="B87" s="9" t="n">
        <v>12</v>
      </c>
      <c r="C87" s="10" t="inlineStr">
        <is>
          <t>30.750.1502</t>
        </is>
      </c>
      <c r="D87" s="11" t="inlineStr">
        <is>
          <t>Aktif yakalama ucu, ortalama uyarım yolu DL = 30-40 m (%25 müteahhit kârı dahil)</t>
        </is>
      </c>
      <c r="E87" s="12" t="inlineStr">
        <is>
          <t>ad</t>
        </is>
      </c>
      <c r="F87" s="13" t="n">
        <v>1</v>
      </c>
    </row>
    <row r="88" ht="21" customHeight="1">
      <c r="A88" s="14" t="n"/>
      <c r="B88" s="9" t="n">
        <v>13</v>
      </c>
      <c r="C88" s="10" t="inlineStr">
        <is>
          <t>30.750.2001</t>
        </is>
      </c>
      <c r="D88" s="11" t="inlineStr">
        <is>
          <t>Çatı ihata ve indirme iletkeni tesisatı — 50 mm² elektrolitik bakır tel (%25 müteahhit kârı dahil)</t>
        </is>
      </c>
      <c r="E88" s="12" t="inlineStr">
        <is>
          <t>m</t>
        </is>
      </c>
      <c r="F88" s="13" t="n">
        <v>16</v>
      </c>
    </row>
    <row r="89" ht="21" customHeight="1">
      <c r="A89" s="14" t="n"/>
      <c r="B89" s="9" t="n">
        <v>14</v>
      </c>
      <c r="C89" s="10" t="inlineStr">
        <is>
          <t>30.740.1106</t>
        </is>
      </c>
      <c r="D89" s="11" t="inlineStr">
        <is>
          <t>Dizel elektrojen grubu (jeneratör) 63 kVA / 50 kW — dizel motoru su veya hava ile soğuyan cinsten, 1500 d/dak (%25 müteahhit kârı dahil)</t>
        </is>
      </c>
      <c r="E89" s="12" t="inlineStr">
        <is>
          <t>ad</t>
        </is>
      </c>
      <c r="F89" s="13" t="n">
        <v>1</v>
      </c>
    </row>
    <row r="90" ht="14" customHeight="1">
      <c r="A90" s="14" t="n"/>
      <c r="B90" s="9" t="n">
        <v>15</v>
      </c>
      <c r="C90" s="10" t="inlineStr">
        <is>
          <t>30.740.5406</t>
        </is>
      </c>
      <c r="D90" s="11" t="inlineStr">
        <is>
          <t>Jeneratör ses izolasyon kabini — 63 kVA (%25 müteahhit kârı dahil)</t>
        </is>
      </c>
      <c r="E90" s="12" t="inlineStr">
        <is>
          <t>ad</t>
        </is>
      </c>
      <c r="F90" s="13" t="n">
        <v>1</v>
      </c>
    </row>
    <row r="91" ht="14" customHeight="1">
      <c r="A91" s="15" t="n"/>
      <c r="B91" s="9" t="n">
        <v>16</v>
      </c>
      <c r="C91" s="10" t="inlineStr">
        <is>
          <t>30.120.2016</t>
        </is>
      </c>
      <c r="D91" s="11" t="inlineStr">
        <is>
          <t>Otomatik transfer şalteri 4 x 200 A (%25 müteahhit kârı dahil)</t>
        </is>
      </c>
      <c r="E91" s="12" t="inlineStr">
        <is>
          <t>ad</t>
        </is>
      </c>
      <c r="F91" s="13" t="n">
        <v>1</v>
      </c>
    </row>
    <row r="92"/>
    <row r="93" ht="20" customHeight="1">
      <c r="A93" s="4" t="inlineStr">
        <is>
          <t>&lt; Gübre Çukuru &gt;   —   inşaat alanı 115.00 m²</t>
        </is>
      </c>
    </row>
    <row r="94" ht="24" customHeight="1">
      <c r="A94" s="5" t="inlineStr">
        <is>
          <t>Dış ölçü 11,50 x 10,00 m; betonarme radye, perde ve üst döşeme.</t>
        </is>
      </c>
      <c r="B94" s="6" t="n"/>
      <c r="C94" s="6" t="n"/>
      <c r="D94" s="6" t="n"/>
      <c r="E94" s="6" t="n"/>
      <c r="F94" s="6" t="n"/>
    </row>
    <row r="95" ht="28" customHeight="1">
      <c r="A95" s="7" t="inlineStr">
        <is>
          <t>Uygun Harcama Kaleminin EK-1'de yer alan adı</t>
        </is>
      </c>
      <c r="B95" s="7" t="inlineStr">
        <is>
          <t>No</t>
        </is>
      </c>
      <c r="C95" s="7" t="inlineStr">
        <is>
          <t>Poz No</t>
        </is>
      </c>
      <c r="D95" s="7" t="inlineStr">
        <is>
          <t>Yapım İşinin Adı</t>
        </is>
      </c>
      <c r="E95" s="7" t="inlineStr">
        <is>
          <t>Birimi</t>
        </is>
      </c>
      <c r="F95" s="7" t="inlineStr">
        <is>
          <t>Miktarı</t>
        </is>
      </c>
    </row>
    <row r="96" ht="14" customHeight="1">
      <c r="A96" s="8" t="inlineStr">
        <is>
          <t>Kazı, dolgu ve reglaj işleri</t>
        </is>
      </c>
      <c r="B96" s="9" t="n">
        <v>1</v>
      </c>
      <c r="C96" s="10" t="inlineStr">
        <is>
          <t>15.120.1101</t>
        </is>
      </c>
      <c r="D96" s="11" t="inlineStr">
        <is>
          <t>Makine ile her derinlik ve her genişlikte yumuşak ve sert toprak kazılması</t>
        </is>
      </c>
      <c r="E96" s="12" t="inlineStr">
        <is>
          <t>m³</t>
        </is>
      </c>
      <c r="F96" s="13" t="n">
        <v>542.7</v>
      </c>
    </row>
    <row r="97" ht="31.5" customHeight="1">
      <c r="A97" s="8" t="inlineStr">
        <is>
          <t>Beton işleri</t>
        </is>
      </c>
      <c r="B97" s="9" t="n">
        <v>1</v>
      </c>
      <c r="C97" s="10" t="inlineStr">
        <is>
          <t>15.150.1003</t>
        </is>
      </c>
      <c r="D97" s="11" t="inlineStr">
        <is>
          <t>Beton santralinde üretilen veya satın alınan ve beton pompasıyla basılan, C 16/20 basınç dayanım sınıfında, gri renkte, normal hazır beton dökülmesi (beton nakli dahil)</t>
        </is>
      </c>
      <c r="E97" s="12" t="inlineStr">
        <is>
          <t>m³</t>
        </is>
      </c>
      <c r="F97" s="13" t="n">
        <v>11.934</v>
      </c>
    </row>
    <row r="98" ht="31.5" customHeight="1">
      <c r="A98" s="8" t="inlineStr">
        <is>
          <t>Betonarme işleri</t>
        </is>
      </c>
      <c r="B98" s="9" t="n">
        <v>1</v>
      </c>
      <c r="C98" s="10" t="inlineStr">
        <is>
          <t>15.150.1005</t>
        </is>
      </c>
      <c r="D98" s="11" t="inlineStr">
        <is>
          <t>Beton santralinde üretilen veya satın alınan ve beton pompasıyla basılan, C 25/30 basınç dayanım sınıfında, gri renkte, normal hazır beton dökülmesi (beton nakli dahil)</t>
        </is>
      </c>
      <c r="E98" s="12" t="inlineStr">
        <is>
          <t>m³</t>
        </is>
      </c>
      <c r="F98" s="13" t="n">
        <v>93.19</v>
      </c>
    </row>
    <row r="99" ht="14" customHeight="1">
      <c r="A99" s="8" t="inlineStr">
        <is>
          <t>Kalıp, yapı iskelesi işleri</t>
        </is>
      </c>
      <c r="B99" s="9" t="n">
        <v>1</v>
      </c>
      <c r="C99" s="10" t="inlineStr">
        <is>
          <t>15.180.1003</t>
        </is>
      </c>
      <c r="D99" s="11" t="inlineStr">
        <is>
          <t>Plywood ile düz yüzeyli betonarme kalıbı yapılması</t>
        </is>
      </c>
      <c r="E99" s="12" t="inlineStr">
        <is>
          <t>m²</t>
        </is>
      </c>
      <c r="F99" s="13" t="n">
        <v>363.26</v>
      </c>
    </row>
    <row r="100" ht="21" customHeight="1">
      <c r="A100" s="8" t="inlineStr">
        <is>
          <t>Demir-inşaat işleri</t>
        </is>
      </c>
      <c r="B100" s="9" t="n">
        <v>1</v>
      </c>
      <c r="C100" s="10" t="inlineStr">
        <is>
          <t>15.160.1003</t>
        </is>
      </c>
      <c r="D100" s="11" t="inlineStr">
        <is>
          <t>Ø 8 - Ø 12 mm nervürlü beton çelik çubuğu, çubukların kesilmesi, bükülmesi ve yerine konulması</t>
        </is>
      </c>
      <c r="E100" s="12" t="inlineStr">
        <is>
          <t>ton</t>
        </is>
      </c>
      <c r="F100" s="13" t="n">
        <v>7.599</v>
      </c>
    </row>
    <row r="101" ht="21" customHeight="1">
      <c r="A101" s="15" t="n"/>
      <c r="B101" s="9" t="n">
        <v>2</v>
      </c>
      <c r="C101" s="10" t="inlineStr">
        <is>
          <t>15.160.1004</t>
        </is>
      </c>
      <c r="D101" s="11" t="inlineStr">
        <is>
          <t>Ø 14 - Ø 28 mm nervürlü beton çelik çubuğu, çubukların kesilmesi, bükülmesi ve yerine konulması</t>
        </is>
      </c>
      <c r="E101" s="12" t="inlineStr">
        <is>
          <t>ton</t>
        </is>
      </c>
      <c r="F101" s="13" t="n">
        <v>0.5639999999999999</v>
      </c>
    </row>
    <row r="102"/>
    <row r="103" ht="20" customHeight="1">
      <c r="A103" s="4" t="inlineStr">
        <is>
          <t>&lt; Ölü Atma Çukuru &gt;   —   inşaat alanı 18.00 m²</t>
        </is>
      </c>
    </row>
    <row r="104" ht="24" customHeight="1">
      <c r="A104" s="5" t="inlineStr">
        <is>
          <t>Dış ölçü 6,00 x 3,00 m, betonarme sızdırmaz çukur.</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142</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1.984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20.85</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127.2</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1.657</v>
      </c>
    </row>
    <row r="111"/>
    <row r="112" ht="20" customHeight="1">
      <c r="A112" s="4" t="inlineStr">
        <is>
          <t>&lt; Foseptik &gt;   —   inşaat alanı 4.00 m²</t>
        </is>
      </c>
    </row>
    <row r="113" ht="24" customHeight="1">
      <c r="A113" s="5" t="inlineStr">
        <is>
          <t>Dış ölçü 2,00 x 2,00 m, betonarme sızdırmaz.</t>
        </is>
      </c>
      <c r="B113" s="6" t="n"/>
      <c r="C113" s="6" t="n"/>
      <c r="D113" s="6" t="n"/>
      <c r="E113" s="6" t="n"/>
      <c r="F113" s="6" t="n"/>
    </row>
    <row r="114" ht="28" customHeight="1">
      <c r="A114" s="7" t="inlineStr">
        <is>
          <t>Uygun Harcama Kaleminin EK-1'de yer alan adı</t>
        </is>
      </c>
      <c r="B114" s="7" t="inlineStr">
        <is>
          <t>No</t>
        </is>
      </c>
      <c r="C114" s="7" t="inlineStr">
        <is>
          <t>Poz No</t>
        </is>
      </c>
      <c r="D114" s="7" t="inlineStr">
        <is>
          <t>Yapım İşinin Adı</t>
        </is>
      </c>
      <c r="E114" s="7" t="inlineStr">
        <is>
          <t>Birimi</t>
        </is>
      </c>
      <c r="F114" s="7" t="inlineStr">
        <is>
          <t>Miktarı</t>
        </is>
      </c>
    </row>
    <row r="115" ht="14" customHeight="1">
      <c r="A115" s="8" t="inlineStr">
        <is>
          <t>Kazı, dolgu ve reglaj işleri</t>
        </is>
      </c>
      <c r="B115" s="9" t="n">
        <v>1</v>
      </c>
      <c r="C115" s="10" t="inlineStr">
        <is>
          <t>15.120.1101</t>
        </is>
      </c>
      <c r="D115" s="11" t="inlineStr">
        <is>
          <t>Makine ile her derinlik ve her genişlikte yumuşak ve sert toprak kazılması</t>
        </is>
      </c>
      <c r="E115" s="12" t="inlineStr">
        <is>
          <t>m³</t>
        </is>
      </c>
      <c r="F115" s="13" t="n">
        <v>48.8</v>
      </c>
    </row>
    <row r="116" ht="31.5" customHeight="1">
      <c r="A116" s="8" t="inlineStr">
        <is>
          <t>Beton işleri</t>
        </is>
      </c>
      <c r="B116" s="9" t="n">
        <v>1</v>
      </c>
      <c r="C116" s="10" t="inlineStr">
        <is>
          <t>15.150.1003</t>
        </is>
      </c>
      <c r="D116" s="11" t="inlineStr">
        <is>
          <t>Beton santralinde üretilen veya satın alınan ve beton pompasıyla basılan, C 16/20 basınç dayanım sınıfında, gri renkte, normal hazır beton dökülmesi (beton nakli dahil)</t>
        </is>
      </c>
      <c r="E116" s="12" t="inlineStr">
        <is>
          <t>m³</t>
        </is>
      </c>
      <c r="F116" s="13" t="n">
        <v>0.484</v>
      </c>
    </row>
    <row r="117" ht="31.5" customHeight="1">
      <c r="A117" s="8" t="inlineStr">
        <is>
          <t>Betonarme işleri</t>
        </is>
      </c>
      <c r="B117" s="9" t="n">
        <v>1</v>
      </c>
      <c r="C117" s="10" t="inlineStr">
        <is>
          <t>15.150.1005</t>
        </is>
      </c>
      <c r="D117" s="11" t="inlineStr">
        <is>
          <t>Beton santralinde üretilen veya satın alınan ve beton pompasıyla basılan, C 25/30 basınç dayanım sınıfında, gri renkte, normal hazır beton dökülmesi (beton nakli dahil)</t>
        </is>
      </c>
      <c r="E117" s="12" t="inlineStr">
        <is>
          <t>m³</t>
        </is>
      </c>
      <c r="F117" s="13" t="n">
        <v>6.175</v>
      </c>
    </row>
    <row r="118" ht="14" customHeight="1">
      <c r="A118" s="8" t="inlineStr">
        <is>
          <t>Kalıp, yapı iskelesi işleri</t>
        </is>
      </c>
      <c r="B118" s="9" t="n">
        <v>1</v>
      </c>
      <c r="C118" s="10" t="inlineStr">
        <is>
          <t>15.180.1003</t>
        </is>
      </c>
      <c r="D118" s="11" t="inlineStr">
        <is>
          <t>Plywood ile düz yüzeyli betonarme kalıbı yapılması</t>
        </is>
      </c>
      <c r="E118" s="12" t="inlineStr">
        <is>
          <t>m²</t>
        </is>
      </c>
      <c r="F118" s="13" t="n">
        <v>41.4</v>
      </c>
    </row>
    <row r="119" ht="21" customHeight="1">
      <c r="A119" s="8" t="inlineStr">
        <is>
          <t>Demir-inşaat işleri</t>
        </is>
      </c>
      <c r="B119" s="9" t="n">
        <v>1</v>
      </c>
      <c r="C119" s="10" t="inlineStr">
        <is>
          <t>15.160.1003</t>
        </is>
      </c>
      <c r="D119" s="11" t="inlineStr">
        <is>
          <t>Ø 8 - Ø 12 mm nervürlü beton çelik çubuğu, çubukların kesilmesi, bükülmesi ve yerine konulması</t>
        </is>
      </c>
      <c r="E119" s="12" t="inlineStr">
        <is>
          <t>ton</t>
        </is>
      </c>
      <c r="F119" s="13" t="n">
        <v>0.587</v>
      </c>
    </row>
    <row r="120"/>
    <row r="121" ht="20" customHeight="1">
      <c r="A121" s="4" t="inlineStr">
        <is>
          <t>&lt; Yem Silosu Betonarme Kaideleri &gt;   —   inşaat alanı 16.82 m²</t>
        </is>
      </c>
    </row>
    <row r="122" ht="24" customHeight="1">
      <c r="A122" s="5" t="inlineStr">
        <is>
          <t>2 adet, her biri 2,90 x 2,90 m.</t>
        </is>
      </c>
      <c r="B122" s="6" t="n"/>
      <c r="C122" s="6" t="n"/>
      <c r="D122" s="6" t="n"/>
      <c r="E122" s="6" t="n"/>
      <c r="F122" s="6" t="n"/>
    </row>
    <row r="123" ht="28" customHeight="1">
      <c r="A123" s="7" t="inlineStr">
        <is>
          <t>Uygun Harcama Kaleminin EK-1'de yer alan adı</t>
        </is>
      </c>
      <c r="B123" s="7" t="inlineStr">
        <is>
          <t>No</t>
        </is>
      </c>
      <c r="C123" s="7" t="inlineStr">
        <is>
          <t>Poz No</t>
        </is>
      </c>
      <c r="D123" s="7" t="inlineStr">
        <is>
          <t>Yapım İşinin Adı</t>
        </is>
      </c>
      <c r="E123" s="7" t="inlineStr">
        <is>
          <t>Birimi</t>
        </is>
      </c>
      <c r="F123" s="7" t="inlineStr">
        <is>
          <t>Miktarı</t>
        </is>
      </c>
    </row>
    <row r="124" ht="14" customHeight="1">
      <c r="A124" s="8" t="inlineStr">
        <is>
          <t>Kazı, dolgu ve reglaj işleri</t>
        </is>
      </c>
      <c r="B124" s="9" t="n">
        <v>1</v>
      </c>
      <c r="C124" s="10" t="inlineStr">
        <is>
          <t>15.120.1101</t>
        </is>
      </c>
      <c r="D124" s="11" t="inlineStr">
        <is>
          <t>Makine ile her derinlik ve her genişlikte yumuşak ve sert toprak kazılması</t>
        </is>
      </c>
      <c r="E124" s="12" t="inlineStr">
        <is>
          <t>m³</t>
        </is>
      </c>
      <c r="F124" s="13" t="n">
        <v>48.02</v>
      </c>
    </row>
    <row r="125" ht="31.5" customHeight="1">
      <c r="A125" s="8" t="inlineStr">
        <is>
          <t>Beton işleri</t>
        </is>
      </c>
      <c r="B125" s="9" t="n">
        <v>1</v>
      </c>
      <c r="C125" s="10" t="inlineStr">
        <is>
          <t>15.150.1003</t>
        </is>
      </c>
      <c r="D125" s="11" t="inlineStr">
        <is>
          <t>Beton santralinde üretilen veya satın alınan ve beton pompasıyla basılan, C 16/20 basınç dayanım sınıfında, gri renkte, normal hazır beton dökülmesi (beton nakli dahil)</t>
        </is>
      </c>
      <c r="E125" s="12" t="inlineStr">
        <is>
          <t>m³</t>
        </is>
      </c>
      <c r="F125" s="13" t="n">
        <v>1.922</v>
      </c>
    </row>
    <row r="126" ht="31.5" customHeight="1">
      <c r="A126" s="8" t="inlineStr">
        <is>
          <t>Betonarme işleri</t>
        </is>
      </c>
      <c r="B126" s="9" t="n">
        <v>1</v>
      </c>
      <c r="C126" s="10" t="inlineStr">
        <is>
          <t>15.150.1005</t>
        </is>
      </c>
      <c r="D126" s="11" t="inlineStr">
        <is>
          <t>Beton santralinde üretilen veya satın alınan ve beton pompasıyla basılan, C 25/30 basınç dayanım sınıfında, gri renkte, normal hazır beton dökülmesi (beton nakli dahil)</t>
        </is>
      </c>
      <c r="E126" s="12" t="inlineStr">
        <is>
          <t>m³</t>
        </is>
      </c>
      <c r="F126" s="13" t="n">
        <v>8.41</v>
      </c>
    </row>
    <row r="127" ht="14" customHeight="1">
      <c r="A127" s="8" t="inlineStr">
        <is>
          <t>Kalıp, yapı iskelesi işleri</t>
        </is>
      </c>
      <c r="B127" s="9" t="n">
        <v>1</v>
      </c>
      <c r="C127" s="10" t="inlineStr">
        <is>
          <t>15.180.1003</t>
        </is>
      </c>
      <c r="D127" s="11" t="inlineStr">
        <is>
          <t>Plywood ile düz yüzeyli betonarme kalıbı yapılması</t>
        </is>
      </c>
      <c r="E127" s="12" t="inlineStr">
        <is>
          <t>m²</t>
        </is>
      </c>
      <c r="F127" s="13" t="n">
        <v>11.6</v>
      </c>
    </row>
    <row r="128" ht="21" customHeight="1">
      <c r="A128" s="8" t="inlineStr">
        <is>
          <t>Demir-inşaat işleri</t>
        </is>
      </c>
      <c r="B128" s="9" t="n">
        <v>1</v>
      </c>
      <c r="C128" s="10" t="inlineStr">
        <is>
          <t>15.160.1003</t>
        </is>
      </c>
      <c r="D128" s="11" t="inlineStr">
        <is>
          <t>Ø 8 - Ø 12 mm nervürlü beton çelik çubuğu, çubukların kesilmesi, bükülmesi ve yerine konulması</t>
        </is>
      </c>
      <c r="E128" s="12" t="inlineStr">
        <is>
          <t>ton</t>
        </is>
      </c>
      <c r="F128" s="13" t="n">
        <v>0.757</v>
      </c>
    </row>
    <row r="129"/>
    <row r="130" ht="20" customHeight="1">
      <c r="A130" s="4" t="inlineStr">
        <is>
          <t>&lt; Su Deposu &gt;   —   inşaat alanı 12.00 m²</t>
        </is>
      </c>
    </row>
    <row r="131" ht="24" customHeight="1">
      <c r="A131" s="5" t="inlineStr">
        <is>
          <t>Dış ölçü 4,00 x 3,00 m, betonarme.</t>
        </is>
      </c>
      <c r="B131" s="6" t="n"/>
      <c r="C131" s="6" t="n"/>
      <c r="D131" s="6" t="n"/>
      <c r="E131" s="6" t="n"/>
      <c r="F131" s="6" t="n"/>
    </row>
    <row r="132" ht="28" customHeight="1">
      <c r="A132" s="7" t="inlineStr">
        <is>
          <t>Uygun Harcama Kaleminin EK-1'de yer alan adı</t>
        </is>
      </c>
      <c r="B132" s="7" t="inlineStr">
        <is>
          <t>No</t>
        </is>
      </c>
      <c r="C132" s="7" t="inlineStr">
        <is>
          <t>Poz No</t>
        </is>
      </c>
      <c r="D132" s="7" t="inlineStr">
        <is>
          <t>Yapım İşinin Adı</t>
        </is>
      </c>
      <c r="E132" s="7" t="inlineStr">
        <is>
          <t>Birimi</t>
        </is>
      </c>
      <c r="F132" s="7" t="inlineStr">
        <is>
          <t>Miktarı</t>
        </is>
      </c>
    </row>
    <row r="133" ht="14" customHeight="1">
      <c r="A133" s="8" t="inlineStr">
        <is>
          <t>Kazı, dolgu ve reglaj işleri</t>
        </is>
      </c>
      <c r="B133" s="9" t="n">
        <v>1</v>
      </c>
      <c r="C133" s="10" t="inlineStr">
        <is>
          <t>15.120.1101</t>
        </is>
      </c>
      <c r="D133" s="11" t="inlineStr">
        <is>
          <t>Makine ile her derinlik ve her genişlikte yumuşak ve sert toprak kazılması</t>
        </is>
      </c>
      <c r="E133" s="12" t="inlineStr">
        <is>
          <t>m³</t>
        </is>
      </c>
      <c r="F133" s="13" t="n">
        <v>106.5</v>
      </c>
    </row>
    <row r="134" ht="31.5" customHeight="1">
      <c r="A134" s="8" t="inlineStr">
        <is>
          <t>Beton işleri</t>
        </is>
      </c>
      <c r="B134" s="9" t="n">
        <v>1</v>
      </c>
      <c r="C134" s="10" t="inlineStr">
        <is>
          <t>15.150.1003</t>
        </is>
      </c>
      <c r="D134" s="11" t="inlineStr">
        <is>
          <t>Beton santralinde üretilen veya satın alınan ve beton pompasıyla basılan, C 16/20 basınç dayanım sınıfında, gri renkte, normal hazır beton dökülmesi (beton nakli dahil)</t>
        </is>
      </c>
      <c r="E134" s="12" t="inlineStr">
        <is>
          <t>m³</t>
        </is>
      </c>
      <c r="F134" s="13" t="n">
        <v>1.344</v>
      </c>
    </row>
    <row r="135" ht="31.5" customHeight="1">
      <c r="A135" s="8" t="inlineStr">
        <is>
          <t>Betonarme işleri</t>
        </is>
      </c>
      <c r="B135" s="9" t="n">
        <v>1</v>
      </c>
      <c r="C135" s="10" t="inlineStr">
        <is>
          <t>15.150.1005</t>
        </is>
      </c>
      <c r="D135" s="11" t="inlineStr">
        <is>
          <t>Beton santralinde üretilen veya satın alınan ve beton pompasıyla basılan, C 25/30 basınç dayanım sınıfında, gri renkte, normal hazır beton dökülmesi (beton nakli dahil)</t>
        </is>
      </c>
      <c r="E135" s="12" t="inlineStr">
        <is>
          <t>m³</t>
        </is>
      </c>
      <c r="F135" s="13" t="n">
        <v>15.15</v>
      </c>
    </row>
    <row r="136" ht="14" customHeight="1">
      <c r="A136" s="8" t="inlineStr">
        <is>
          <t>Kalıp, yapı iskelesi işleri</t>
        </is>
      </c>
      <c r="B136" s="9" t="n">
        <v>1</v>
      </c>
      <c r="C136" s="10" t="inlineStr">
        <is>
          <t>15.180.1003</t>
        </is>
      </c>
      <c r="D136" s="11" t="inlineStr">
        <is>
          <t>Plywood ile düz yüzeyli betonarme kalıbı yapılması</t>
        </is>
      </c>
      <c r="E136" s="12" t="inlineStr">
        <is>
          <t>m²</t>
        </is>
      </c>
      <c r="F136" s="13" t="n">
        <v>95.59999999999999</v>
      </c>
    </row>
    <row r="137" ht="21" customHeight="1">
      <c r="A137" s="8" t="inlineStr">
        <is>
          <t>Demir-inşaat işleri</t>
        </is>
      </c>
      <c r="B137" s="9" t="n">
        <v>1</v>
      </c>
      <c r="C137" s="10" t="inlineStr">
        <is>
          <t>15.160.1003</t>
        </is>
      </c>
      <c r="D137" s="11" t="inlineStr">
        <is>
          <t>Ø 8 - Ø 12 mm nervürlü beton çelik çubuğu, çubukların kesilmesi, bükülmesi ve yerine konulması</t>
        </is>
      </c>
      <c r="E137" s="12" t="inlineStr">
        <is>
          <t>ton</t>
        </is>
      </c>
      <c r="F137" s="13" t="n">
        <v>1.232</v>
      </c>
    </row>
    <row r="138"/>
    <row r="139" ht="20" customHeight="1">
      <c r="A139" s="4" t="inlineStr">
        <is>
          <t>&lt; Yağmur Suyu Deposu &gt;   —   inşaat alanı 9.00 m²</t>
        </is>
      </c>
    </row>
    <row r="140" ht="24" customHeight="1">
      <c r="A140" s="5" t="inlineStr">
        <is>
          <t>Dış ölçü 3,00 x 3,00 m, betonarme; sıhhi tesisat projesindeki yağmur suyu geri kazanım deposunun haznesi.</t>
        </is>
      </c>
      <c r="B140" s="6" t="n"/>
      <c r="C140" s="6" t="n"/>
      <c r="D140" s="6" t="n"/>
      <c r="E140" s="6" t="n"/>
      <c r="F140" s="6" t="n"/>
    </row>
    <row r="141" ht="28" customHeight="1">
      <c r="A141" s="7" t="inlineStr">
        <is>
          <t>Uygun Harcama Kaleminin EK-1'de yer alan adı</t>
        </is>
      </c>
      <c r="B141" s="7" t="inlineStr">
        <is>
          <t>No</t>
        </is>
      </c>
      <c r="C141" s="7" t="inlineStr">
        <is>
          <t>Poz No</t>
        </is>
      </c>
      <c r="D141" s="7" t="inlineStr">
        <is>
          <t>Yapım İşinin Adı</t>
        </is>
      </c>
      <c r="E141" s="7" t="inlineStr">
        <is>
          <t>Birimi</t>
        </is>
      </c>
      <c r="F141" s="7" t="inlineStr">
        <is>
          <t>Miktarı</t>
        </is>
      </c>
    </row>
    <row r="142" ht="14" customHeight="1">
      <c r="A142" s="8" t="inlineStr">
        <is>
          <t>Kazı, dolgu ve reglaj işleri</t>
        </is>
      </c>
      <c r="B142" s="9" t="n">
        <v>1</v>
      </c>
      <c r="C142" s="10" t="inlineStr">
        <is>
          <t>15.120.1101</t>
        </is>
      </c>
      <c r="D142" s="11" t="inlineStr">
        <is>
          <t>Makine ile her derinlik ve her genişlikte yumuşak ve sert toprak kazılması</t>
        </is>
      </c>
      <c r="E142" s="12" t="inlineStr">
        <is>
          <t>m³</t>
        </is>
      </c>
      <c r="F142" s="13" t="n">
        <v>88.75</v>
      </c>
    </row>
    <row r="143" ht="31.5" customHeight="1">
      <c r="A143" s="8" t="inlineStr">
        <is>
          <t>Beton işleri</t>
        </is>
      </c>
      <c r="B143" s="9" t="n">
        <v>1</v>
      </c>
      <c r="C143" s="10" t="inlineStr">
        <is>
          <t>15.150.1003</t>
        </is>
      </c>
      <c r="D143" s="11" t="inlineStr">
        <is>
          <t>Beton santralinde üretilen veya satın alınan ve beton pompasıyla basılan, C 16/20 basınç dayanım sınıfında, gri renkte, normal hazır beton dökülmesi (beton nakli dahil)</t>
        </is>
      </c>
      <c r="E143" s="12" t="inlineStr">
        <is>
          <t>m³</t>
        </is>
      </c>
      <c r="F143" s="13" t="n">
        <v>1.024</v>
      </c>
    </row>
    <row r="144" ht="31.5" customHeight="1">
      <c r="A144" s="8" t="inlineStr">
        <is>
          <t>Betonarme işleri</t>
        </is>
      </c>
      <c r="B144" s="9" t="n">
        <v>1</v>
      </c>
      <c r="C144" s="10" t="inlineStr">
        <is>
          <t>15.150.1005</t>
        </is>
      </c>
      <c r="D144" s="11" t="inlineStr">
        <is>
          <t>Beton santralinde üretilen veya satın alınan ve beton pompasıyla basılan, C 25/30 basınç dayanım sınıfında, gri renkte, normal hazır beton dökülmesi (beton nakli dahil)</t>
        </is>
      </c>
      <c r="E144" s="12" t="inlineStr">
        <is>
          <t>m³</t>
        </is>
      </c>
      <c r="F144" s="13" t="n">
        <v>12.3</v>
      </c>
    </row>
    <row r="145" ht="14" customHeight="1">
      <c r="A145" s="8" t="inlineStr">
        <is>
          <t>Kalıp, yapı iskelesi işleri</t>
        </is>
      </c>
      <c r="B145" s="9" t="n">
        <v>1</v>
      </c>
      <c r="C145" s="10" t="inlineStr">
        <is>
          <t>15.180.1003</t>
        </is>
      </c>
      <c r="D145" s="11" t="inlineStr">
        <is>
          <t>Plywood ile düz yüzeyli betonarme kalıbı yapılması</t>
        </is>
      </c>
      <c r="E145" s="12" t="inlineStr">
        <is>
          <t>m²</t>
        </is>
      </c>
      <c r="F145" s="13" t="n">
        <v>79.8</v>
      </c>
    </row>
    <row r="146" ht="21" customHeight="1">
      <c r="A146" s="8" t="inlineStr">
        <is>
          <t>Demir-inşaat işleri</t>
        </is>
      </c>
      <c r="B146" s="9" t="n">
        <v>1</v>
      </c>
      <c r="C146" s="10" t="inlineStr">
        <is>
          <t>15.160.1003</t>
        </is>
      </c>
      <c r="D146" s="11" t="inlineStr">
        <is>
          <t>Ø 8 - Ø 12 mm nervürlü beton çelik çubuğu, çubukların kesilmesi, bükülmesi ve yerine konulması</t>
        </is>
      </c>
      <c r="E146" s="12" t="inlineStr">
        <is>
          <t>ton</t>
        </is>
      </c>
      <c r="F146" s="13" t="n">
        <v>1.23</v>
      </c>
    </row>
    <row r="147"/>
    <row r="148" ht="20" customHeight="1">
      <c r="A148" s="4" t="inlineStr">
        <is>
          <t>&lt; Çevre Düzenlemesi ve Saha Altyapısı &gt;</t>
        </is>
      </c>
    </row>
    <row r="149" ht="24" customHeight="1">
      <c r="A149" s="5" t="inlineStr">
        <is>
          <t>Parsel çevresi çit, tesis içi yol platformu ve yapılar arası altyapı hatları.</t>
        </is>
      </c>
      <c r="B149" s="6" t="n"/>
      <c r="C149" s="6" t="n"/>
      <c r="D149" s="6" t="n"/>
      <c r="E149" s="6" t="n"/>
      <c r="F149" s="6" t="n"/>
    </row>
    <row r="150" ht="28" customHeight="1">
      <c r="A150" s="7" t="inlineStr">
        <is>
          <t>Uygun Harcama Kaleminin EK-1'de yer alan adı</t>
        </is>
      </c>
      <c r="B150" s="7" t="inlineStr">
        <is>
          <t>No</t>
        </is>
      </c>
      <c r="C150" s="7" t="inlineStr">
        <is>
          <t>Poz No</t>
        </is>
      </c>
      <c r="D150" s="7" t="inlineStr">
        <is>
          <t>Yapım İşinin Adı</t>
        </is>
      </c>
      <c r="E150" s="7" t="inlineStr">
        <is>
          <t>Birimi</t>
        </is>
      </c>
      <c r="F150" s="7" t="inlineStr">
        <is>
          <t>Miktarı</t>
        </is>
      </c>
    </row>
    <row r="151" ht="14" customHeight="1">
      <c r="A151" s="8" t="inlineStr">
        <is>
          <t>Kazı, dolgu ve reglaj işleri</t>
        </is>
      </c>
      <c r="B151" s="9" t="n">
        <v>1</v>
      </c>
      <c r="C151" s="10" t="inlineStr">
        <is>
          <t>15.120.1001</t>
        </is>
      </c>
      <c r="D151" s="11" t="inlineStr">
        <is>
          <t>Makine ile yumuşak ve sert toprak kazılması</t>
        </is>
      </c>
      <c r="E151" s="12" t="inlineStr">
        <is>
          <t>m³</t>
        </is>
      </c>
      <c r="F151" s="13" t="n">
        <v>260.942</v>
      </c>
    </row>
    <row r="152" ht="31.5" customHeight="1">
      <c r="A152" s="8" t="inlineStr">
        <is>
          <t>Betonarme işleri</t>
        </is>
      </c>
      <c r="B152" s="9" t="n">
        <v>1</v>
      </c>
      <c r="C152" s="10" t="inlineStr">
        <is>
          <t>15.150.1005</t>
        </is>
      </c>
      <c r="D152" s="11" t="inlineStr">
        <is>
          <t>Beton santralinde üretilen veya satın alınan ve beton pompasıyla basılan, C 25/30 basınç dayanım sınıfında, gri renkte, normal hazır beton dökülmesi (beton nakli dahil)</t>
        </is>
      </c>
      <c r="E152" s="12" t="inlineStr">
        <is>
          <t>m³</t>
        </is>
      </c>
      <c r="F152" s="13" t="n">
        <v>1.566</v>
      </c>
    </row>
    <row r="153" ht="14" customHeight="1">
      <c r="A153" s="8" t="inlineStr">
        <is>
          <t>Kalıp, yapı iskelesi işleri</t>
        </is>
      </c>
      <c r="B153" s="9" t="n">
        <v>1</v>
      </c>
      <c r="C153" s="10" t="inlineStr">
        <is>
          <t>15.180.1003</t>
        </is>
      </c>
      <c r="D153" s="11" t="inlineStr">
        <is>
          <t>Plywood ile düz yüzeyli betonarme kalıbı yapılması</t>
        </is>
      </c>
      <c r="E153" s="12" t="inlineStr">
        <is>
          <t>m²</t>
        </is>
      </c>
      <c r="F153" s="13" t="n">
        <v>14.4</v>
      </c>
    </row>
    <row r="154" ht="21" customHeight="1">
      <c r="A154" s="8" t="inlineStr">
        <is>
          <t>Demir-inşaat işleri</t>
        </is>
      </c>
      <c r="B154" s="9" t="n">
        <v>1</v>
      </c>
      <c r="C154" s="10" t="inlineStr">
        <is>
          <t>15.160.1003</t>
        </is>
      </c>
      <c r="D154" s="11" t="inlineStr">
        <is>
          <t>Ø 8 - Ø 12 mm nervürlü beton çelik çubuğu, çubukların kesilmesi, bükülmesi ve yerine konulması</t>
        </is>
      </c>
      <c r="E154" s="12" t="inlineStr">
        <is>
          <t>ton</t>
        </is>
      </c>
      <c r="F154" s="13" t="n">
        <v>0.141</v>
      </c>
    </row>
    <row r="155" ht="14" customHeight="1">
      <c r="A155" s="8" t="inlineStr">
        <is>
          <t>Çevre düzenlemesi ve çit işleri</t>
        </is>
      </c>
      <c r="B155" s="9" t="n">
        <v>1</v>
      </c>
      <c r="C155" s="10" t="inlineStr">
        <is>
          <t>TKDK-0091</t>
        </is>
      </c>
      <c r="D155" s="11" t="inlineStr">
        <is>
          <t>Betonarme direkli galvanizli tel örgü çit yapılması (Tip-1)</t>
        </is>
      </c>
      <c r="E155" s="12" t="inlineStr">
        <is>
          <t>m</t>
        </is>
      </c>
      <c r="F155" s="13" t="n">
        <v>361.04</v>
      </c>
    </row>
    <row r="156" ht="21" customHeight="1">
      <c r="A156" s="8" t="inlineStr">
        <is>
          <t>Kanalizasyon işleri</t>
        </is>
      </c>
      <c r="B156" s="9" t="n">
        <v>1</v>
      </c>
      <c r="C156" s="10" t="inlineStr">
        <is>
          <t>43.527.1001</t>
        </is>
      </c>
      <c r="D156" s="11" t="inlineStr">
        <is>
          <t>Çapı 150 mm HDPE koruge boru döşenmesi (SN 8, lastik conta ve boru bedeli dahil)</t>
        </is>
      </c>
      <c r="E156" s="12" t="inlineStr">
        <is>
          <t>m</t>
        </is>
      </c>
      <c r="F156" s="13" t="n">
        <v>50</v>
      </c>
    </row>
    <row r="157" ht="14" customHeight="1">
      <c r="A157" s="15" t="n"/>
      <c r="B157" s="9" t="n">
        <v>2</v>
      </c>
      <c r="C157" s="10" t="inlineStr">
        <is>
          <t>15.560.1003</t>
        </is>
      </c>
      <c r="D157" s="11" t="inlineStr">
        <is>
          <t>Betonarme kompozit rögar kapağı temini ve yerine konulması</t>
        </is>
      </c>
      <c r="E157" s="12" t="inlineStr">
        <is>
          <t>ad</t>
        </is>
      </c>
      <c r="F157" s="13" t="n">
        <v>4</v>
      </c>
    </row>
    <row r="158" ht="21" customHeight="1">
      <c r="A158" s="8" t="inlineStr">
        <is>
          <t>Elektrik tesisatı ve aydınlatma</t>
        </is>
      </c>
      <c r="B158" s="9" t="n">
        <v>1</v>
      </c>
      <c r="C158" s="10" t="inlineStr">
        <is>
          <t>30.100.1104</t>
        </is>
      </c>
      <c r="D158" s="11" t="inlineStr">
        <is>
          <t>Ana dağıtım panosu (dikili tip galvanizli sac, en az 700 mm en, 400 mm derinlik) (%25 müteahhit kârı dahil)</t>
        </is>
      </c>
      <c r="E158" s="12" t="inlineStr">
        <is>
          <t>ad</t>
        </is>
      </c>
      <c r="F158" s="13" t="n">
        <v>1</v>
      </c>
    </row>
    <row r="159" ht="21" customHeight="1">
      <c r="A159" s="14" t="n"/>
      <c r="B159" s="9" t="n">
        <v>2</v>
      </c>
      <c r="C159" s="10" t="inlineStr">
        <is>
          <t>30.100.2106</t>
        </is>
      </c>
      <c r="D159" s="11" t="inlineStr">
        <is>
          <t>Sayaç panosu (sıva üstü galvanizli sac tablo, 0,50-0,60 m²) (%25 müteahhit kârı dahil)</t>
        </is>
      </c>
      <c r="E159" s="12" t="inlineStr">
        <is>
          <t>ad</t>
        </is>
      </c>
      <c r="F159" s="13" t="n">
        <v>1</v>
      </c>
    </row>
    <row r="160" ht="21" customHeight="1">
      <c r="A160" s="14" t="n"/>
      <c r="B160" s="9" t="n">
        <v>3</v>
      </c>
      <c r="C160" s="10" t="inlineStr">
        <is>
          <t>30.135.3201</t>
        </is>
      </c>
      <c r="D160" s="11" t="inlineStr">
        <is>
          <t>Üç fazlı zaman tarifeli elektronik aktif sayaç, en az 5(100) A, 3x230/400 V (%25 müteahhit kârı dahil)</t>
        </is>
      </c>
      <c r="E160" s="12" t="inlineStr">
        <is>
          <t>ad</t>
        </is>
      </c>
      <c r="F160" s="13" t="n">
        <v>1</v>
      </c>
    </row>
    <row r="161" ht="21" customHeight="1">
      <c r="A161" s="14" t="n"/>
      <c r="B161" s="9" t="n">
        <v>4</v>
      </c>
      <c r="C161" s="10" t="inlineStr">
        <is>
          <t>30.110.1104</t>
        </is>
      </c>
      <c r="D161" s="11" t="inlineStr">
        <is>
          <t>Termik-manyetik kompakt şalter 3x160 A, Icu 35 kA — ana giriş (%25 müteahhit kârı dahil)</t>
        </is>
      </c>
      <c r="E161" s="12" t="inlineStr">
        <is>
          <t>ad</t>
        </is>
      </c>
      <c r="F161" s="13" t="n">
        <v>1</v>
      </c>
    </row>
    <row r="162" ht="14" customHeight="1">
      <c r="A162" s="14" t="n"/>
      <c r="B162" s="9" t="n">
        <v>5</v>
      </c>
      <c r="C162" s="10" t="inlineStr">
        <is>
          <t>30.115.1003</t>
        </is>
      </c>
      <c r="D162" s="11" t="inlineStr">
        <is>
          <t>Kaçak akım koruma şalteri 2x63 A, 30 mA (%25 müteahhit kârı dahil)</t>
        </is>
      </c>
      <c r="E162" s="12" t="inlineStr">
        <is>
          <t>ad</t>
        </is>
      </c>
      <c r="F162" s="13" t="n">
        <v>2</v>
      </c>
    </row>
    <row r="163" ht="21" customHeight="1">
      <c r="A163" s="14" t="n"/>
      <c r="B163" s="9" t="n">
        <v>6</v>
      </c>
      <c r="C163" s="10" t="inlineStr">
        <is>
          <t>30.140.3105</t>
        </is>
      </c>
      <c r="D163" s="11" t="inlineStr">
        <is>
          <t>YVV (NYY) 1 kV yeraltı kablosu ile besleme hattı tesisi — 1x35 mm² (%25 müteahhit kârı dahil)</t>
        </is>
      </c>
      <c r="E163" s="12" t="inlineStr">
        <is>
          <t>m</t>
        </is>
      </c>
      <c r="F163" s="13" t="n">
        <v>50</v>
      </c>
    </row>
    <row r="164" ht="21" customHeight="1">
      <c r="A164" s="14" t="n"/>
      <c r="B164" s="9" t="n">
        <v>7</v>
      </c>
      <c r="C164" s="10" t="inlineStr">
        <is>
          <t>30.140.3101</t>
        </is>
      </c>
      <c r="D164" s="11" t="inlineStr">
        <is>
          <t>YVV (NYY) 1 kV yeraltı kablosu ile besleme hattı tesisi — 1x6 mm² (%25 müteahhit kârı dahil)</t>
        </is>
      </c>
      <c r="E164" s="12" t="inlineStr">
        <is>
          <t>m</t>
        </is>
      </c>
      <c r="F164" s="13" t="n">
        <v>50</v>
      </c>
    </row>
    <row r="165" ht="21" customHeight="1">
      <c r="A165" s="14" t="n"/>
      <c r="B165" s="9" t="n">
        <v>8</v>
      </c>
      <c r="C165" s="10" t="inlineStr">
        <is>
          <t>30.172.1706</t>
        </is>
      </c>
      <c r="D165" s="11" t="inlineStr">
        <is>
          <t>Aydınlatma direği — taban çapı en az 80 mm, yükseklik en az 4,00 m (%25 müteahhit kârı dahil)</t>
        </is>
      </c>
      <c r="E165" s="12" t="inlineStr">
        <is>
          <t>ad</t>
        </is>
      </c>
      <c r="F165" s="13" t="n">
        <v>4</v>
      </c>
    </row>
    <row r="166" ht="14" customHeight="1">
      <c r="A166" s="15" t="n"/>
      <c r="B166" s="9" t="n">
        <v>9</v>
      </c>
      <c r="C166" s="10" t="inlineStr">
        <is>
          <t>30.170.4002</t>
        </is>
      </c>
      <c r="D166" s="11" t="inlineStr">
        <is>
          <t>LED projektör, ışık akısı en az 5100 lm (%25 müteahhit kârı dahil)</t>
        </is>
      </c>
      <c r="E166" s="12" t="inlineStr">
        <is>
          <t>ad</t>
        </is>
      </c>
      <c r="F166" s="13" t="n">
        <v>4</v>
      </c>
    </row>
    <row r="167"/>
    <row r="168">
      <c r="A168" s="16" t="inlineStr">
        <is>
          <t>AÇIKLAMALAR</t>
        </is>
      </c>
      <c r="B168" s="6" t="n"/>
      <c r="C168" s="6" t="n"/>
      <c r="D168" s="6" t="n"/>
      <c r="E168" s="6" t="n"/>
      <c r="F168" s="6" t="n"/>
    </row>
    <row r="169" ht="13" customHeight="1">
      <c r="A169" s="17" t="inlineStr">
        <is>
          <t>•  Keşif özetinde birim fiyat ve tutar sütunu bulunmaz; bunlar teklif davet mektubu ekindeki ayrı cetvelde yer alır.</t>
        </is>
      </c>
    </row>
    <row r="170" ht="22" customHeight="1">
      <c r="A170"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1" ht="13" customHeight="1">
      <c r="A171" s="17" t="inlineStr">
        <is>
          <t>•  Kümes A ve B blok özdeş olduğundan tek başlık altında toplanmıştır; miktarlar iki bloğun toplamıdır.</t>
        </is>
      </c>
    </row>
    <row r="172" ht="13" customHeight="1">
      <c r="A172" s="17" t="inlineStr">
        <is>
          <t>•  Elektrik tesisatı bölümü, kuvvetli akım birim fiyat listesi temin edildikten sonra tamamlanacaktır.</t>
        </is>
      </c>
    </row>
  </sheetData>
  <mergeCells count="91">
    <mergeCell ref="A20:A22"/>
    <mergeCell ref="A52"/>
    <mergeCell ref="A23:A25"/>
    <mergeCell ref="A50:F50"/>
    <mergeCell ref="A3:F3"/>
    <mergeCell ref="A155"/>
    <mergeCell ref="A5:F5"/>
    <mergeCell ref="A110"/>
    <mergeCell ref="A119"/>
    <mergeCell ref="A121:F121"/>
    <mergeCell ref="A156:A157"/>
    <mergeCell ref="A118"/>
    <mergeCell ref="A75"/>
    <mergeCell ref="A133"/>
    <mergeCell ref="A55"/>
    <mergeCell ref="A59:A60"/>
    <mergeCell ref="A172:F172"/>
    <mergeCell ref="A144"/>
    <mergeCell ref="A12:A14"/>
    <mergeCell ref="A97"/>
    <mergeCell ref="A106"/>
    <mergeCell ref="A70:A71"/>
    <mergeCell ref="A134"/>
    <mergeCell ref="A96"/>
    <mergeCell ref="A152"/>
    <mergeCell ref="A149:F149"/>
    <mergeCell ref="A2:F2"/>
    <mergeCell ref="A31"/>
    <mergeCell ref="A26:A27"/>
    <mergeCell ref="A107"/>
    <mergeCell ref="A122:F122"/>
    <mergeCell ref="A112:F112"/>
    <mergeCell ref="A146"/>
    <mergeCell ref="A124"/>
    <mergeCell ref="A99"/>
    <mergeCell ref="A108"/>
    <mergeCell ref="A169:F169"/>
    <mergeCell ref="A151"/>
    <mergeCell ref="A126"/>
    <mergeCell ref="A135"/>
    <mergeCell ref="A17:A19"/>
    <mergeCell ref="A125"/>
    <mergeCell ref="A139:F139"/>
    <mergeCell ref="A32:A47"/>
    <mergeCell ref="A127"/>
    <mergeCell ref="A30"/>
    <mergeCell ref="A64:A66"/>
    <mergeCell ref="A131:F131"/>
    <mergeCell ref="A98"/>
    <mergeCell ref="A140:F140"/>
    <mergeCell ref="A171:F171"/>
    <mergeCell ref="A93:F93"/>
    <mergeCell ref="A153"/>
    <mergeCell ref="A54"/>
    <mergeCell ref="A137"/>
    <mergeCell ref="A61:A63"/>
    <mergeCell ref="A49:F49"/>
    <mergeCell ref="A74"/>
    <mergeCell ref="A145"/>
    <mergeCell ref="A154"/>
    <mergeCell ref="A1:F1"/>
    <mergeCell ref="A94:F94"/>
    <mergeCell ref="A103:F103"/>
    <mergeCell ref="A168:F168"/>
    <mergeCell ref="A116"/>
    <mergeCell ref="A56:A58"/>
    <mergeCell ref="A8"/>
    <mergeCell ref="A76:A91"/>
    <mergeCell ref="A53"/>
    <mergeCell ref="A109"/>
    <mergeCell ref="A10"/>
    <mergeCell ref="A115"/>
    <mergeCell ref="A158:A166"/>
    <mergeCell ref="A104:F104"/>
    <mergeCell ref="A117"/>
    <mergeCell ref="A113:F113"/>
    <mergeCell ref="A67:A69"/>
    <mergeCell ref="A9"/>
    <mergeCell ref="A143"/>
    <mergeCell ref="A142"/>
    <mergeCell ref="A11"/>
    <mergeCell ref="A170:F170"/>
    <mergeCell ref="A100:A101"/>
    <mergeCell ref="A72:A73"/>
    <mergeCell ref="A128"/>
    <mergeCell ref="A130:F130"/>
    <mergeCell ref="A148:F148"/>
    <mergeCell ref="A136"/>
    <mergeCell ref="A28:A29"/>
    <mergeCell ref="A15:A16"/>
    <mergeCell ref="A6:F6"/>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2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22" customHeight="1">
      <c r="A243" s="19" t="n">
        <v>19</v>
      </c>
      <c r="B243" s="20" t="inlineStr">
        <is>
          <t>15.315.1001</t>
        </is>
      </c>
      <c r="C243" s="8" t="inlineStr">
        <is>
          <t>[M36]  Ø70 sert PVC yağmur suyu iniş borusu temini ve yerine tesbiti</t>
        </is>
      </c>
      <c r="D243" s="21" t="inlineStr">
        <is>
          <t>m</t>
        </is>
      </c>
      <c r="E243" s="22" t="n"/>
      <c r="F243" s="22" t="n"/>
      <c r="G243" s="22" t="n"/>
      <c r="H243" s="22" t="n"/>
      <c r="I243" s="22" t="n"/>
      <c r="J243" s="22" t="n"/>
    </row>
    <row r="244" ht="30" customHeight="1">
      <c r="A244" s="6" t="n"/>
      <c r="B244" s="6" t="n"/>
      <c r="C244" s="23" t="inlineStr">
        <is>
          <t>Sıhhi tesisat projesi: blok başına 16 adet Ø70 iniş borusu (Y1-Y16), 2 blok = 32 adet; boy 3.00 m saçak kotu + 0,20 m zemin altı = 3,20 m — bu yapıya düşen pay 0.500000</t>
        </is>
      </c>
      <c r="D244" s="6" t="n"/>
      <c r="E244" s="28" t="n">
        <v>32</v>
      </c>
      <c r="F244" s="6" t="n"/>
      <c r="G244" s="29" t="n">
        <v>3.2</v>
      </c>
      <c r="H244" s="6" t="n"/>
      <c r="I244" s="24">
        <f>E244*G244*J244</f>
        <v/>
      </c>
      <c r="J244" s="30" t="n">
        <v>0.5</v>
      </c>
    </row>
    <row r="245">
      <c r="A245" s="22" t="n"/>
      <c r="B245" s="22" t="n"/>
      <c r="C245" s="25" t="inlineStr">
        <is>
          <t>M36 TOPLAMI</t>
        </is>
      </c>
      <c r="D245" s="26" t="inlineStr">
        <is>
          <t>m</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YAĞMUR SUYU DEPOSU</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22" customHeight="1">
      <c r="A446" s="19" t="n">
        <v>1</v>
      </c>
      <c r="B446" s="20" t="inlineStr">
        <is>
          <t>15.120.1101</t>
        </is>
      </c>
      <c r="C446" s="8" t="inlineStr">
        <is>
          <t>[M05]  Makine ile dar ve derin sandık kazı — ölü atma çukuru, depolar, foseptik ve silo kaideleri</t>
        </is>
      </c>
      <c r="D446" s="21" t="inlineStr">
        <is>
          <t>m³</t>
        </is>
      </c>
      <c r="E446" s="22" t="n"/>
      <c r="F446" s="22" t="n"/>
      <c r="G446" s="22" t="n"/>
      <c r="H446" s="22" t="n"/>
      <c r="I446" s="22" t="n"/>
      <c r="J446" s="22" t="n"/>
    </row>
    <row r="447" ht="20" customHeight="1">
      <c r="A447" s="6" t="n"/>
      <c r="B447" s="6" t="n"/>
      <c r="C447" s="23" t="inlineStr">
        <is>
          <t>Yağmur suyu deposu: dış 3.00x3.00; 1,00 m çalışma payı -&gt; 5.00x5.00; derinlik 3.55 m</t>
        </is>
      </c>
      <c r="D447" s="6" t="n"/>
      <c r="E447" s="28" t="n">
        <v>1</v>
      </c>
      <c r="F447" s="29" t="n">
        <v>5</v>
      </c>
      <c r="G447" s="29" t="n">
        <v>5</v>
      </c>
      <c r="H447" s="29" t="n">
        <v>3.55</v>
      </c>
      <c r="I447" s="24">
        <f>E447*F447*G447*H447</f>
        <v/>
      </c>
      <c r="J447" s="6" t="n"/>
    </row>
    <row r="448">
      <c r="A448" s="22" t="n"/>
      <c r="B448" s="22" t="n"/>
      <c r="C448" s="25" t="inlineStr">
        <is>
          <t>M05 TOPLAMI</t>
        </is>
      </c>
      <c r="D448" s="26" t="inlineStr">
        <is>
          <t>m³</t>
        </is>
      </c>
      <c r="E448" s="22" t="n"/>
      <c r="F448" s="22" t="n"/>
      <c r="G448" s="22" t="n"/>
      <c r="H448" s="22" t="n"/>
      <c r="I448" s="22" t="n"/>
      <c r="J448" s="27">
        <f>SUM(I447:I447)</f>
        <v/>
      </c>
    </row>
    <row r="449" ht="22" customHeight="1">
      <c r="A449" s="19" t="n">
        <v>2</v>
      </c>
      <c r="B449" s="20" t="inlineStr">
        <is>
          <t>15.150.1003</t>
        </is>
      </c>
      <c r="C449" s="8" t="inlineStr">
        <is>
          <t>[M11]  C 16/20 hazır beton dökülmesi — çukur, depo, foseptik ve silo kaideleri altı grobeton</t>
        </is>
      </c>
      <c r="D449" s="21" t="inlineStr">
        <is>
          <t>m³</t>
        </is>
      </c>
      <c r="E449" s="22" t="n"/>
      <c r="F449" s="22" t="n"/>
      <c r="G449" s="22" t="n"/>
      <c r="H449" s="22" t="n"/>
      <c r="I449" s="22" t="n"/>
      <c r="J449" s="22" t="n"/>
    </row>
    <row r="450" ht="12" customHeight="1">
      <c r="A450" s="6" t="n"/>
      <c r="B450" s="6" t="n"/>
      <c r="C450" s="23" t="inlineStr">
        <is>
          <t>Yağmur suyu deposu (3.00x3.00 + 0,10 taşma)</t>
        </is>
      </c>
      <c r="D450" s="6" t="n"/>
      <c r="E450" s="28" t="n">
        <v>1</v>
      </c>
      <c r="F450" s="29" t="n">
        <v>3.2</v>
      </c>
      <c r="G450" s="29" t="n">
        <v>3.2</v>
      </c>
      <c r="H450" s="29" t="n">
        <v>0.1</v>
      </c>
      <c r="I450" s="24">
        <f>E450*F450*G450*H450</f>
        <v/>
      </c>
      <c r="J450" s="6" t="n"/>
    </row>
    <row r="451">
      <c r="A451" s="22" t="n"/>
      <c r="B451" s="22" t="n"/>
      <c r="C451" s="25" t="inlineStr">
        <is>
          <t>M11 TOPLAMI</t>
        </is>
      </c>
      <c r="D451" s="26" t="inlineStr">
        <is>
          <t>m³</t>
        </is>
      </c>
      <c r="E451" s="22" t="n"/>
      <c r="F451" s="22" t="n"/>
      <c r="G451" s="22" t="n"/>
      <c r="H451" s="22" t="n"/>
      <c r="I451" s="22" t="n"/>
      <c r="J451" s="27">
        <f>SUM(I450:I450)</f>
        <v/>
      </c>
    </row>
    <row r="452" ht="22" customHeight="1">
      <c r="A452" s="19" t="n">
        <v>3</v>
      </c>
      <c r="B452" s="20" t="inlineStr">
        <is>
          <t>15.150.1005</t>
        </is>
      </c>
      <c r="C452" s="8" t="inlineStr">
        <is>
          <t>[M16]  C 25/30 hazır beton dökülmesi — ölü atma çukuru, su ve yağmur suyu depoları</t>
        </is>
      </c>
      <c r="D452" s="21" t="inlineStr">
        <is>
          <t>m³</t>
        </is>
      </c>
      <c r="E452" s="22" t="n"/>
      <c r="F452" s="22" t="n"/>
      <c r="G452" s="22" t="n"/>
      <c r="H452" s="22" t="n"/>
      <c r="I452" s="22" t="n"/>
      <c r="J452" s="22" t="n"/>
    </row>
    <row r="453" ht="12" customHeight="1">
      <c r="A453" s="6" t="n"/>
      <c r="B453" s="6" t="n"/>
      <c r="C453" s="23" t="inlineStr">
        <is>
          <t>Yağmur suyu deposu radye 30 cm (dış 3.00x3.00)</t>
        </is>
      </c>
      <c r="D453" s="6" t="n"/>
      <c r="E453" s="28" t="n">
        <v>1</v>
      </c>
      <c r="F453" s="29" t="n">
        <v>3</v>
      </c>
      <c r="G453" s="29" t="n">
        <v>3</v>
      </c>
      <c r="H453" s="29" t="n">
        <v>0.3</v>
      </c>
      <c r="I453" s="24">
        <f>E453*F453*G453*H453</f>
        <v/>
      </c>
      <c r="J453" s="6" t="n"/>
    </row>
    <row r="454" ht="20" customHeight="1">
      <c r="A454" s="6" t="n"/>
      <c r="B454" s="6" t="n"/>
      <c r="C454" s="23" t="inlineStr">
        <is>
          <t>Yağmur suyu deposu perdeleri: orta çevre 2x(2.75+2.75) = 11.00 m</t>
        </is>
      </c>
      <c r="D454" s="6" t="n"/>
      <c r="E454" s="28" t="n">
        <v>1</v>
      </c>
      <c r="F454" s="29" t="n">
        <v>0.25</v>
      </c>
      <c r="G454" s="29" t="n">
        <v>11</v>
      </c>
      <c r="H454" s="29" t="n">
        <v>3</v>
      </c>
      <c r="I454" s="24">
        <f>E454*F454*G454*H454</f>
        <v/>
      </c>
      <c r="J454" s="6" t="n"/>
    </row>
    <row r="455" ht="12" customHeight="1">
      <c r="A455" s="6" t="n"/>
      <c r="B455" s="6" t="n"/>
      <c r="C455" s="23" t="inlineStr">
        <is>
          <t>Yağmur suyu deposu üst döşemesi 15 cm</t>
        </is>
      </c>
      <c r="D455" s="6" t="n"/>
      <c r="E455" s="28" t="n">
        <v>1</v>
      </c>
      <c r="F455" s="29" t="n">
        <v>3</v>
      </c>
      <c r="G455" s="29" t="n">
        <v>3</v>
      </c>
      <c r="H455" s="29" t="n">
        <v>0.15</v>
      </c>
      <c r="I455" s="24">
        <f>E455*F455*G455*H455</f>
        <v/>
      </c>
      <c r="J455" s="6" t="n"/>
    </row>
    <row r="456">
      <c r="A456" s="22" t="n"/>
      <c r="B456" s="22" t="n"/>
      <c r="C456" s="25" t="inlineStr">
        <is>
          <t>M16 TOPLAMI</t>
        </is>
      </c>
      <c r="D456" s="26" t="inlineStr">
        <is>
          <t>m³</t>
        </is>
      </c>
      <c r="E456" s="22" t="n"/>
      <c r="F456" s="22" t="n"/>
      <c r="G456" s="22" t="n"/>
      <c r="H456" s="22" t="n"/>
      <c r="I456" s="22" t="n"/>
      <c r="J456" s="27">
        <f>SUM(I453:I455)</f>
        <v/>
      </c>
    </row>
    <row r="457" ht="15" customHeight="1">
      <c r="A457" s="19" t="n">
        <v>4</v>
      </c>
      <c r="B457" s="20" t="inlineStr">
        <is>
          <t>15.180.1003</t>
        </is>
      </c>
      <c r="C457" s="8" t="inlineStr">
        <is>
          <t>[M20]  Plywood ile düz yüzeyli betonarme kalıbı — çukur ve depolar</t>
        </is>
      </c>
      <c r="D457" s="21" t="inlineStr">
        <is>
          <t>m²</t>
        </is>
      </c>
      <c r="E457" s="22" t="n"/>
      <c r="F457" s="22" t="n"/>
      <c r="G457" s="22" t="n"/>
      <c r="H457" s="22" t="n"/>
      <c r="I457" s="22" t="n"/>
      <c r="J457" s="22" t="n"/>
    </row>
    <row r="458" ht="20" customHeight="1">
      <c r="A458" s="6" t="n"/>
      <c r="B458" s="6" t="n"/>
      <c r="C458" s="23" t="inlineStr">
        <is>
          <t>Yağmur suyu deposu radye çevresi 2x(3.00+3.00) = 12.00 m x 0,40</t>
        </is>
      </c>
      <c r="D458" s="6" t="n"/>
      <c r="E458" s="28" t="n">
        <v>1</v>
      </c>
      <c r="F458" s="6" t="n"/>
      <c r="G458" s="29" t="n">
        <v>12</v>
      </c>
      <c r="H458" s="29" t="n">
        <v>0.4</v>
      </c>
      <c r="I458" s="24">
        <f>E458*G458*H458</f>
        <v/>
      </c>
      <c r="J458" s="6" t="n"/>
    </row>
    <row r="459" ht="12" customHeight="1">
      <c r="A459" s="6" t="n"/>
      <c r="B459" s="6" t="n"/>
      <c r="C459" s="23" t="inlineStr">
        <is>
          <t>Yağmur suyu deposu perde iki yüz (11.00 m x 3.00 m)</t>
        </is>
      </c>
      <c r="D459" s="6" t="n"/>
      <c r="E459" s="28" t="n">
        <v>2</v>
      </c>
      <c r="F459" s="6" t="n"/>
      <c r="G459" s="29" t="n">
        <v>11</v>
      </c>
      <c r="H459" s="29" t="n">
        <v>3</v>
      </c>
      <c r="I459" s="24">
        <f>E459*G459*H459</f>
        <v/>
      </c>
      <c r="J459" s="6" t="n"/>
    </row>
    <row r="460" ht="12" customHeight="1">
      <c r="A460" s="6" t="n"/>
      <c r="B460" s="6" t="n"/>
      <c r="C460" s="23" t="inlineStr">
        <is>
          <t>Yağmur suyu deposu tavan kalıbı</t>
        </is>
      </c>
      <c r="D460" s="6" t="n"/>
      <c r="E460" s="28" t="n">
        <v>1</v>
      </c>
      <c r="F460" s="29" t="n">
        <v>3</v>
      </c>
      <c r="G460" s="29" t="n">
        <v>3</v>
      </c>
      <c r="H460" s="6" t="n"/>
      <c r="I460" s="24">
        <f>E460*F460*G460</f>
        <v/>
      </c>
      <c r="J460" s="6" t="n"/>
    </row>
    <row r="461">
      <c r="A461" s="22" t="n"/>
      <c r="B461" s="22" t="n"/>
      <c r="C461" s="25" t="inlineStr">
        <is>
          <t>M20 TOPLAMI</t>
        </is>
      </c>
      <c r="D461" s="26" t="inlineStr">
        <is>
          <t>m²</t>
        </is>
      </c>
      <c r="E461" s="22" t="n"/>
      <c r="F461" s="22" t="n"/>
      <c r="G461" s="22" t="n"/>
      <c r="H461" s="22" t="n"/>
      <c r="I461" s="22" t="n"/>
      <c r="J461" s="27">
        <f>SUM(I458:I460)</f>
        <v/>
      </c>
    </row>
    <row r="462" ht="22" customHeight="1">
      <c r="A462" s="19" t="n">
        <v>5</v>
      </c>
      <c r="B462" s="20" t="inlineStr">
        <is>
          <t>15.160.1003</t>
        </is>
      </c>
      <c r="C462" s="8" t="inlineStr">
        <is>
          <t>[M26]  Ø8-Ø12 nervürlü beton çelik çubuğu — çukur, depo, foseptik ve silo kaideleri</t>
        </is>
      </c>
      <c r="D462" s="21" t="inlineStr">
        <is>
          <t>ton</t>
        </is>
      </c>
      <c r="E462" s="22" t="n"/>
      <c r="F462" s="22" t="n"/>
      <c r="G462" s="22" t="n"/>
      <c r="H462" s="22" t="n"/>
      <c r="I462" s="22" t="n"/>
      <c r="J462" s="22" t="n"/>
    </row>
    <row r="463" ht="12" customHeight="1">
      <c r="A463" s="6" t="n"/>
      <c r="B463" s="6" t="n"/>
      <c r="C463" s="23" t="inlineStr">
        <is>
          <t>Yağmur suyu deposu radyesi: 3.00x3.00x0,30 m³, 100 kg/m³</t>
        </is>
      </c>
      <c r="D463" s="6" t="n"/>
      <c r="E463" s="28" t="n">
        <v>1</v>
      </c>
      <c r="F463" s="29" t="n">
        <v>3</v>
      </c>
      <c r="G463" s="29" t="n">
        <v>3</v>
      </c>
      <c r="H463" s="29" t="n">
        <v>0.3</v>
      </c>
      <c r="I463" s="24">
        <f>E463*F463*G463*H463*J463</f>
        <v/>
      </c>
      <c r="J463" s="30" t="n">
        <v>0.1</v>
      </c>
    </row>
    <row r="464" ht="20" customHeight="1">
      <c r="A464" s="6" t="n"/>
      <c r="B464" s="6" t="n"/>
      <c r="C464" s="23" t="inlineStr">
        <is>
          <t>Yağmur suyu deposu perdeleri: 11.00x0,25x3.00 m³, 100 kg/m³</t>
        </is>
      </c>
      <c r="D464" s="6" t="n"/>
      <c r="E464" s="28" t="n">
        <v>1</v>
      </c>
      <c r="F464" s="29" t="n">
        <v>0.25</v>
      </c>
      <c r="G464" s="29" t="n">
        <v>11</v>
      </c>
      <c r="H464" s="29" t="n">
        <v>3</v>
      </c>
      <c r="I464" s="24">
        <f>E464*F464*G464*H464*J464</f>
        <v/>
      </c>
      <c r="J464" s="30" t="n">
        <v>0.1</v>
      </c>
    </row>
    <row r="465" ht="12" customHeight="1">
      <c r="A465" s="6" t="n"/>
      <c r="B465" s="6" t="n"/>
      <c r="C465" s="23" t="inlineStr">
        <is>
          <t>Yağmur suyu deposu döşemesi: 3.00x3.00x0,15 m³, 100 kg/m³</t>
        </is>
      </c>
      <c r="D465" s="6" t="n"/>
      <c r="E465" s="28" t="n">
        <v>1</v>
      </c>
      <c r="F465" s="29" t="n">
        <v>3</v>
      </c>
      <c r="G465" s="29" t="n">
        <v>3</v>
      </c>
      <c r="H465" s="29" t="n">
        <v>0.15</v>
      </c>
      <c r="I465" s="24">
        <f>E465*F465*G465*H465*J465</f>
        <v/>
      </c>
      <c r="J465" s="30" t="n">
        <v>0.1</v>
      </c>
    </row>
    <row r="466">
      <c r="A466" s="22" t="n"/>
      <c r="B466" s="22" t="n"/>
      <c r="C466" s="25" t="inlineStr">
        <is>
          <t>M26 TOPLAMI</t>
        </is>
      </c>
      <c r="D466" s="26" t="inlineStr">
        <is>
          <t>ton</t>
        </is>
      </c>
      <c r="E466" s="22" t="n"/>
      <c r="F466" s="22" t="n"/>
      <c r="G466" s="22" t="n"/>
      <c r="H466" s="22" t="n"/>
      <c r="I466" s="22" t="n"/>
      <c r="J466" s="27">
        <f>SUM(I463:I465)</f>
        <v/>
      </c>
    </row>
    <row r="467"/>
    <row r="468" ht="20" customHeight="1">
      <c r="A468" s="18" t="inlineStr">
        <is>
          <t>Yapı/Bina Adı: ÇEVRE DÜZENLEMESI VE SAHA ALTYAPISI</t>
        </is>
      </c>
    </row>
    <row r="469" ht="28" customHeight="1">
      <c r="A469" s="7" t="inlineStr">
        <is>
          <t>No</t>
        </is>
      </c>
      <c r="B469" s="7" t="inlineStr">
        <is>
          <t>Poz No</t>
        </is>
      </c>
      <c r="C469" s="7" t="inlineStr">
        <is>
          <t>Tanımı / Ölçünün Alındığı Yer</t>
        </is>
      </c>
      <c r="D469" s="7" t="inlineStr">
        <is>
          <t>Birimi</t>
        </is>
      </c>
      <c r="E469" s="7" t="inlineStr">
        <is>
          <t>Adet</t>
        </is>
      </c>
      <c r="F469" s="7" t="inlineStr">
        <is>
          <t>En (m)</t>
        </is>
      </c>
      <c r="G469" s="7" t="inlineStr">
        <is>
          <t>Boy (m)</t>
        </is>
      </c>
      <c r="H469" s="7" t="inlineStr">
        <is>
          <t>Yükseklik (m)</t>
        </is>
      </c>
      <c r="I469" s="7" t="inlineStr">
        <is>
          <t>Miktar</t>
        </is>
      </c>
      <c r="J469" s="7" t="inlineStr">
        <is>
          <t>Toplam Miktar</t>
        </is>
      </c>
    </row>
    <row r="470" ht="15" customHeight="1">
      <c r="A470" s="19" t="n">
        <v>1</v>
      </c>
      <c r="B470" s="20" t="inlineStr">
        <is>
          <t>15.120.1001</t>
        </is>
      </c>
      <c r="C470" s="8" t="inlineStr">
        <is>
          <t>[M02]  Makine ile kaba tesviye kazısı — tesis içi yol güzergâhı</t>
        </is>
      </c>
      <c r="D470" s="21" t="inlineStr">
        <is>
          <t>m³</t>
        </is>
      </c>
      <c r="E470" s="22" t="n"/>
      <c r="F470" s="22" t="n"/>
      <c r="G470" s="22" t="n"/>
      <c r="H470" s="22" t="n"/>
      <c r="I470" s="22" t="n"/>
      <c r="J470" s="22" t="n"/>
    </row>
    <row r="471" ht="20" customHeight="1">
      <c r="A471" s="6" t="n"/>
      <c r="B471" s="6" t="n"/>
      <c r="C471" s="23" t="inlineStr">
        <is>
          <t>Tesis içi yol güzergâhı: 745,57 m² alan, ortalama 5,00 m genişlik -&gt; 149,11 m uzunluk</t>
        </is>
      </c>
      <c r="D471" s="6" t="n"/>
      <c r="E471" s="28" t="n">
        <v>1</v>
      </c>
      <c r="F471" s="29" t="n">
        <v>5</v>
      </c>
      <c r="G471" s="29" t="n">
        <v>149.11</v>
      </c>
      <c r="H471" s="29" t="n">
        <v>0.35</v>
      </c>
      <c r="I471" s="24">
        <f>E471*F471*G471*H471</f>
        <v/>
      </c>
      <c r="J471" s="6" t="n"/>
    </row>
    <row r="472">
      <c r="A472" s="22" t="n"/>
      <c r="B472" s="22" t="n"/>
      <c r="C472" s="25" t="inlineStr">
        <is>
          <t>M02 TOPLAMI</t>
        </is>
      </c>
      <c r="D472" s="26" t="inlineStr">
        <is>
          <t>m³</t>
        </is>
      </c>
      <c r="E472" s="22" t="n"/>
      <c r="F472" s="22" t="n"/>
      <c r="G472" s="22" t="n"/>
      <c r="H472" s="22" t="n"/>
      <c r="I472" s="22" t="n"/>
      <c r="J472" s="27">
        <f>SUM(I471:I471)</f>
        <v/>
      </c>
    </row>
    <row r="473" ht="22" customHeight="1">
      <c r="A473" s="19" t="n">
        <v>2</v>
      </c>
      <c r="B473" s="20" t="inlineStr">
        <is>
          <t>TKDK-0091</t>
        </is>
      </c>
      <c r="C473" s="8" t="inlineStr">
        <is>
          <t>[M46]  1,50 m yükseklikte sıcak daldırma galvanizli tel örgü ile çit yapılması</t>
        </is>
      </c>
      <c r="D473" s="21" t="inlineStr">
        <is>
          <t>m</t>
        </is>
      </c>
      <c r="E473" s="22" t="n"/>
      <c r="F473" s="22" t="n"/>
      <c r="G473" s="22" t="n"/>
      <c r="H473" s="22" t="n"/>
      <c r="I473" s="22" t="n"/>
      <c r="J473" s="22" t="n"/>
    </row>
    <row r="474" ht="30" customHeight="1">
      <c r="A474" s="6" t="n"/>
      <c r="B474" s="6" t="n"/>
      <c r="C474" s="23" t="inlineStr">
        <is>
          <t>Parsel 7.966,67 m²; yerleşim planındaki cephe 113,04 m, buna karşılık gelen derinlik 7.966,67/113,04 = 70,48 m; çevre 2x(113,04+70,48)</t>
        </is>
      </c>
      <c r="D474" s="6" t="n"/>
      <c r="E474" s="28" t="n">
        <v>1</v>
      </c>
      <c r="F474" s="6" t="n"/>
      <c r="G474" s="29" t="n">
        <v>367.04</v>
      </c>
      <c r="H474" s="6" t="n"/>
      <c r="I474" s="24">
        <f>E474*G474</f>
        <v/>
      </c>
      <c r="J474" s="6" t="n"/>
    </row>
    <row r="475" ht="12" customHeight="1">
      <c r="A475" s="6" t="n"/>
      <c r="B475" s="6" t="n"/>
      <c r="C475" s="23" t="inlineStr">
        <is>
          <t>Giriş kapısı açıklığı düşülür</t>
        </is>
      </c>
      <c r="D475" s="6" t="n"/>
      <c r="E475" s="28" t="n">
        <v>1</v>
      </c>
      <c r="F475" s="6" t="n"/>
      <c r="G475" s="29" t="n">
        <v>6</v>
      </c>
      <c r="H475" s="6" t="n"/>
      <c r="I475" s="24">
        <f>-E475*G475</f>
        <v/>
      </c>
      <c r="J475" s="6" t="n"/>
    </row>
    <row r="476">
      <c r="A476" s="22" t="n"/>
      <c r="B476" s="22" t="n"/>
      <c r="C476" s="25" t="inlineStr">
        <is>
          <t>M46 TOPLAMI</t>
        </is>
      </c>
      <c r="D476" s="26" t="inlineStr">
        <is>
          <t>m</t>
        </is>
      </c>
      <c r="E476" s="22" t="n"/>
      <c r="F476" s="22" t="n"/>
      <c r="G476" s="22" t="n"/>
      <c r="H476" s="22" t="n"/>
      <c r="I476" s="22" t="n"/>
      <c r="J476" s="27">
        <f>SUM(I474:I475)</f>
        <v/>
      </c>
    </row>
    <row r="477" ht="22" customHeight="1">
      <c r="A477" s="19" t="n">
        <v>3</v>
      </c>
      <c r="B477" s="20" t="inlineStr">
        <is>
          <t>43.527.1001</t>
        </is>
      </c>
      <c r="C477" s="8" t="inlineStr">
        <is>
          <t>[M59]  ø150 HDPE koruge boru ile pissu hattı döşenmesi (SN 8, lastik conta ve boru bedeli dahil)</t>
        </is>
      </c>
      <c r="D477" s="21" t="inlineStr">
        <is>
          <t>m</t>
        </is>
      </c>
      <c r="E477" s="22" t="n"/>
      <c r="F477" s="22" t="n"/>
      <c r="G477" s="22" t="n"/>
      <c r="H477" s="22" t="n"/>
      <c r="I477" s="22" t="n"/>
      <c r="J477" s="22" t="n"/>
    </row>
    <row r="478" ht="12" customHeight="1">
      <c r="A478" s="6" t="n"/>
      <c r="B478" s="6" t="n"/>
      <c r="C478" s="23" t="inlineStr">
        <is>
          <t>Kümes A blok servis bölümü - foseptik</t>
        </is>
      </c>
      <c r="D478" s="6" t="n"/>
      <c r="E478" s="28" t="n">
        <v>1</v>
      </c>
      <c r="F478" s="6" t="n"/>
      <c r="G478" s="29" t="n">
        <v>25</v>
      </c>
      <c r="H478" s="6" t="n"/>
      <c r="I478" s="24">
        <f>E478*G478</f>
        <v/>
      </c>
      <c r="J478" s="6" t="n"/>
    </row>
    <row r="479" ht="12" customHeight="1">
      <c r="A479" s="6" t="n"/>
      <c r="B479" s="6" t="n"/>
      <c r="C479" s="23" t="inlineStr">
        <is>
          <t>Kümes B blok servis bölümü - foseptik</t>
        </is>
      </c>
      <c r="D479" s="6" t="n"/>
      <c r="E479" s="28" t="n">
        <v>1</v>
      </c>
      <c r="F479" s="6" t="n"/>
      <c r="G479" s="29" t="n">
        <v>25</v>
      </c>
      <c r="H479" s="6" t="n"/>
      <c r="I479" s="24">
        <f>E479*G479</f>
        <v/>
      </c>
      <c r="J479" s="6" t="n"/>
    </row>
    <row r="480">
      <c r="A480" s="22" t="n"/>
      <c r="B480" s="22" t="n"/>
      <c r="C480" s="25" t="inlineStr">
        <is>
          <t>M59 TOPLAMI</t>
        </is>
      </c>
      <c r="D480" s="26" t="inlineStr">
        <is>
          <t>m</t>
        </is>
      </c>
      <c r="E480" s="22" t="n"/>
      <c r="F480" s="22" t="n"/>
      <c r="G480" s="22" t="n"/>
      <c r="H480" s="22" t="n"/>
      <c r="I480" s="22" t="n"/>
      <c r="J480" s="27">
        <f>SUM(I478:I479)</f>
        <v/>
      </c>
    </row>
    <row r="481" ht="15" customHeight="1">
      <c r="A481" s="19" t="n">
        <v>4</v>
      </c>
      <c r="B481" s="20" t="inlineStr">
        <is>
          <t>15.150.1005</t>
        </is>
      </c>
      <c r="C481" s="8" t="inlineStr">
        <is>
          <t>[M61A]  C 25/30 hazır beton dökülmesi — betonarme rögarlar</t>
        </is>
      </c>
      <c r="D481" s="21" t="inlineStr">
        <is>
          <t>m³</t>
        </is>
      </c>
      <c r="E481" s="22" t="n"/>
      <c r="F481" s="22" t="n"/>
      <c r="G481" s="22" t="n"/>
      <c r="H481" s="22" t="n"/>
      <c r="I481" s="22" t="n"/>
      <c r="J481" s="22" t="n"/>
    </row>
    <row r="482" ht="12" customHeight="1">
      <c r="A482" s="6" t="n"/>
      <c r="B482" s="6" t="n"/>
      <c r="C482" s="23" t="inlineStr">
        <is>
          <t>Dış prizma: 0,90 x 0,90 x 0,75; 4 adet</t>
        </is>
      </c>
      <c r="D482" s="6" t="n"/>
      <c r="E482" s="28" t="n">
        <v>4</v>
      </c>
      <c r="F482" s="29" t="n">
        <v>0.9</v>
      </c>
      <c r="G482" s="29" t="n">
        <v>0.9</v>
      </c>
      <c r="H482" s="29" t="n">
        <v>0.75</v>
      </c>
      <c r="I482" s="24">
        <f>E482*F482*G482*H482</f>
        <v/>
      </c>
      <c r="J482" s="6" t="n"/>
    </row>
    <row r="483" ht="12" customHeight="1">
      <c r="A483" s="6" t="n"/>
      <c r="B483" s="6" t="n"/>
      <c r="C483" s="23" t="inlineStr">
        <is>
          <t>Net iç hacim düşülür: 0,60 x 0,60 x 0,60; 4 adet</t>
        </is>
      </c>
      <c r="D483" s="6" t="n"/>
      <c r="E483" s="28" t="n">
        <v>4</v>
      </c>
      <c r="F483" s="29" t="n">
        <v>0.6</v>
      </c>
      <c r="G483" s="29" t="n">
        <v>0.6</v>
      </c>
      <c r="H483" s="29" t="n">
        <v>0.6</v>
      </c>
      <c r="I483" s="24">
        <f>-E483*F483*G483*H483</f>
        <v/>
      </c>
      <c r="J483" s="6" t="n"/>
    </row>
    <row r="484">
      <c r="A484" s="22" t="n"/>
      <c r="B484" s="22" t="n"/>
      <c r="C484" s="25" t="inlineStr">
        <is>
          <t>M61A TOPLAMI</t>
        </is>
      </c>
      <c r="D484" s="26" t="inlineStr">
        <is>
          <t>m³</t>
        </is>
      </c>
      <c r="E484" s="22" t="n"/>
      <c r="F484" s="22" t="n"/>
      <c r="G484" s="22" t="n"/>
      <c r="H484" s="22" t="n"/>
      <c r="I484" s="22" t="n"/>
      <c r="J484" s="27">
        <f>SUM(I482:I483)</f>
        <v/>
      </c>
    </row>
    <row r="485" ht="22" customHeight="1">
      <c r="A485" s="19" t="n">
        <v>5</v>
      </c>
      <c r="B485" s="20" t="inlineStr">
        <is>
          <t>15.180.1003</t>
        </is>
      </c>
      <c r="C485" s="8" t="inlineStr">
        <is>
          <t>[M61B]  Düz yüzeyli beton ve betonarme kalıbı yapılması — betonarme rögarlar</t>
        </is>
      </c>
      <c r="D485" s="21" t="inlineStr">
        <is>
          <t>m²</t>
        </is>
      </c>
      <c r="E485" s="22" t="n"/>
      <c r="F485" s="22" t="n"/>
      <c r="G485" s="22" t="n"/>
      <c r="H485" s="22" t="n"/>
      <c r="I485" s="22" t="n"/>
      <c r="J485" s="22" t="n"/>
    </row>
    <row r="486" ht="12" customHeight="1">
      <c r="A486" s="6" t="n"/>
      <c r="B486" s="6" t="n"/>
      <c r="C486" s="23" t="inlineStr">
        <is>
          <t>İç yüzler: 4 yüz x 0,60 x 0,60; 4 adet</t>
        </is>
      </c>
      <c r="D486" s="6" t="n"/>
      <c r="E486" s="28" t="n">
        <v>4</v>
      </c>
      <c r="F486" s="29" t="n">
        <v>0.6</v>
      </c>
      <c r="G486" s="29" t="n">
        <v>4</v>
      </c>
      <c r="H486" s="29" t="n">
        <v>0.6</v>
      </c>
      <c r="I486" s="24">
        <f>E486*F486*G486*H486</f>
        <v/>
      </c>
      <c r="J486" s="6" t="n"/>
    </row>
    <row r="487" ht="12" customHeight="1">
      <c r="A487" s="6" t="n"/>
      <c r="B487" s="6" t="n"/>
      <c r="C487" s="23" t="inlineStr">
        <is>
          <t>Dış yüzler: 4 yüz x 0,90 x 0,60; 4 adet</t>
        </is>
      </c>
      <c r="D487" s="6" t="n"/>
      <c r="E487" s="28" t="n">
        <v>4</v>
      </c>
      <c r="F487" s="29" t="n">
        <v>0.9</v>
      </c>
      <c r="G487" s="29" t="n">
        <v>4</v>
      </c>
      <c r="H487" s="29" t="n">
        <v>0.6</v>
      </c>
      <c r="I487" s="24">
        <f>E487*F487*G487*H487</f>
        <v/>
      </c>
      <c r="J487" s="6" t="n"/>
    </row>
    <row r="488">
      <c r="A488" s="22" t="n"/>
      <c r="B488" s="22" t="n"/>
      <c r="C488" s="25" t="inlineStr">
        <is>
          <t>M61B TOPLAMI</t>
        </is>
      </c>
      <c r="D488" s="26" t="inlineStr">
        <is>
          <t>m²</t>
        </is>
      </c>
      <c r="E488" s="22" t="n"/>
      <c r="F488" s="22" t="n"/>
      <c r="G488" s="22" t="n"/>
      <c r="H488" s="22" t="n"/>
      <c r="I488" s="22" t="n"/>
      <c r="J488" s="27">
        <f>SUM(I486:I487)</f>
        <v/>
      </c>
    </row>
    <row r="489" ht="15" customHeight="1">
      <c r="A489" s="19" t="n">
        <v>6</v>
      </c>
      <c r="B489" s="20" t="inlineStr">
        <is>
          <t>15.160.1003</t>
        </is>
      </c>
      <c r="C489" s="8" t="inlineStr">
        <is>
          <t>[M61C]  Nervürlü betonarme çeliği ø8-ø12 — betonarme rögarlar</t>
        </is>
      </c>
      <c r="D489" s="21" t="inlineStr">
        <is>
          <t>ton</t>
        </is>
      </c>
      <c r="E489" s="22" t="n"/>
      <c r="F489" s="22" t="n"/>
      <c r="G489" s="22" t="n"/>
      <c r="H489" s="22" t="n"/>
      <c r="I489" s="22" t="n"/>
      <c r="J489" s="22" t="n"/>
    </row>
    <row r="490" ht="20" customHeight="1">
      <c r="A490" s="6" t="n"/>
      <c r="B490" s="6" t="n"/>
      <c r="C490" s="23" t="inlineStr">
        <is>
          <t>Beton hacmi 1,566 m³, ortalama donatı oranı 90 kg/m³ -&gt; 140,94 kg = 0,141 ton</t>
        </is>
      </c>
      <c r="D490" s="6" t="n"/>
      <c r="E490" s="28" t="n">
        <v>1</v>
      </c>
      <c r="F490" s="6" t="n"/>
      <c r="G490" s="29" t="n">
        <v>1.566</v>
      </c>
      <c r="H490" s="6" t="n"/>
      <c r="I490" s="24">
        <f>E490*G490*J490</f>
        <v/>
      </c>
      <c r="J490" s="30" t="n">
        <v>0.09</v>
      </c>
    </row>
    <row r="491">
      <c r="A491" s="22" t="n"/>
      <c r="B491" s="22" t="n"/>
      <c r="C491" s="25" t="inlineStr">
        <is>
          <t>M61C TOPLAMI</t>
        </is>
      </c>
      <c r="D491" s="26" t="inlineStr">
        <is>
          <t>ton</t>
        </is>
      </c>
      <c r="E491" s="22" t="n"/>
      <c r="F491" s="22" t="n"/>
      <c r="G491" s="22" t="n"/>
      <c r="H491" s="22" t="n"/>
      <c r="I491" s="22" t="n"/>
      <c r="J491" s="27">
        <f>SUM(I490:I490)</f>
        <v/>
      </c>
    </row>
    <row r="492" ht="15" customHeight="1">
      <c r="A492" s="19" t="n">
        <v>7</v>
      </c>
      <c r="B492" s="20" t="inlineStr">
        <is>
          <t>15.560.1003</t>
        </is>
      </c>
      <c r="C492" s="8" t="inlineStr">
        <is>
          <t>[M61D]  Betonarme kompozit rögar kapağı temini ve yerine konulması</t>
        </is>
      </c>
      <c r="D492" s="21" t="inlineStr">
        <is>
          <t>ad</t>
        </is>
      </c>
      <c r="E492" s="22" t="n"/>
      <c r="F492" s="22" t="n"/>
      <c r="G492" s="22" t="n"/>
      <c r="H492" s="22" t="n"/>
      <c r="I492" s="22" t="n"/>
      <c r="J492" s="22" t="n"/>
    </row>
    <row r="493" ht="12" customHeight="1">
      <c r="A493" s="6" t="n"/>
      <c r="B493" s="6" t="n"/>
      <c r="C493" s="23" t="inlineStr">
        <is>
          <t>Pissu hattında 4 adet</t>
        </is>
      </c>
      <c r="D493" s="6" t="n"/>
      <c r="E493" s="28" t="n">
        <v>4</v>
      </c>
      <c r="F493" s="6" t="n"/>
      <c r="G493" s="6" t="n"/>
      <c r="H493" s="6" t="n"/>
      <c r="I493" s="24">
        <f>E493</f>
        <v/>
      </c>
      <c r="J493" s="6" t="n"/>
    </row>
    <row r="494">
      <c r="A494" s="22" t="n"/>
      <c r="B494" s="22" t="n"/>
      <c r="C494" s="25" t="inlineStr">
        <is>
          <t>M61D TOPLAMI</t>
        </is>
      </c>
      <c r="D494" s="26" t="inlineStr">
        <is>
          <t>ad</t>
        </is>
      </c>
      <c r="E494" s="22" t="n"/>
      <c r="F494" s="22" t="n"/>
      <c r="G494" s="22" t="n"/>
      <c r="H494" s="22" t="n"/>
      <c r="I494" s="22" t="n"/>
      <c r="J494" s="27">
        <f>SUM(I493:I493)</f>
        <v/>
      </c>
    </row>
    <row r="495" ht="22" customHeight="1">
      <c r="A495" s="19" t="n">
        <v>8</v>
      </c>
      <c r="B495" s="20" t="inlineStr">
        <is>
          <t>30.100.1104</t>
        </is>
      </c>
      <c r="C495" s="8" t="inlineStr">
        <is>
          <t>[M63]  Ana dağıtım panosu (dikili tip galvanizli sac, en az 700 mm en, 400 mm derinlik)</t>
        </is>
      </c>
      <c r="D495" s="21" t="inlineStr">
        <is>
          <t>ad</t>
        </is>
      </c>
      <c r="E495" s="22" t="n"/>
      <c r="F495" s="22" t="n"/>
      <c r="G495" s="22" t="n"/>
      <c r="H495" s="22" t="n"/>
      <c r="I495" s="22" t="n"/>
      <c r="J495" s="22" t="n"/>
    </row>
    <row r="496" ht="12" customHeight="1">
      <c r="A496" s="6" t="n"/>
      <c r="B496" s="6" t="n"/>
      <c r="C496" s="23" t="inlineStr">
        <is>
          <t>Tesis girişinde 1 adet</t>
        </is>
      </c>
      <c r="D496" s="6" t="n"/>
      <c r="E496" s="28" t="n">
        <v>1</v>
      </c>
      <c r="F496" s="6" t="n"/>
      <c r="G496" s="6" t="n"/>
      <c r="H496" s="6" t="n"/>
      <c r="I496" s="24">
        <f>E496*J496</f>
        <v/>
      </c>
      <c r="J496" s="30" t="n">
        <v>1</v>
      </c>
    </row>
    <row r="497">
      <c r="A497" s="22" t="n"/>
      <c r="B497" s="22" t="n"/>
      <c r="C497" s="25" t="inlineStr">
        <is>
          <t>M63 TOPLAMI</t>
        </is>
      </c>
      <c r="D497" s="26" t="inlineStr">
        <is>
          <t>ad</t>
        </is>
      </c>
      <c r="E497" s="22" t="n"/>
      <c r="F497" s="22" t="n"/>
      <c r="G497" s="22" t="n"/>
      <c r="H497" s="22" t="n"/>
      <c r="I497" s="22" t="n"/>
      <c r="J497" s="27">
        <f>SUM(I496:I496)</f>
        <v/>
      </c>
    </row>
    <row r="498" ht="15" customHeight="1">
      <c r="A498" s="19" t="n">
        <v>9</v>
      </c>
      <c r="B498" s="20" t="inlineStr">
        <is>
          <t>30.100.2106</t>
        </is>
      </c>
      <c r="C498" s="8" t="inlineStr">
        <is>
          <t>[M64]  Sayaç panosu (sıva üstü galvanizli sac tablo, 0,50-0,60 m²)</t>
        </is>
      </c>
      <c r="D498" s="21" t="inlineStr">
        <is>
          <t>ad</t>
        </is>
      </c>
      <c r="E498" s="22" t="n"/>
      <c r="F498" s="22" t="n"/>
      <c r="G498" s="22" t="n"/>
      <c r="H498" s="22" t="n"/>
      <c r="I498" s="22" t="n"/>
      <c r="J498" s="22" t="n"/>
    </row>
    <row r="499" ht="12" customHeight="1">
      <c r="A499" s="6" t="n"/>
      <c r="B499" s="6" t="n"/>
      <c r="C499" s="23" t="inlineStr">
        <is>
          <t>Tesis girişinde 1 adet</t>
        </is>
      </c>
      <c r="D499" s="6" t="n"/>
      <c r="E499" s="28" t="n">
        <v>1</v>
      </c>
      <c r="F499" s="6" t="n"/>
      <c r="G499" s="6" t="n"/>
      <c r="H499" s="6" t="n"/>
      <c r="I499" s="24">
        <f>E499*J499</f>
        <v/>
      </c>
      <c r="J499" s="30" t="n">
        <v>1</v>
      </c>
    </row>
    <row r="500">
      <c r="A500" s="22" t="n"/>
      <c r="B500" s="22" t="n"/>
      <c r="C500" s="25" t="inlineStr">
        <is>
          <t>M64 TOPLAMI</t>
        </is>
      </c>
      <c r="D500" s="26" t="inlineStr">
        <is>
          <t>ad</t>
        </is>
      </c>
      <c r="E500" s="22" t="n"/>
      <c r="F500" s="22" t="n"/>
      <c r="G500" s="22" t="n"/>
      <c r="H500" s="22" t="n"/>
      <c r="I500" s="22" t="n"/>
      <c r="J500" s="27">
        <f>SUM(I499:I499)</f>
        <v/>
      </c>
    </row>
    <row r="501" ht="22" customHeight="1">
      <c r="A501" s="19" t="n">
        <v>10</v>
      </c>
      <c r="B501" s="20" t="inlineStr">
        <is>
          <t>30.135.3201</t>
        </is>
      </c>
      <c r="C501" s="8" t="inlineStr">
        <is>
          <t>[M65]  Üç fazlı zaman tarifeli elektronik aktif sayaç, en az 5(100) A, 3x230/400 V</t>
        </is>
      </c>
      <c r="D501" s="21" t="inlineStr">
        <is>
          <t>ad</t>
        </is>
      </c>
      <c r="E501" s="22" t="n"/>
      <c r="F501" s="22" t="n"/>
      <c r="G501" s="22" t="n"/>
      <c r="H501" s="22" t="n"/>
      <c r="I501" s="22" t="n"/>
      <c r="J501" s="22" t="n"/>
    </row>
    <row r="502" ht="12" customHeight="1">
      <c r="A502" s="6" t="n"/>
      <c r="B502" s="6" t="n"/>
      <c r="C502" s="23" t="inlineStr">
        <is>
          <t>Sayaç panosu içinde 1 adet</t>
        </is>
      </c>
      <c r="D502" s="6" t="n"/>
      <c r="E502" s="28" t="n">
        <v>1</v>
      </c>
      <c r="F502" s="6" t="n"/>
      <c r="G502" s="6" t="n"/>
      <c r="H502" s="6" t="n"/>
      <c r="I502" s="24">
        <f>E502*J502</f>
        <v/>
      </c>
      <c r="J502" s="30" t="n">
        <v>1</v>
      </c>
    </row>
    <row r="503">
      <c r="A503" s="22" t="n"/>
      <c r="B503" s="22" t="n"/>
      <c r="C503" s="25" t="inlineStr">
        <is>
          <t>M65 TOPLAMI</t>
        </is>
      </c>
      <c r="D503" s="26" t="inlineStr">
        <is>
          <t>ad</t>
        </is>
      </c>
      <c r="E503" s="22" t="n"/>
      <c r="F503" s="22" t="n"/>
      <c r="G503" s="22" t="n"/>
      <c r="H503" s="22" t="n"/>
      <c r="I503" s="22" t="n"/>
      <c r="J503" s="27">
        <f>SUM(I502:I502)</f>
        <v/>
      </c>
    </row>
    <row r="504" ht="22" customHeight="1">
      <c r="A504" s="19" t="n">
        <v>11</v>
      </c>
      <c r="B504" s="20" t="inlineStr">
        <is>
          <t>30.110.1104</t>
        </is>
      </c>
      <c r="C504" s="8" t="inlineStr">
        <is>
          <t>[M66]  Termik-manyetik kompakt şalter 3x160 A, Icu 35 kA — ana giriş</t>
        </is>
      </c>
      <c r="D504" s="21" t="inlineStr">
        <is>
          <t>ad</t>
        </is>
      </c>
      <c r="E504" s="22" t="n"/>
      <c r="F504" s="22" t="n"/>
      <c r="G504" s="22" t="n"/>
      <c r="H504" s="22" t="n"/>
      <c r="I504" s="22" t="n"/>
      <c r="J504" s="22" t="n"/>
    </row>
    <row r="505" ht="12" customHeight="1">
      <c r="A505" s="6" t="n"/>
      <c r="B505" s="6" t="n"/>
      <c r="C505" s="23" t="inlineStr">
        <is>
          <t>Ana dağıtım panosu girişi</t>
        </is>
      </c>
      <c r="D505" s="6" t="n"/>
      <c r="E505" s="28" t="n">
        <v>1</v>
      </c>
      <c r="F505" s="6" t="n"/>
      <c r="G505" s="6" t="n"/>
      <c r="H505" s="6" t="n"/>
      <c r="I505" s="24">
        <f>E505*J505</f>
        <v/>
      </c>
      <c r="J505" s="30" t="n">
        <v>1</v>
      </c>
    </row>
    <row r="506">
      <c r="A506" s="22" t="n"/>
      <c r="B506" s="22" t="n"/>
      <c r="C506" s="25" t="inlineStr">
        <is>
          <t>M66 TOPLAMI</t>
        </is>
      </c>
      <c r="D506" s="26" t="inlineStr">
        <is>
          <t>ad</t>
        </is>
      </c>
      <c r="E506" s="22" t="n"/>
      <c r="F506" s="22" t="n"/>
      <c r="G506" s="22" t="n"/>
      <c r="H506" s="22" t="n"/>
      <c r="I506" s="22" t="n"/>
      <c r="J506" s="27">
        <f>SUM(I505:I505)</f>
        <v/>
      </c>
    </row>
    <row r="507" ht="15" customHeight="1">
      <c r="A507" s="19" t="n">
        <v>12</v>
      </c>
      <c r="B507" s="20" t="inlineStr">
        <is>
          <t>30.115.1003</t>
        </is>
      </c>
      <c r="C507" s="8" t="inlineStr">
        <is>
          <t>[M69]  Kaçak akım koruma şalteri 2x63 A, 30 mA</t>
        </is>
      </c>
      <c r="D507" s="21" t="inlineStr">
        <is>
          <t>ad</t>
        </is>
      </c>
      <c r="E507" s="22" t="n"/>
      <c r="F507" s="22" t="n"/>
      <c r="G507" s="22" t="n"/>
      <c r="H507" s="22" t="n"/>
      <c r="I507" s="22" t="n"/>
      <c r="J507" s="22" t="n"/>
    </row>
    <row r="508" ht="12" customHeight="1">
      <c r="A508" s="6" t="n"/>
      <c r="B508" s="6" t="n"/>
      <c r="C508" s="23" t="inlineStr">
        <is>
          <t>Ana pano ve sayaç panosunda</t>
        </is>
      </c>
      <c r="D508" s="6" t="n"/>
      <c r="E508" s="28" t="n">
        <v>1</v>
      </c>
      <c r="F508" s="6" t="n"/>
      <c r="G508" s="6" t="n"/>
      <c r="H508" s="6" t="n"/>
      <c r="I508" s="24">
        <f>E508*J508</f>
        <v/>
      </c>
      <c r="J508" s="30" t="n">
        <v>2</v>
      </c>
    </row>
    <row r="509">
      <c r="A509" s="22" t="n"/>
      <c r="B509" s="22" t="n"/>
      <c r="C509" s="25" t="inlineStr">
        <is>
          <t>M69 TOPLAMI</t>
        </is>
      </c>
      <c r="D509" s="26" t="inlineStr">
        <is>
          <t>ad</t>
        </is>
      </c>
      <c r="E509" s="22" t="n"/>
      <c r="F509" s="22" t="n"/>
      <c r="G509" s="22" t="n"/>
      <c r="H509" s="22" t="n"/>
      <c r="I509" s="22" t="n"/>
      <c r="J509" s="27">
        <f>SUM(I508:I508)</f>
        <v/>
      </c>
    </row>
    <row r="510" ht="22" customHeight="1">
      <c r="A510" s="19" t="n">
        <v>13</v>
      </c>
      <c r="B510" s="20" t="inlineStr">
        <is>
          <t>30.140.3105</t>
        </is>
      </c>
      <c r="C510" s="8" t="inlineStr">
        <is>
          <t>[M70]  YVV (NYY) 1 kV yeraltı kablosu ile besleme hattı tesisi — 1x35 mm²</t>
        </is>
      </c>
      <c r="D510" s="21" t="inlineStr">
        <is>
          <t>m</t>
        </is>
      </c>
      <c r="E510" s="22" t="n"/>
      <c r="F510" s="22" t="n"/>
      <c r="G510" s="22" t="n"/>
      <c r="H510" s="22" t="n"/>
      <c r="I510" s="22" t="n"/>
      <c r="J510" s="22" t="n"/>
    </row>
    <row r="511" ht="12" customHeight="1">
      <c r="A511" s="6" t="n"/>
      <c r="B511" s="6" t="n"/>
      <c r="C511" s="23" t="inlineStr">
        <is>
          <t>Şebeke bağlantı noktası - ana dağıtım panosu</t>
        </is>
      </c>
      <c r="D511" s="6" t="n"/>
      <c r="E511" s="28" t="n">
        <v>1</v>
      </c>
      <c r="F511" s="6" t="n"/>
      <c r="G511" s="6" t="n"/>
      <c r="H511" s="6" t="n"/>
      <c r="I511" s="24">
        <f>E511*J511</f>
        <v/>
      </c>
      <c r="J511" s="30" t="n">
        <v>50</v>
      </c>
    </row>
    <row r="512">
      <c r="A512" s="22" t="n"/>
      <c r="B512" s="22" t="n"/>
      <c r="C512" s="25" t="inlineStr">
        <is>
          <t>M70 TOPLAMI</t>
        </is>
      </c>
      <c r="D512" s="26" t="inlineStr">
        <is>
          <t>m</t>
        </is>
      </c>
      <c r="E512" s="22" t="n"/>
      <c r="F512" s="22" t="n"/>
      <c r="G512" s="22" t="n"/>
      <c r="H512" s="22" t="n"/>
      <c r="I512" s="22" t="n"/>
      <c r="J512" s="27">
        <f>SUM(I511:I511)</f>
        <v/>
      </c>
    </row>
    <row r="513" ht="22" customHeight="1">
      <c r="A513" s="19" t="n">
        <v>14</v>
      </c>
      <c r="B513" s="20" t="inlineStr">
        <is>
          <t>30.140.3101</t>
        </is>
      </c>
      <c r="C513" s="8" t="inlineStr">
        <is>
          <t>[M72]  YVV (NYY) 1 kV yeraltı kablosu ile besleme hattı tesisi — 1x6 mm²</t>
        </is>
      </c>
      <c r="D513" s="21" t="inlineStr">
        <is>
          <t>m</t>
        </is>
      </c>
      <c r="E513" s="22" t="n"/>
      <c r="F513" s="22" t="n"/>
      <c r="G513" s="22" t="n"/>
      <c r="H513" s="22" t="n"/>
      <c r="I513" s="22" t="n"/>
      <c r="J513" s="22" t="n"/>
    </row>
    <row r="514" ht="12" customHeight="1">
      <c r="A514" s="6" t="n"/>
      <c r="B514" s="6" t="n"/>
      <c r="C514" s="23" t="inlineStr">
        <is>
          <t>Saha aydınlatma direkleri besleme hattı</t>
        </is>
      </c>
      <c r="D514" s="6" t="n"/>
      <c r="E514" s="28" t="n">
        <v>1</v>
      </c>
      <c r="F514" s="6" t="n"/>
      <c r="G514" s="6" t="n"/>
      <c r="H514" s="6" t="n"/>
      <c r="I514" s="24">
        <f>E514*J514</f>
        <v/>
      </c>
      <c r="J514" s="30" t="n">
        <v>50</v>
      </c>
    </row>
    <row r="515">
      <c r="A515" s="22" t="n"/>
      <c r="B515" s="22" t="n"/>
      <c r="C515" s="25" t="inlineStr">
        <is>
          <t>M72 TOPLAMI</t>
        </is>
      </c>
      <c r="D515" s="26" t="inlineStr">
        <is>
          <t>m</t>
        </is>
      </c>
      <c r="E515" s="22" t="n"/>
      <c r="F515" s="22" t="n"/>
      <c r="G515" s="22" t="n"/>
      <c r="H515" s="22" t="n"/>
      <c r="I515" s="22" t="n"/>
      <c r="J515" s="27">
        <f>SUM(I514:I514)</f>
        <v/>
      </c>
    </row>
    <row r="516" ht="22" customHeight="1">
      <c r="A516" s="19" t="n">
        <v>15</v>
      </c>
      <c r="B516" s="20" t="inlineStr">
        <is>
          <t>30.172.1706</t>
        </is>
      </c>
      <c r="C516" s="8" t="inlineStr">
        <is>
          <t>[M82]  Aydınlatma direği — taban çapı en az 80 mm, yükseklik en az 4,00 m</t>
        </is>
      </c>
      <c r="D516" s="21" t="inlineStr">
        <is>
          <t>ad</t>
        </is>
      </c>
      <c r="E516" s="22" t="n"/>
      <c r="F516" s="22" t="n"/>
      <c r="G516" s="22" t="n"/>
      <c r="H516" s="22" t="n"/>
      <c r="I516" s="22" t="n"/>
      <c r="J516" s="22" t="n"/>
    </row>
    <row r="517" ht="12" customHeight="1">
      <c r="A517" s="6" t="n"/>
      <c r="B517" s="6" t="n"/>
      <c r="C517" s="23" t="inlineStr">
        <is>
          <t>Tesis içi yol ve saha aydınlatması</t>
        </is>
      </c>
      <c r="D517" s="6" t="n"/>
      <c r="E517" s="28" t="n">
        <v>1</v>
      </c>
      <c r="F517" s="6" t="n"/>
      <c r="G517" s="6" t="n"/>
      <c r="H517" s="6" t="n"/>
      <c r="I517" s="24">
        <f>E517*J517</f>
        <v/>
      </c>
      <c r="J517" s="30" t="n">
        <v>4</v>
      </c>
    </row>
    <row r="518">
      <c r="A518" s="22" t="n"/>
      <c r="B518" s="22" t="n"/>
      <c r="C518" s="25" t="inlineStr">
        <is>
          <t>M82 TOPLAMI</t>
        </is>
      </c>
      <c r="D518" s="26" t="inlineStr">
        <is>
          <t>ad</t>
        </is>
      </c>
      <c r="E518" s="22" t="n"/>
      <c r="F518" s="22" t="n"/>
      <c r="G518" s="22" t="n"/>
      <c r="H518" s="22" t="n"/>
      <c r="I518" s="22" t="n"/>
      <c r="J518" s="27">
        <f>SUM(I517:I517)</f>
        <v/>
      </c>
    </row>
    <row r="519" ht="15" customHeight="1">
      <c r="A519" s="19" t="n">
        <v>16</v>
      </c>
      <c r="B519" s="20" t="inlineStr">
        <is>
          <t>30.170.4002</t>
        </is>
      </c>
      <c r="C519" s="8" t="inlineStr">
        <is>
          <t>[M83]  LED projektör, ışık akısı en az 5100 lm</t>
        </is>
      </c>
      <c r="D519" s="21" t="inlineStr">
        <is>
          <t>ad</t>
        </is>
      </c>
      <c r="E519" s="22" t="n"/>
      <c r="F519" s="22" t="n"/>
      <c r="G519" s="22" t="n"/>
      <c r="H519" s="22" t="n"/>
      <c r="I519" s="22" t="n"/>
      <c r="J519" s="22" t="n"/>
    </row>
    <row r="520" ht="12" customHeight="1">
      <c r="A520" s="6" t="n"/>
      <c r="B520" s="6" t="n"/>
      <c r="C520" s="23" t="inlineStr">
        <is>
          <t>Aydınlatma direği başına 1 adet</t>
        </is>
      </c>
      <c r="D520" s="6" t="n"/>
      <c r="E520" s="28" t="n">
        <v>1</v>
      </c>
      <c r="F520" s="6" t="n"/>
      <c r="G520" s="6" t="n"/>
      <c r="H520" s="6" t="n"/>
      <c r="I520" s="24">
        <f>E520*J520</f>
        <v/>
      </c>
      <c r="J520" s="30" t="n">
        <v>4</v>
      </c>
    </row>
    <row r="521">
      <c r="A521" s="22" t="n"/>
      <c r="B521" s="22" t="n"/>
      <c r="C521" s="25" t="inlineStr">
        <is>
          <t>M83 TOPLAMI</t>
        </is>
      </c>
      <c r="D521" s="26" t="inlineStr">
        <is>
          <t>ad</t>
        </is>
      </c>
      <c r="E521" s="22" t="n"/>
      <c r="F521" s="22" t="n"/>
      <c r="G521" s="22" t="n"/>
      <c r="H521" s="22" t="n"/>
      <c r="I521" s="22" t="n"/>
      <c r="J521" s="27">
        <f>SUM(I520:I520)</f>
        <v/>
      </c>
    </row>
    <row r="522"/>
    <row r="523">
      <c r="A523" s="16" t="inlineStr">
        <is>
          <t>AÇIKLAMALAR</t>
        </is>
      </c>
      <c r="B523" s="6" t="n"/>
      <c r="C523" s="6" t="n"/>
      <c r="D523" s="6" t="n"/>
      <c r="E523" s="6" t="n"/>
      <c r="F523" s="6" t="n"/>
      <c r="G523" s="6" t="n"/>
      <c r="H523" s="6" t="n"/>
      <c r="I523" s="6" t="n"/>
      <c r="J523" s="6" t="n"/>
    </row>
    <row r="524" ht="13" customHeight="1">
      <c r="A524" s="17" t="inlineStr">
        <is>
          <t>•  Miktar sütunundaki her formül yalnızca o satırdaki ölçü hücrelerini çarpar; hiçbir sayı formülün içine gömülmemiştir.</t>
        </is>
      </c>
    </row>
    <row r="525" ht="13" customHeight="1">
      <c r="A525" s="17" t="inlineStr">
        <is>
          <t>•  Son sütundaki katsayı, birim ağırlık (kg/m², kg/m³, ton/m²), bindirme payı, üçgen alan çarpanı (0,50) veya adet çarpanıdır.</t>
        </is>
      </c>
    </row>
    <row r="526" ht="22" customHeight="1">
      <c r="A526" s="17" t="inlineStr">
        <is>
          <t>•  Ölçüler mimari ve betonarme paftalardan alınmıştır; kümes temellerinin beton, kalıp ve donatı miktarları doğrudan betonarme paftasındaki METRAJ tablosundandır.</t>
        </is>
      </c>
    </row>
    <row r="527" ht="13" customHeight="1">
      <c r="A527" s="17" t="inlineStr">
        <is>
          <t>•  (-) işaretli satırlar minha edilen (düşülen) miktarlardır.</t>
        </is>
      </c>
    </row>
  </sheetData>
  <mergeCells count="17">
    <mergeCell ref="A524:J524"/>
    <mergeCell ref="A1:J1"/>
    <mergeCell ref="A5:J5"/>
    <mergeCell ref="A325:J325"/>
    <mergeCell ref="A444:J444"/>
    <mergeCell ref="A527:J527"/>
    <mergeCell ref="A523:J523"/>
    <mergeCell ref="A526:J526"/>
    <mergeCell ref="A3:J3"/>
    <mergeCell ref="A356:J356"/>
    <mergeCell ref="A403:J403"/>
    <mergeCell ref="A421:J421"/>
    <mergeCell ref="A2:J2"/>
    <mergeCell ref="A468:J468"/>
    <mergeCell ref="A165:J165"/>
    <mergeCell ref="A525:J525"/>
    <mergeCell ref="A379:J379"/>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2026-08-29T07:44:03Z</dcterms:created>
  <dcterms:modified xmlns:dcterms="http://purl.org/dc/terms/" xmlns:xsi="http://www.w3.org/2001/XMLSchema-instance" xsi:type="dcterms:W3CDTF">2026-08-29T07:44:04Z</dcterms:modified>
</cp:coreProperties>
</file>