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8"/>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Dış ölçü 2,00 x 2,00 m, betonarme sızdırmaz.</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31.5" customHeight="1">
      <c r="A123" s="8" t="inlineStr">
        <is>
          <t>Betonarme işleri</t>
        </is>
      </c>
      <c r="B123" s="9" t="n">
        <v>1</v>
      </c>
      <c r="C123" s="10" t="inlineStr">
        <is>
          <t>15.150.1005</t>
        </is>
      </c>
      <c r="D123" s="11" t="inlineStr">
        <is>
          <t>Beton santralinde üretilen veya satın alınan ve beton pompasıyla basılan, C 25/30 basınç dayanım sınıfında, gri renkte, normal hazır beton dökülmesi (beton nakli dahil)</t>
        </is>
      </c>
      <c r="E123" s="12" t="inlineStr">
        <is>
          <t>m³</t>
        </is>
      </c>
      <c r="F123" s="13" t="n">
        <v>6.175</v>
      </c>
    </row>
    <row r="124" ht="14" customHeight="1">
      <c r="A124" s="8" t="inlineStr">
        <is>
          <t>Kalıp, yapı iskelesi işleri</t>
        </is>
      </c>
      <c r="B124" s="9" t="n">
        <v>1</v>
      </c>
      <c r="C124" s="10" t="inlineStr">
        <is>
          <t>15.180.1003</t>
        </is>
      </c>
      <c r="D124" s="11" t="inlineStr">
        <is>
          <t>Plywood ile düz yüzeyli betonarme kalıbı yapılması</t>
        </is>
      </c>
      <c r="E124" s="12" t="inlineStr">
        <is>
          <t>m²</t>
        </is>
      </c>
      <c r="F124" s="13" t="n">
        <v>41.4</v>
      </c>
    </row>
    <row r="125" ht="21" customHeight="1">
      <c r="A125" s="8" t="inlineStr">
        <is>
          <t>Demir-inşaat işleri</t>
        </is>
      </c>
      <c r="B125" s="9" t="n">
        <v>1</v>
      </c>
      <c r="C125" s="10" t="inlineStr">
        <is>
          <t>15.160.1003</t>
        </is>
      </c>
      <c r="D125" s="11" t="inlineStr">
        <is>
          <t>Ø 8 - Ø 12 mm nervürlü beton çelik çubuğu, çubukların kesilmesi, bükülmesi ve yerine konulması</t>
        </is>
      </c>
      <c r="E125" s="12" t="inlineStr">
        <is>
          <t>ton</t>
        </is>
      </c>
      <c r="F125" s="13" t="n">
        <v>0.587</v>
      </c>
    </row>
    <row r="126"/>
    <row r="127" ht="20" customHeight="1">
      <c r="A127" s="4" t="inlineStr">
        <is>
          <t>&lt; Yem Silosu Betonarme Kaideleri &gt;   —   inşaat alanı 16.82 m²</t>
        </is>
      </c>
    </row>
    <row r="128" ht="24" customHeight="1">
      <c r="A128" s="5" t="inlineStr">
        <is>
          <t>2 adet, her biri 2,90 x 2,90 m.</t>
        </is>
      </c>
      <c r="B128" s="6" t="n"/>
      <c r="C128" s="6" t="n"/>
      <c r="D128" s="6" t="n"/>
      <c r="E128" s="6" t="n"/>
      <c r="F128" s="6" t="n"/>
    </row>
    <row r="129" ht="28" customHeight="1">
      <c r="A129" s="7" t="inlineStr">
        <is>
          <t>Uygun Harcama Kaleminin EK-1'de yer alan adı</t>
        </is>
      </c>
      <c r="B129" s="7" t="inlineStr">
        <is>
          <t>No</t>
        </is>
      </c>
      <c r="C129" s="7" t="inlineStr">
        <is>
          <t>Poz No</t>
        </is>
      </c>
      <c r="D129" s="7" t="inlineStr">
        <is>
          <t>Yapım İşinin Adı</t>
        </is>
      </c>
      <c r="E129" s="7" t="inlineStr">
        <is>
          <t>Birimi</t>
        </is>
      </c>
      <c r="F129" s="7" t="inlineStr">
        <is>
          <t>Miktarı</t>
        </is>
      </c>
    </row>
    <row r="130" ht="14" customHeight="1">
      <c r="A130" s="8" t="inlineStr">
        <is>
          <t>Kazı, dolgu ve reglaj işleri</t>
        </is>
      </c>
      <c r="B130" s="9" t="n">
        <v>1</v>
      </c>
      <c r="C130" s="10" t="inlineStr">
        <is>
          <t>15.120.1101</t>
        </is>
      </c>
      <c r="D130" s="11" t="inlineStr">
        <is>
          <t>Makine ile her derinlik ve her genişlikte yumuşak ve sert toprak kazılması</t>
        </is>
      </c>
      <c r="E130" s="12" t="inlineStr">
        <is>
          <t>m³</t>
        </is>
      </c>
      <c r="F130" s="13" t="n">
        <v>48.02</v>
      </c>
    </row>
    <row r="131" ht="31.5" customHeight="1">
      <c r="A131" s="8" t="inlineStr">
        <is>
          <t>Beton işleri</t>
        </is>
      </c>
      <c r="B131" s="9" t="n">
        <v>1</v>
      </c>
      <c r="C131" s="10" t="inlineStr">
        <is>
          <t>15.150.1003</t>
        </is>
      </c>
      <c r="D131" s="11" t="inlineStr">
        <is>
          <t>Beton santralinde üretilen veya satın alınan ve beton pompasıyla basılan, C 16/20 basınç dayanım sınıfında, gri renkte, normal hazır beton dökülmesi (beton nakli dahil)</t>
        </is>
      </c>
      <c r="E131" s="12" t="inlineStr">
        <is>
          <t>m³</t>
        </is>
      </c>
      <c r="F131" s="13" t="n">
        <v>1.922</v>
      </c>
    </row>
    <row r="132" ht="31.5" customHeight="1">
      <c r="A132" s="8" t="inlineStr">
        <is>
          <t>Betonarme işleri</t>
        </is>
      </c>
      <c r="B132" s="9" t="n">
        <v>1</v>
      </c>
      <c r="C132" s="10" t="inlineStr">
        <is>
          <t>15.150.1005</t>
        </is>
      </c>
      <c r="D132" s="11" t="inlineStr">
        <is>
          <t>Beton santralinde üretilen veya satın alınan ve beton pompasıyla basılan, C 25/30 basınç dayanım sınıfında, gri renkte, normal hazır beton dökülmesi (beton nakli dahil)</t>
        </is>
      </c>
      <c r="E132" s="12" t="inlineStr">
        <is>
          <t>m³</t>
        </is>
      </c>
      <c r="F132" s="13" t="n">
        <v>8.41</v>
      </c>
    </row>
    <row r="133" ht="14" customHeight="1">
      <c r="A133" s="8" t="inlineStr">
        <is>
          <t>Kalıp, yapı iskelesi işleri</t>
        </is>
      </c>
      <c r="B133" s="9" t="n">
        <v>1</v>
      </c>
      <c r="C133" s="10" t="inlineStr">
        <is>
          <t>15.180.1003</t>
        </is>
      </c>
      <c r="D133" s="11" t="inlineStr">
        <is>
          <t>Plywood ile düz yüzeyli betonarme kalıbı yapılması</t>
        </is>
      </c>
      <c r="E133" s="12" t="inlineStr">
        <is>
          <t>m²</t>
        </is>
      </c>
      <c r="F133" s="13" t="n">
        <v>11.6</v>
      </c>
    </row>
    <row r="134" ht="21" customHeight="1">
      <c r="A134" s="8" t="inlineStr">
        <is>
          <t>Demir-inşaat işleri</t>
        </is>
      </c>
      <c r="B134" s="9" t="n">
        <v>1</v>
      </c>
      <c r="C134" s="10" t="inlineStr">
        <is>
          <t>15.160.1003</t>
        </is>
      </c>
      <c r="D134" s="11" t="inlineStr">
        <is>
          <t>Ø 8 - Ø 12 mm nervürlü beton çelik çubuğu, çubukların kesilmesi, bükülmesi ve yerine konulması</t>
        </is>
      </c>
      <c r="E134" s="12" t="inlineStr">
        <is>
          <t>ton</t>
        </is>
      </c>
      <c r="F134" s="13" t="n">
        <v>0.757</v>
      </c>
    </row>
    <row r="135"/>
    <row r="136" ht="20" customHeight="1">
      <c r="A136" s="4" t="inlineStr">
        <is>
          <t>&lt; Su Deposu &gt;   —   inşaat alanı 12.00 m²</t>
        </is>
      </c>
    </row>
    <row r="137" ht="24" customHeight="1">
      <c r="A137" s="5" t="inlineStr">
        <is>
          <t>Dış ölçü 4,00 x 3,00 m, betonarme.</t>
        </is>
      </c>
      <c r="B137" s="6" t="n"/>
      <c r="C137" s="6" t="n"/>
      <c r="D137" s="6" t="n"/>
      <c r="E137" s="6" t="n"/>
      <c r="F137" s="6" t="n"/>
    </row>
    <row r="138" ht="28" customHeight="1">
      <c r="A138" s="7" t="inlineStr">
        <is>
          <t>Uygun Harcama Kaleminin EK-1'de yer alan adı</t>
        </is>
      </c>
      <c r="B138" s="7" t="inlineStr">
        <is>
          <t>No</t>
        </is>
      </c>
      <c r="C138" s="7" t="inlineStr">
        <is>
          <t>Poz No</t>
        </is>
      </c>
      <c r="D138" s="7" t="inlineStr">
        <is>
          <t>Yapım İşinin Adı</t>
        </is>
      </c>
      <c r="E138" s="7" t="inlineStr">
        <is>
          <t>Birimi</t>
        </is>
      </c>
      <c r="F138" s="7" t="inlineStr">
        <is>
          <t>Miktarı</t>
        </is>
      </c>
    </row>
    <row r="139" ht="14" customHeight="1">
      <c r="A139" s="8" t="inlineStr">
        <is>
          <t>Kazı, dolgu ve reglaj işleri</t>
        </is>
      </c>
      <c r="B139" s="9" t="n">
        <v>1</v>
      </c>
      <c r="C139" s="10" t="inlineStr">
        <is>
          <t>15.120.1101</t>
        </is>
      </c>
      <c r="D139" s="11" t="inlineStr">
        <is>
          <t>Makine ile her derinlik ve her genişlikte yumuşak ve sert toprak kazılması</t>
        </is>
      </c>
      <c r="E139" s="12" t="inlineStr">
        <is>
          <t>m³</t>
        </is>
      </c>
      <c r="F139" s="13" t="n">
        <v>106.5</v>
      </c>
    </row>
    <row r="140" ht="31.5" customHeight="1">
      <c r="A140" s="8" t="inlineStr">
        <is>
          <t>Beton işleri</t>
        </is>
      </c>
      <c r="B140" s="9" t="n">
        <v>1</v>
      </c>
      <c r="C140" s="10" t="inlineStr">
        <is>
          <t>15.150.1003</t>
        </is>
      </c>
      <c r="D140" s="11" t="inlineStr">
        <is>
          <t>Beton santralinde üretilen veya satın alınan ve beton pompasıyla basılan, C 16/20 basınç dayanım sınıfında, gri renkte, normal hazır beton dökülmesi (beton nakli dahil)</t>
        </is>
      </c>
      <c r="E140" s="12" t="inlineStr">
        <is>
          <t>m³</t>
        </is>
      </c>
      <c r="F140" s="13" t="n">
        <v>1.344</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15.15</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95.59999999999999</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1.232</v>
      </c>
    </row>
    <row r="144"/>
    <row r="145" ht="20" customHeight="1">
      <c r="A145" s="4" t="inlineStr">
        <is>
          <t>&lt; Yağmur Suyu Deposu &gt;   —   inşaat alanı 9.00 m²</t>
        </is>
      </c>
    </row>
    <row r="146" ht="24" customHeight="1">
      <c r="A146" s="5" t="inlineStr">
        <is>
          <t>Dış ölçü 3,00 x 3,00 m, betonarme; sıhhi tesisat projesindeki yağmur suyu geri kazanım deposunun haznesi.</t>
        </is>
      </c>
      <c r="B146" s="6" t="n"/>
      <c r="C146" s="6" t="n"/>
      <c r="D146" s="6" t="n"/>
      <c r="E146" s="6" t="n"/>
      <c r="F146" s="6" t="n"/>
    </row>
    <row r="147" ht="28" customHeight="1">
      <c r="A147" s="7" t="inlineStr">
        <is>
          <t>Uygun Harcama Kaleminin EK-1'de yer alan adı</t>
        </is>
      </c>
      <c r="B147" s="7" t="inlineStr">
        <is>
          <t>No</t>
        </is>
      </c>
      <c r="C147" s="7" t="inlineStr">
        <is>
          <t>Poz No</t>
        </is>
      </c>
      <c r="D147" s="7" t="inlineStr">
        <is>
          <t>Yapım İşinin Adı</t>
        </is>
      </c>
      <c r="E147" s="7" t="inlineStr">
        <is>
          <t>Birimi</t>
        </is>
      </c>
      <c r="F147" s="7" t="inlineStr">
        <is>
          <t>Miktarı</t>
        </is>
      </c>
    </row>
    <row r="148" ht="14" customHeight="1">
      <c r="A148" s="8" t="inlineStr">
        <is>
          <t>Kazı, dolgu ve reglaj işleri</t>
        </is>
      </c>
      <c r="B148" s="9" t="n">
        <v>1</v>
      </c>
      <c r="C148" s="10" t="inlineStr">
        <is>
          <t>15.120.1101</t>
        </is>
      </c>
      <c r="D148" s="11" t="inlineStr">
        <is>
          <t>Makine ile her derinlik ve her genişlikte yumuşak ve sert toprak kazılması</t>
        </is>
      </c>
      <c r="E148" s="12" t="inlineStr">
        <is>
          <t>m³</t>
        </is>
      </c>
      <c r="F148" s="13" t="n">
        <v>88.75</v>
      </c>
    </row>
    <row r="149" ht="31.5" customHeight="1">
      <c r="A149" s="8" t="inlineStr">
        <is>
          <t>Beton işleri</t>
        </is>
      </c>
      <c r="B149" s="9" t="n">
        <v>1</v>
      </c>
      <c r="C149" s="10" t="inlineStr">
        <is>
          <t>15.150.1003</t>
        </is>
      </c>
      <c r="D149" s="11" t="inlineStr">
        <is>
          <t>Beton santralinde üretilen veya satın alınan ve beton pompasıyla basılan, C 16/20 basınç dayanım sınıfında, gri renkte, normal hazır beton dökülmesi (beton nakli dahil)</t>
        </is>
      </c>
      <c r="E149" s="12" t="inlineStr">
        <is>
          <t>m³</t>
        </is>
      </c>
      <c r="F149" s="13" t="n">
        <v>1.024</v>
      </c>
    </row>
    <row r="150" ht="31.5" customHeight="1">
      <c r="A150" s="8" t="inlineStr">
        <is>
          <t>Betonarme işleri</t>
        </is>
      </c>
      <c r="B150" s="9" t="n">
        <v>1</v>
      </c>
      <c r="C150" s="10" t="inlineStr">
        <is>
          <t>15.150.1005</t>
        </is>
      </c>
      <c r="D150" s="11" t="inlineStr">
        <is>
          <t>Beton santralinde üretilen veya satın alınan ve beton pompasıyla basılan, C 25/30 basınç dayanım sınıfında, gri renkte, normal hazır beton dökülmesi (beton nakli dahil)</t>
        </is>
      </c>
      <c r="E150" s="12" t="inlineStr">
        <is>
          <t>m³</t>
        </is>
      </c>
      <c r="F150" s="13" t="n">
        <v>12.3</v>
      </c>
    </row>
    <row r="151" ht="14" customHeight="1">
      <c r="A151" s="8" t="inlineStr">
        <is>
          <t>Kalıp, yapı iskelesi işleri</t>
        </is>
      </c>
      <c r="B151" s="9" t="n">
        <v>1</v>
      </c>
      <c r="C151" s="10" t="inlineStr">
        <is>
          <t>15.180.1003</t>
        </is>
      </c>
      <c r="D151" s="11" t="inlineStr">
        <is>
          <t>Plywood ile düz yüzeyli betonarme kalıbı yapılması</t>
        </is>
      </c>
      <c r="E151" s="12" t="inlineStr">
        <is>
          <t>m²</t>
        </is>
      </c>
      <c r="F151" s="13" t="n">
        <v>79.8</v>
      </c>
    </row>
    <row r="152" ht="21" customHeight="1">
      <c r="A152" s="8" t="inlineStr">
        <is>
          <t>Demir-inşaat işleri</t>
        </is>
      </c>
      <c r="B152" s="9" t="n">
        <v>1</v>
      </c>
      <c r="C152" s="10" t="inlineStr">
        <is>
          <t>15.160.1003</t>
        </is>
      </c>
      <c r="D152" s="11" t="inlineStr">
        <is>
          <t>Ø 8 - Ø 12 mm nervürlü beton çelik çubuğu, çubukların kesilmesi, bükülmesi ve yerine konulması</t>
        </is>
      </c>
      <c r="E152" s="12" t="inlineStr">
        <is>
          <t>ton</t>
        </is>
      </c>
      <c r="F152" s="13" t="n">
        <v>1.23</v>
      </c>
    </row>
    <row r="153"/>
    <row r="154" ht="20" customHeight="1">
      <c r="A154" s="4" t="inlineStr">
        <is>
          <t>&lt; Çevre Düzenlemesi ve Saha Altyapısı &gt;</t>
        </is>
      </c>
    </row>
    <row r="155" ht="24" customHeight="1">
      <c r="A155" s="5" t="inlineStr">
        <is>
          <t>Parsel çevresi çit, tesis içi yol platformu ve yapılar arası altyapı hatları.</t>
        </is>
      </c>
      <c r="B155" s="6" t="n"/>
      <c r="C155" s="6" t="n"/>
      <c r="D155" s="6" t="n"/>
      <c r="E155" s="6" t="n"/>
      <c r="F155" s="6" t="n"/>
    </row>
    <row r="156" ht="28" customHeight="1">
      <c r="A156" s="7" t="inlineStr">
        <is>
          <t>Uygun Harcama Kaleminin EK-1'de yer alan adı</t>
        </is>
      </c>
      <c r="B156" s="7" t="inlineStr">
        <is>
          <t>No</t>
        </is>
      </c>
      <c r="C156" s="7" t="inlineStr">
        <is>
          <t>Poz No</t>
        </is>
      </c>
      <c r="D156" s="7" t="inlineStr">
        <is>
          <t>Yapım İşinin Adı</t>
        </is>
      </c>
      <c r="E156" s="7" t="inlineStr">
        <is>
          <t>Birimi</t>
        </is>
      </c>
      <c r="F156" s="7" t="inlineStr">
        <is>
          <t>Miktarı</t>
        </is>
      </c>
    </row>
    <row r="157" ht="14" customHeight="1">
      <c r="A157" s="8" t="inlineStr">
        <is>
          <t>Kazı, dolgu ve reglaj işleri</t>
        </is>
      </c>
      <c r="B157" s="9" t="n">
        <v>1</v>
      </c>
      <c r="C157" s="10" t="inlineStr">
        <is>
          <t>15.120.1001</t>
        </is>
      </c>
      <c r="D157" s="11" t="inlineStr">
        <is>
          <t>Makine ile yumuşak ve sert toprak kazılması</t>
        </is>
      </c>
      <c r="E157" s="12" t="inlineStr">
        <is>
          <t>m³</t>
        </is>
      </c>
      <c r="F157" s="13" t="n">
        <v>260.943</v>
      </c>
    </row>
    <row r="158" ht="31.5" customHeight="1">
      <c r="A158" s="8" t="inlineStr">
        <is>
          <t>Betonarme işleri</t>
        </is>
      </c>
      <c r="B158" s="9" t="n">
        <v>1</v>
      </c>
      <c r="C158" s="10" t="inlineStr">
        <is>
          <t>15.150.1005</t>
        </is>
      </c>
      <c r="D158" s="11" t="inlineStr">
        <is>
          <t>Beton santralinde üretilen veya satın alınan ve beton pompasıyla basılan, C 25/30 basınç dayanım sınıfında, gri renkte, normal hazır beton dökülmesi (beton nakli dahil)</t>
        </is>
      </c>
      <c r="E158" s="12" t="inlineStr">
        <is>
          <t>m³</t>
        </is>
      </c>
      <c r="F158" s="13" t="n">
        <v>1.566</v>
      </c>
    </row>
    <row r="159" ht="14" customHeight="1">
      <c r="A159" s="8" t="inlineStr">
        <is>
          <t>Kalıp, yapı iskelesi işleri</t>
        </is>
      </c>
      <c r="B159" s="9" t="n">
        <v>1</v>
      </c>
      <c r="C159" s="10" t="inlineStr">
        <is>
          <t>15.180.1003</t>
        </is>
      </c>
      <c r="D159" s="11" t="inlineStr">
        <is>
          <t>Plywood ile düz yüzeyli betonarme kalıbı yapılması</t>
        </is>
      </c>
      <c r="E159" s="12" t="inlineStr">
        <is>
          <t>m²</t>
        </is>
      </c>
      <c r="F159" s="13" t="n">
        <v>14.4</v>
      </c>
    </row>
    <row r="160" ht="21" customHeight="1">
      <c r="A160" s="8" t="inlineStr">
        <is>
          <t>Demir-inşaat işleri</t>
        </is>
      </c>
      <c r="B160" s="9" t="n">
        <v>1</v>
      </c>
      <c r="C160" s="10" t="inlineStr">
        <is>
          <t>15.160.1003</t>
        </is>
      </c>
      <c r="D160" s="11" t="inlineStr">
        <is>
          <t>Ø 8 - Ø 12 mm nervürlü beton çelik çubuğu, çubukların kesilmesi, bükülmesi ve yerine konulması</t>
        </is>
      </c>
      <c r="E160" s="12" t="inlineStr">
        <is>
          <t>ton</t>
        </is>
      </c>
      <c r="F160" s="13" t="n">
        <v>0.141</v>
      </c>
    </row>
    <row r="161" ht="14" customHeight="1">
      <c r="A161" s="8" t="inlineStr">
        <is>
          <t>Çevre düzenlemesi ve çit işleri</t>
        </is>
      </c>
      <c r="B161" s="9" t="n">
        <v>1</v>
      </c>
      <c r="C161" s="10" t="inlineStr">
        <is>
          <t>TKDK-0091</t>
        </is>
      </c>
      <c r="D161" s="11" t="inlineStr">
        <is>
          <t>Betonarme direkli galvanizli tel örgü çit yapılması (Tip-1)</t>
        </is>
      </c>
      <c r="E161" s="12" t="inlineStr">
        <is>
          <t>m</t>
        </is>
      </c>
      <c r="F161" s="13" t="n">
        <v>361.04</v>
      </c>
    </row>
    <row r="162" ht="21" customHeight="1">
      <c r="A162" s="8" t="inlineStr">
        <is>
          <t>Kanalizasyon işleri</t>
        </is>
      </c>
      <c r="B162" s="9" t="n">
        <v>1</v>
      </c>
      <c r="C162" s="10" t="inlineStr">
        <is>
          <t>43.527.1001</t>
        </is>
      </c>
      <c r="D162" s="11" t="inlineStr">
        <is>
          <t>Çapı 150 mm HDPE koruge boru döşenmesi (SN 8, lastik conta ve boru bedeli dahil)</t>
        </is>
      </c>
      <c r="E162" s="12" t="inlineStr">
        <is>
          <t>m</t>
        </is>
      </c>
      <c r="F162" s="13" t="n">
        <v>50</v>
      </c>
    </row>
    <row r="163" ht="14" customHeight="1">
      <c r="A163" s="15" t="n"/>
      <c r="B163" s="9" t="n">
        <v>2</v>
      </c>
      <c r="C163" s="10" t="inlineStr">
        <is>
          <t>15.560.1003</t>
        </is>
      </c>
      <c r="D163" s="11" t="inlineStr">
        <is>
          <t>Betonarme kompozit rögar kapağı temini ve yerine konulması</t>
        </is>
      </c>
      <c r="E163" s="12" t="inlineStr">
        <is>
          <t>ad</t>
        </is>
      </c>
      <c r="F163" s="13" t="n">
        <v>4</v>
      </c>
    </row>
    <row r="164" ht="21" customHeight="1">
      <c r="A164" s="8" t="inlineStr">
        <is>
          <t>Elektrik tesisatı ve aydınlatma</t>
        </is>
      </c>
      <c r="B164" s="9" t="n">
        <v>1</v>
      </c>
      <c r="C164" s="10" t="inlineStr">
        <is>
          <t>35.100.1104</t>
        </is>
      </c>
      <c r="D164" s="11" t="inlineStr">
        <is>
          <t>Ana dağıtım panosu (dikili tip galvanizli sac, en az 700 mm en, 400 mm derinlik) (%25 müteahhit kârı dahil)</t>
        </is>
      </c>
      <c r="E164" s="12" t="inlineStr">
        <is>
          <t>ad</t>
        </is>
      </c>
      <c r="F164" s="13" t="n">
        <v>1</v>
      </c>
    </row>
    <row r="165" ht="21" customHeight="1">
      <c r="A165" s="14" t="n"/>
      <c r="B165" s="9" t="n">
        <v>2</v>
      </c>
      <c r="C165" s="10" t="inlineStr">
        <is>
          <t>35.100.2106</t>
        </is>
      </c>
      <c r="D165" s="11" t="inlineStr">
        <is>
          <t>Sayaç panosu (sıva üstü galvanizli sac tablo, 0,50-0,60 m²) (%25 müteahhit kârı dahil)</t>
        </is>
      </c>
      <c r="E165" s="12" t="inlineStr">
        <is>
          <t>ad</t>
        </is>
      </c>
      <c r="F165" s="13" t="n">
        <v>1</v>
      </c>
    </row>
    <row r="166" ht="21" customHeight="1">
      <c r="A166" s="14" t="n"/>
      <c r="B166" s="9" t="n">
        <v>3</v>
      </c>
      <c r="C166" s="10" t="inlineStr">
        <is>
          <t>35.135.3201</t>
        </is>
      </c>
      <c r="D166" s="11" t="inlineStr">
        <is>
          <t>Üç fazlı zaman tarifeli elektronik aktif sayaç, en az 5(100) A, 3x230/400 V (%25 müteahhit kârı dahil)</t>
        </is>
      </c>
      <c r="E166" s="12" t="inlineStr">
        <is>
          <t>ad</t>
        </is>
      </c>
      <c r="F166" s="13" t="n">
        <v>1</v>
      </c>
    </row>
    <row r="167" ht="21" customHeight="1">
      <c r="A167" s="14" t="n"/>
      <c r="B167" s="9" t="n">
        <v>4</v>
      </c>
      <c r="C167" s="10" t="inlineStr">
        <is>
          <t>35.110.1104</t>
        </is>
      </c>
      <c r="D167" s="11" t="inlineStr">
        <is>
          <t>Termik-manyetik kompakt şalter 3x160 A, Icu 35 kA — ana giriş (%25 müteahhit kârı dahil)</t>
        </is>
      </c>
      <c r="E167" s="12" t="inlineStr">
        <is>
          <t>ad</t>
        </is>
      </c>
      <c r="F167" s="13" t="n">
        <v>1</v>
      </c>
    </row>
    <row r="168" ht="14" customHeight="1">
      <c r="A168" s="14" t="n"/>
      <c r="B168" s="9" t="n">
        <v>5</v>
      </c>
      <c r="C168" s="10" t="inlineStr">
        <is>
          <t>35.115.1003</t>
        </is>
      </c>
      <c r="D168" s="11" t="inlineStr">
        <is>
          <t>Kaçak akım koruma şalteri 2x63 A, 30 mA (%25 müteahhit kârı dahil)</t>
        </is>
      </c>
      <c r="E168" s="12" t="inlineStr">
        <is>
          <t>ad</t>
        </is>
      </c>
      <c r="F168" s="13" t="n">
        <v>2</v>
      </c>
    </row>
    <row r="169" ht="21" customHeight="1">
      <c r="A169" s="14" t="n"/>
      <c r="B169" s="9" t="n">
        <v>6</v>
      </c>
      <c r="C169" s="10" t="inlineStr">
        <is>
          <t>35.140.3105</t>
        </is>
      </c>
      <c r="D169" s="11" t="inlineStr">
        <is>
          <t>YVV (NYY) 1 kV yeraltı kablosu ile besleme hattı tesisi — 1x35 mm² (%25 müteahhit kârı dahil)</t>
        </is>
      </c>
      <c r="E169" s="12" t="inlineStr">
        <is>
          <t>m</t>
        </is>
      </c>
      <c r="F169" s="13" t="n">
        <v>50</v>
      </c>
    </row>
    <row r="170" ht="21" customHeight="1">
      <c r="A170" s="14" t="n"/>
      <c r="B170" s="9" t="n">
        <v>7</v>
      </c>
      <c r="C170" s="10" t="inlineStr">
        <is>
          <t>35.140.3101</t>
        </is>
      </c>
      <c r="D170" s="11" t="inlineStr">
        <is>
          <t>YVV (NYY) 1 kV yeraltı kablosu ile besleme hattı tesisi — 1x6 mm² (%25 müteahhit kârı dahil)</t>
        </is>
      </c>
      <c r="E170" s="12" t="inlineStr">
        <is>
          <t>m</t>
        </is>
      </c>
      <c r="F170" s="13" t="n">
        <v>50</v>
      </c>
    </row>
    <row r="171" ht="21" customHeight="1">
      <c r="A171" s="14" t="n"/>
      <c r="B171" s="9" t="n">
        <v>8</v>
      </c>
      <c r="C171" s="10" t="inlineStr">
        <is>
          <t>35.172.1706</t>
        </is>
      </c>
      <c r="D171" s="11" t="inlineStr">
        <is>
          <t>Aydınlatma direği — taban çapı en az 80 mm, yükseklik en az 4,00 m (%25 müteahhit kârı dahil)</t>
        </is>
      </c>
      <c r="E171" s="12" t="inlineStr">
        <is>
          <t>ad</t>
        </is>
      </c>
      <c r="F171" s="13" t="n">
        <v>4</v>
      </c>
    </row>
    <row r="172" ht="14" customHeight="1">
      <c r="A172" s="15" t="n"/>
      <c r="B172" s="9" t="n">
        <v>9</v>
      </c>
      <c r="C172" s="10" t="inlineStr">
        <is>
          <t>35.170.4002</t>
        </is>
      </c>
      <c r="D172" s="11" t="inlineStr">
        <is>
          <t>LED projektör, ışık akısı en az 5100 lm (%25 müteahhit kârı dahil)</t>
        </is>
      </c>
      <c r="E172" s="12" t="inlineStr">
        <is>
          <t>ad</t>
        </is>
      </c>
      <c r="F172" s="13" t="n">
        <v>4</v>
      </c>
    </row>
    <row r="173"/>
    <row r="174">
      <c r="A174" s="16" t="inlineStr">
        <is>
          <t>AÇIKLAMALAR</t>
        </is>
      </c>
      <c r="B174" s="6" t="n"/>
      <c r="C174" s="6" t="n"/>
      <c r="D174" s="6" t="n"/>
      <c r="E174" s="6" t="n"/>
      <c r="F174" s="6" t="n"/>
    </row>
    <row r="175" ht="13" customHeight="1">
      <c r="A175" s="17" t="inlineStr">
        <is>
          <t>•  Keşif özetinde birim fiyat ve tutar sütunu bulunmaz; bunlar teklif davet mektubu ekindeki ayrı cetvelde yer alır.</t>
        </is>
      </c>
    </row>
    <row r="176" ht="22" customHeight="1">
      <c r="A176"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7" ht="13" customHeight="1">
      <c r="A177" s="17" t="inlineStr">
        <is>
          <t>•  Kümes A ve B blok özdeş olduğundan tek başlık altında toplanmıştır; miktarlar iki bloğun toplamıdır.</t>
        </is>
      </c>
    </row>
    <row r="178" ht="13" customHeight="1">
      <c r="A178" s="17" t="inlineStr">
        <is>
          <t>•  Elektrik tesisatı bölümü, kuvvetli akım birim fiyat listesi temin edildikten sonra tamamlanacaktır.</t>
        </is>
      </c>
    </row>
  </sheetData>
  <mergeCells count="91">
    <mergeCell ref="A174:F174"/>
    <mergeCell ref="A118:F118"/>
    <mergeCell ref="A20:A22"/>
    <mergeCell ref="A23:A25"/>
    <mergeCell ref="A3:F3"/>
    <mergeCell ref="A162:A163"/>
    <mergeCell ref="A175:F175"/>
    <mergeCell ref="A130"/>
    <mergeCell ref="A77"/>
    <mergeCell ref="A5:F5"/>
    <mergeCell ref="A148"/>
    <mergeCell ref="A157"/>
    <mergeCell ref="A123"/>
    <mergeCell ref="A132"/>
    <mergeCell ref="A70:A72"/>
    <mergeCell ref="A133"/>
    <mergeCell ref="A158"/>
    <mergeCell ref="A55"/>
    <mergeCell ref="A104"/>
    <mergeCell ref="A160"/>
    <mergeCell ref="A150"/>
    <mergeCell ref="A159"/>
    <mergeCell ref="A12:A14"/>
    <mergeCell ref="A99:F99"/>
    <mergeCell ref="A134"/>
    <mergeCell ref="A152"/>
    <mergeCell ref="A121"/>
    <mergeCell ref="A164:A172"/>
    <mergeCell ref="A161"/>
    <mergeCell ref="A2:F2"/>
    <mergeCell ref="A31"/>
    <mergeCell ref="A58"/>
    <mergeCell ref="A79:A97"/>
    <mergeCell ref="A26:A27"/>
    <mergeCell ref="A124"/>
    <mergeCell ref="A127:F127"/>
    <mergeCell ref="A176:F176"/>
    <mergeCell ref="A149"/>
    <mergeCell ref="A178:F178"/>
    <mergeCell ref="A151"/>
    <mergeCell ref="A141"/>
    <mergeCell ref="A137:F137"/>
    <mergeCell ref="A177:F177"/>
    <mergeCell ref="A17:A19"/>
    <mergeCell ref="A122"/>
    <mergeCell ref="A125"/>
    <mergeCell ref="A136:F136"/>
    <mergeCell ref="A145:F145"/>
    <mergeCell ref="A112"/>
    <mergeCell ref="A154:F154"/>
    <mergeCell ref="A59:A61"/>
    <mergeCell ref="A30"/>
    <mergeCell ref="A114"/>
    <mergeCell ref="A64:A66"/>
    <mergeCell ref="A100:F100"/>
    <mergeCell ref="A53:F53"/>
    <mergeCell ref="A109:F109"/>
    <mergeCell ref="A106:A107"/>
    <mergeCell ref="A56"/>
    <mergeCell ref="A139"/>
    <mergeCell ref="A1:F1"/>
    <mergeCell ref="A116"/>
    <mergeCell ref="A8"/>
    <mergeCell ref="A131"/>
    <mergeCell ref="A128:F128"/>
    <mergeCell ref="A140"/>
    <mergeCell ref="A10"/>
    <mergeCell ref="A115"/>
    <mergeCell ref="A102"/>
    <mergeCell ref="A75:A76"/>
    <mergeCell ref="A67:A69"/>
    <mergeCell ref="A9"/>
    <mergeCell ref="A143"/>
    <mergeCell ref="A142"/>
    <mergeCell ref="A11"/>
    <mergeCell ref="A103"/>
    <mergeCell ref="A52:F52"/>
    <mergeCell ref="A78"/>
    <mergeCell ref="A155:F155"/>
    <mergeCell ref="A62:A63"/>
    <mergeCell ref="A32:A50"/>
    <mergeCell ref="A28:A29"/>
    <mergeCell ref="A105"/>
    <mergeCell ref="A110:F110"/>
    <mergeCell ref="A146:F146"/>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45"/>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foseptik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15" customHeight="1">
      <c r="A405" s="19" t="n">
        <v>3</v>
      </c>
      <c r="B405" s="20" t="inlineStr">
        <is>
          <t>15.150.1005</t>
        </is>
      </c>
      <c r="C405" s="8" t="inlineStr">
        <is>
          <t>[M17]  C 25/30 hazır beton dökülmesi — foseptik ve silo kaideleri</t>
        </is>
      </c>
      <c r="D405" s="21" t="inlineStr">
        <is>
          <t>m³</t>
        </is>
      </c>
      <c r="E405" s="22" t="n"/>
      <c r="F405" s="22" t="n"/>
      <c r="G405" s="22" t="n"/>
      <c r="H405" s="22" t="n"/>
      <c r="I405" s="22" t="n"/>
      <c r="J405" s="22" t="n"/>
    </row>
    <row r="406" ht="12" customHeight="1">
      <c r="A406" s="6" t="n"/>
      <c r="B406" s="6" t="n"/>
      <c r="C406" s="23" t="inlineStr">
        <is>
          <t>Foseptik radye 30 cm (dış 2.00x2.00)</t>
        </is>
      </c>
      <c r="D406" s="6" t="n"/>
      <c r="E406" s="28" t="n">
        <v>1</v>
      </c>
      <c r="F406" s="29" t="n">
        <v>2</v>
      </c>
      <c r="G406" s="29" t="n">
        <v>2</v>
      </c>
      <c r="H406" s="29" t="n">
        <v>0.3</v>
      </c>
      <c r="I406" s="24">
        <f>E406*F406*G406*H406</f>
        <v/>
      </c>
      <c r="J406" s="6" t="n"/>
    </row>
    <row r="407" ht="20" customHeight="1">
      <c r="A407" s="6" t="n"/>
      <c r="B407" s="6" t="n"/>
      <c r="C407" s="23" t="inlineStr">
        <is>
          <t>Foseptik perdeleri: orta çevre 2x(1.75+1.75) = 7.00 m, kalınlık 0,25, yükseklik 2.50</t>
        </is>
      </c>
      <c r="D407" s="6" t="n"/>
      <c r="E407" s="28" t="n">
        <v>1</v>
      </c>
      <c r="F407" s="29" t="n">
        <v>0.25</v>
      </c>
      <c r="G407" s="29" t="n">
        <v>7</v>
      </c>
      <c r="H407" s="29" t="n">
        <v>2.5</v>
      </c>
      <c r="I407" s="24">
        <f>E407*F407*G407*H407</f>
        <v/>
      </c>
      <c r="J407" s="6" t="n"/>
    </row>
    <row r="408" ht="12" customHeight="1">
      <c r="A408" s="6" t="n"/>
      <c r="B408" s="6" t="n"/>
      <c r="C408" s="23" t="inlineStr">
        <is>
          <t>Foseptik üst döşemesi 15 cm</t>
        </is>
      </c>
      <c r="D408" s="6" t="n"/>
      <c r="E408" s="28" t="n">
        <v>1</v>
      </c>
      <c r="F408" s="29" t="n">
        <v>2</v>
      </c>
      <c r="G408" s="29" t="n">
        <v>2</v>
      </c>
      <c r="H408" s="29" t="n">
        <v>0.15</v>
      </c>
      <c r="I408" s="24">
        <f>E408*F408*G408*H408</f>
        <v/>
      </c>
      <c r="J408" s="6" t="n"/>
    </row>
    <row r="409">
      <c r="A409" s="22" t="n"/>
      <c r="B409" s="22" t="n"/>
      <c r="C409" s="25" t="inlineStr">
        <is>
          <t>M17 TOPLAMI</t>
        </is>
      </c>
      <c r="D409" s="26" t="inlineStr">
        <is>
          <t>m³</t>
        </is>
      </c>
      <c r="E409" s="22" t="n"/>
      <c r="F409" s="22" t="n"/>
      <c r="G409" s="22" t="n"/>
      <c r="H409" s="22" t="n"/>
      <c r="I409" s="22" t="n"/>
      <c r="J409" s="27">
        <f>SUM(I406:I408)</f>
        <v/>
      </c>
    </row>
    <row r="410" ht="22" customHeight="1">
      <c r="A410" s="19" t="n">
        <v>4</v>
      </c>
      <c r="B410" s="20" t="inlineStr">
        <is>
          <t>15.180.1003</t>
        </is>
      </c>
      <c r="C410" s="8" t="inlineStr">
        <is>
          <t>[M21]  Plywood ile düz yüzeyli betonarme kalıbı — foseptik ve silo kaideleri</t>
        </is>
      </c>
      <c r="D410" s="21" t="inlineStr">
        <is>
          <t>m²</t>
        </is>
      </c>
      <c r="E410" s="22" t="n"/>
      <c r="F410" s="22" t="n"/>
      <c r="G410" s="22" t="n"/>
      <c r="H410" s="22" t="n"/>
      <c r="I410" s="22" t="n"/>
      <c r="J410" s="22" t="n"/>
    </row>
    <row r="411" ht="12" customHeight="1">
      <c r="A411" s="6" t="n"/>
      <c r="B411" s="6" t="n"/>
      <c r="C411" s="23" t="inlineStr">
        <is>
          <t>Foseptik radye çevresi 2x(2.00+2.00) = 8.00 m x 0,30</t>
        </is>
      </c>
      <c r="D411" s="6" t="n"/>
      <c r="E411" s="28" t="n">
        <v>1</v>
      </c>
      <c r="F411" s="6" t="n"/>
      <c r="G411" s="29" t="n">
        <v>8</v>
      </c>
      <c r="H411" s="29" t="n">
        <v>0.3</v>
      </c>
      <c r="I411" s="24">
        <f>E411*G411*H411</f>
        <v/>
      </c>
      <c r="J411" s="6" t="n"/>
    </row>
    <row r="412" ht="12" customHeight="1">
      <c r="A412" s="6" t="n"/>
      <c r="B412" s="6" t="n"/>
      <c r="C412" s="23" t="inlineStr">
        <is>
          <t>Foseptik perde iki yüz (7.00 m x 2.50 m)</t>
        </is>
      </c>
      <c r="D412" s="6" t="n"/>
      <c r="E412" s="28" t="n">
        <v>2</v>
      </c>
      <c r="F412" s="6" t="n"/>
      <c r="G412" s="29" t="n">
        <v>7</v>
      </c>
      <c r="H412" s="29" t="n">
        <v>2.5</v>
      </c>
      <c r="I412" s="24">
        <f>E412*G412*H412</f>
        <v/>
      </c>
      <c r="J412" s="6" t="n"/>
    </row>
    <row r="413" ht="12" customHeight="1">
      <c r="A413" s="6" t="n"/>
      <c r="B413" s="6" t="n"/>
      <c r="C413" s="23" t="inlineStr">
        <is>
          <t>Foseptik tavan kalıbı</t>
        </is>
      </c>
      <c r="D413" s="6" t="n"/>
      <c r="E413" s="28" t="n">
        <v>1</v>
      </c>
      <c r="F413" s="29" t="n">
        <v>2</v>
      </c>
      <c r="G413" s="29" t="n">
        <v>2</v>
      </c>
      <c r="H413" s="6" t="n"/>
      <c r="I413" s="24">
        <f>E413*F413*G413</f>
        <v/>
      </c>
      <c r="J413" s="6" t="n"/>
    </row>
    <row r="414">
      <c r="A414" s="22" t="n"/>
      <c r="B414" s="22" t="n"/>
      <c r="C414" s="25" t="inlineStr">
        <is>
          <t>M21 TOPLAMI</t>
        </is>
      </c>
      <c r="D414" s="26" t="inlineStr">
        <is>
          <t>m²</t>
        </is>
      </c>
      <c r="E414" s="22" t="n"/>
      <c r="F414" s="22" t="n"/>
      <c r="G414" s="22" t="n"/>
      <c r="H414" s="22" t="n"/>
      <c r="I414" s="22" t="n"/>
      <c r="J414" s="27">
        <f>SUM(I411:I413)</f>
        <v/>
      </c>
    </row>
    <row r="415" ht="22" customHeight="1">
      <c r="A415" s="19" t="n">
        <v>5</v>
      </c>
      <c r="B415" s="20" t="inlineStr">
        <is>
          <t>15.160.1003</t>
        </is>
      </c>
      <c r="C415" s="8" t="inlineStr">
        <is>
          <t>[M26]  Ø8-Ø12 nervürlü beton çelik çubuğu — çukur, depo, foseptik ve silo kaideleri</t>
        </is>
      </c>
      <c r="D415" s="21" t="inlineStr">
        <is>
          <t>ton</t>
        </is>
      </c>
      <c r="E415" s="22" t="n"/>
      <c r="F415" s="22" t="n"/>
      <c r="G415" s="22" t="n"/>
      <c r="H415" s="22" t="n"/>
      <c r="I415" s="22" t="n"/>
      <c r="J415" s="22" t="n"/>
    </row>
    <row r="416" ht="12" customHeight="1">
      <c r="A416" s="6" t="n"/>
      <c r="B416" s="6" t="n"/>
      <c r="C416" s="23" t="inlineStr">
        <is>
          <t>Foseptik radyesi: 2.00x2.00x0,30 m³, 95 kg/m³</t>
        </is>
      </c>
      <c r="D416" s="6" t="n"/>
      <c r="E416" s="28" t="n">
        <v>1</v>
      </c>
      <c r="F416" s="29" t="n">
        <v>2</v>
      </c>
      <c r="G416" s="29" t="n">
        <v>2</v>
      </c>
      <c r="H416" s="29" t="n">
        <v>0.3</v>
      </c>
      <c r="I416" s="24">
        <f>E416*F416*G416*H416*J416</f>
        <v/>
      </c>
      <c r="J416" s="30" t="n">
        <v>0.095</v>
      </c>
    </row>
    <row r="417" ht="12" customHeight="1">
      <c r="A417" s="6" t="n"/>
      <c r="B417" s="6" t="n"/>
      <c r="C417" s="23" t="inlineStr">
        <is>
          <t>Foseptik perdeleri: 7.00x0,25x2.50 m³, 95 kg/m³</t>
        </is>
      </c>
      <c r="D417" s="6" t="n"/>
      <c r="E417" s="28" t="n">
        <v>1</v>
      </c>
      <c r="F417" s="29" t="n">
        <v>0.25</v>
      </c>
      <c r="G417" s="29" t="n">
        <v>7</v>
      </c>
      <c r="H417" s="29" t="n">
        <v>2.5</v>
      </c>
      <c r="I417" s="24">
        <f>E417*F417*G417*H417*J417</f>
        <v/>
      </c>
      <c r="J417" s="30" t="n">
        <v>0.095</v>
      </c>
    </row>
    <row r="418" ht="12" customHeight="1">
      <c r="A418" s="6" t="n"/>
      <c r="B418" s="6" t="n"/>
      <c r="C418" s="23" t="inlineStr">
        <is>
          <t>Foseptik döşemesi: 2.00x2.00x0,15 m³, 95 kg/m³</t>
        </is>
      </c>
      <c r="D418" s="6" t="n"/>
      <c r="E418" s="28" t="n">
        <v>1</v>
      </c>
      <c r="F418" s="29" t="n">
        <v>2</v>
      </c>
      <c r="G418" s="29" t="n">
        <v>2</v>
      </c>
      <c r="H418" s="29" t="n">
        <v>0.15</v>
      </c>
      <c r="I418" s="24">
        <f>E418*F418*G418*H418*J418</f>
        <v/>
      </c>
      <c r="J418" s="30" t="n">
        <v>0.095</v>
      </c>
    </row>
    <row r="419">
      <c r="A419" s="22" t="n"/>
      <c r="B419" s="22" t="n"/>
      <c r="C419" s="25" t="inlineStr">
        <is>
          <t>M26 TOPLAMI</t>
        </is>
      </c>
      <c r="D419" s="26" t="inlineStr">
        <is>
          <t>ton</t>
        </is>
      </c>
      <c r="E419" s="22" t="n"/>
      <c r="F419" s="22" t="n"/>
      <c r="G419" s="22" t="n"/>
      <c r="H419" s="22" t="n"/>
      <c r="I419" s="22" t="n"/>
      <c r="J419" s="27">
        <f>SUM(I416:I418)</f>
        <v/>
      </c>
    </row>
    <row r="420"/>
    <row r="421" ht="20" customHeight="1">
      <c r="A421" s="18" t="inlineStr">
        <is>
          <t>Yapı/Bina Adı: YEM SILOSU BETONARME KAIDELERI</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Silo kaideleri: 2.90x2.90 kaide; 1,00 m çalışma payı -&gt; 4.90x4.90; derinlik 1,00 m</t>
        </is>
      </c>
      <c r="D424" s="6" t="n"/>
      <c r="E424" s="28" t="n">
        <v>2</v>
      </c>
      <c r="F424" s="29" t="n">
        <v>4.9</v>
      </c>
      <c r="G424" s="29" t="n">
        <v>4.9</v>
      </c>
      <c r="H424" s="29" t="n">
        <v>1</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Silo kaideleri (2.90x2.90 + 0,10 taşma), 2 adet</t>
        </is>
      </c>
      <c r="D427" s="6" t="n"/>
      <c r="E427" s="28" t="n">
        <v>2</v>
      </c>
      <c r="F427" s="29" t="n">
        <v>3.1</v>
      </c>
      <c r="G427" s="29" t="n">
        <v>3.1</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15" customHeight="1">
      <c r="A429" s="19" t="n">
        <v>3</v>
      </c>
      <c r="B429" s="20" t="inlineStr">
        <is>
          <t>15.150.1005</t>
        </is>
      </c>
      <c r="C429" s="8" t="inlineStr">
        <is>
          <t>[M17]  C 25/30 hazır beton dökülmesi — foseptik ve silo kaideleri</t>
        </is>
      </c>
      <c r="D429" s="21" t="inlineStr">
        <is>
          <t>m³</t>
        </is>
      </c>
      <c r="E429" s="22" t="n"/>
      <c r="F429" s="22" t="n"/>
      <c r="G429" s="22" t="n"/>
      <c r="H429" s="22" t="n"/>
      <c r="I429" s="22" t="n"/>
      <c r="J429" s="22" t="n"/>
    </row>
    <row r="430" ht="12" customHeight="1">
      <c r="A430" s="6" t="n"/>
      <c r="B430" s="6" t="n"/>
      <c r="C430" s="23" t="inlineStr">
        <is>
          <t>Silo betonarme kaidesi (2 adet)</t>
        </is>
      </c>
      <c r="D430" s="6" t="n"/>
      <c r="E430" s="28" t="n">
        <v>2</v>
      </c>
      <c r="F430" s="29" t="n">
        <v>2.9</v>
      </c>
      <c r="G430" s="29" t="n">
        <v>2.9</v>
      </c>
      <c r="H430" s="29" t="n">
        <v>0.5</v>
      </c>
      <c r="I430" s="24">
        <f>E430*F430*G430*H430</f>
        <v/>
      </c>
      <c r="J430" s="6" t="n"/>
    </row>
    <row r="431">
      <c r="A431" s="22" t="n"/>
      <c r="B431" s="22" t="n"/>
      <c r="C431" s="25" t="inlineStr">
        <is>
          <t>M17 TOPLAMI</t>
        </is>
      </c>
      <c r="D431" s="26" t="inlineStr">
        <is>
          <t>m³</t>
        </is>
      </c>
      <c r="E431" s="22" t="n"/>
      <c r="F431" s="22" t="n"/>
      <c r="G431" s="22" t="n"/>
      <c r="H431" s="22" t="n"/>
      <c r="I431" s="22" t="n"/>
      <c r="J431" s="27">
        <f>SUM(I430:I430)</f>
        <v/>
      </c>
    </row>
    <row r="432" ht="22" customHeight="1">
      <c r="A432" s="19" t="n">
        <v>4</v>
      </c>
      <c r="B432" s="20" t="inlineStr">
        <is>
          <t>15.180.1003</t>
        </is>
      </c>
      <c r="C432" s="8" t="inlineStr">
        <is>
          <t>[M21]  Plywood ile düz yüzeyli betonarme kalıbı — foseptik ve silo kaideleri</t>
        </is>
      </c>
      <c r="D432" s="21" t="inlineStr">
        <is>
          <t>m²</t>
        </is>
      </c>
      <c r="E432" s="22" t="n"/>
      <c r="F432" s="22" t="n"/>
      <c r="G432" s="22" t="n"/>
      <c r="H432" s="22" t="n"/>
      <c r="I432" s="22" t="n"/>
      <c r="J432" s="22" t="n"/>
    </row>
    <row r="433" ht="20" customHeight="1">
      <c r="A433" s="6" t="n"/>
      <c r="B433" s="6" t="n"/>
      <c r="C433" s="23" t="inlineStr">
        <is>
          <t>Silo kaidesi yan yüzleri: 4 yüz x 2 adet, boy 2.90, yükseklik 0.50</t>
        </is>
      </c>
      <c r="D433" s="6" t="n"/>
      <c r="E433" s="28" t="n">
        <v>8</v>
      </c>
      <c r="F433" s="6" t="n"/>
      <c r="G433" s="29" t="n">
        <v>2.9</v>
      </c>
      <c r="H433" s="29" t="n">
        <v>0.5</v>
      </c>
      <c r="I433" s="24">
        <f>E433*G433*H433</f>
        <v/>
      </c>
      <c r="J433" s="6" t="n"/>
    </row>
    <row r="434">
      <c r="A434" s="22" t="n"/>
      <c r="B434" s="22" t="n"/>
      <c r="C434" s="25" t="inlineStr">
        <is>
          <t>M21 TOPLAMI</t>
        </is>
      </c>
      <c r="D434" s="26" t="inlineStr">
        <is>
          <t>m²</t>
        </is>
      </c>
      <c r="E434" s="22" t="n"/>
      <c r="F434" s="22" t="n"/>
      <c r="G434" s="22" t="n"/>
      <c r="H434" s="22" t="n"/>
      <c r="I434" s="22" t="n"/>
      <c r="J434" s="27">
        <f>SUM(I433:I433)</f>
        <v/>
      </c>
    </row>
    <row r="435" ht="22" customHeight="1">
      <c r="A435" s="19" t="n">
        <v>5</v>
      </c>
      <c r="B435" s="20" t="inlineStr">
        <is>
          <t>15.160.1003</t>
        </is>
      </c>
      <c r="C435" s="8" t="inlineStr">
        <is>
          <t>[M26]  Ø8-Ø12 nervürlü beton çelik çubuğu — çukur, depo, foseptik ve silo kaideleri</t>
        </is>
      </c>
      <c r="D435" s="21" t="inlineStr">
        <is>
          <t>ton</t>
        </is>
      </c>
      <c r="E435" s="22" t="n"/>
      <c r="F435" s="22" t="n"/>
      <c r="G435" s="22" t="n"/>
      <c r="H435" s="22" t="n"/>
      <c r="I435" s="22" t="n"/>
      <c r="J435" s="22" t="n"/>
    </row>
    <row r="436" ht="12" customHeight="1">
      <c r="A436" s="6" t="n"/>
      <c r="B436" s="6" t="n"/>
      <c r="C436" s="23" t="inlineStr">
        <is>
          <t>Silo kaideleri: 2.90x2.90x0.50 m³ x 2, 90 kg/m³</t>
        </is>
      </c>
      <c r="D436" s="6" t="n"/>
      <c r="E436" s="28" t="n">
        <v>2</v>
      </c>
      <c r="F436" s="29" t="n">
        <v>2.9</v>
      </c>
      <c r="G436" s="29" t="n">
        <v>2.9</v>
      </c>
      <c r="H436" s="29" t="n">
        <v>0.5</v>
      </c>
      <c r="I436" s="24">
        <f>E436*F436*G436*H436*J436</f>
        <v/>
      </c>
      <c r="J436" s="30" t="n">
        <v>0.09</v>
      </c>
    </row>
    <row r="437">
      <c r="A437" s="22" t="n"/>
      <c r="B437" s="22" t="n"/>
      <c r="C437" s="25" t="inlineStr">
        <is>
          <t>M26 TOPLAMI</t>
        </is>
      </c>
      <c r="D437" s="26" t="inlineStr">
        <is>
          <t>ton</t>
        </is>
      </c>
      <c r="E437" s="22" t="n"/>
      <c r="F437" s="22" t="n"/>
      <c r="G437" s="22" t="n"/>
      <c r="H437" s="22" t="n"/>
      <c r="I437" s="22" t="n"/>
      <c r="J437" s="27">
        <f>SUM(I436:I436)</f>
        <v/>
      </c>
    </row>
    <row r="438"/>
    <row r="439" ht="20" customHeight="1">
      <c r="A439" s="18" t="inlineStr">
        <is>
          <t>Yapı/Bina Adı: SU DEPOSU</t>
        </is>
      </c>
    </row>
    <row r="440" ht="28" customHeight="1">
      <c r="A440" s="7" t="inlineStr">
        <is>
          <t>No</t>
        </is>
      </c>
      <c r="B440" s="7" t="inlineStr">
        <is>
          <t>Poz No</t>
        </is>
      </c>
      <c r="C440" s="7" t="inlineStr">
        <is>
          <t>Tanımı / Ölçünün Alındığı Yer</t>
        </is>
      </c>
      <c r="D440" s="7" t="inlineStr">
        <is>
          <t>Birimi</t>
        </is>
      </c>
      <c r="E440" s="7" t="inlineStr">
        <is>
          <t>Adet</t>
        </is>
      </c>
      <c r="F440" s="7" t="inlineStr">
        <is>
          <t>En (m)</t>
        </is>
      </c>
      <c r="G440" s="7" t="inlineStr">
        <is>
          <t>Boy (m)</t>
        </is>
      </c>
      <c r="H440" s="7" t="inlineStr">
        <is>
          <t>Yükseklik (m)</t>
        </is>
      </c>
      <c r="I440" s="7" t="inlineStr">
        <is>
          <t>Miktar</t>
        </is>
      </c>
      <c r="J440" s="7" t="inlineStr">
        <is>
          <t>Toplam Miktar</t>
        </is>
      </c>
    </row>
    <row r="441" ht="22" customHeight="1">
      <c r="A441" s="19" t="n">
        <v>1</v>
      </c>
      <c r="B441" s="20" t="inlineStr">
        <is>
          <t>15.120.1101</t>
        </is>
      </c>
      <c r="C441" s="8" t="inlineStr">
        <is>
          <t>[M05]  Makine ile dar ve derin sandık kazı — ölü atma çukuru, depolar, foseptik ve silo kaideleri</t>
        </is>
      </c>
      <c r="D441" s="21" t="inlineStr">
        <is>
          <t>m³</t>
        </is>
      </c>
      <c r="E441" s="22" t="n"/>
      <c r="F441" s="22" t="n"/>
      <c r="G441" s="22" t="n"/>
      <c r="H441" s="22" t="n"/>
      <c r="I441" s="22" t="n"/>
      <c r="J441" s="22" t="n"/>
    </row>
    <row r="442" ht="20" customHeight="1">
      <c r="A442" s="6" t="n"/>
      <c r="B442" s="6" t="n"/>
      <c r="C442" s="23" t="inlineStr">
        <is>
          <t>Su deposu: dış 4.00x3.00; 1,00 m çalışma payı -&gt; 6.00x5.00; derinlik 3.55 m</t>
        </is>
      </c>
      <c r="D442" s="6" t="n"/>
      <c r="E442" s="28" t="n">
        <v>1</v>
      </c>
      <c r="F442" s="29" t="n">
        <v>5</v>
      </c>
      <c r="G442" s="29" t="n">
        <v>6</v>
      </c>
      <c r="H442" s="29" t="n">
        <v>3.55</v>
      </c>
      <c r="I442" s="24">
        <f>E442*F442*G442*H442</f>
        <v/>
      </c>
      <c r="J442" s="6" t="n"/>
    </row>
    <row r="443">
      <c r="A443" s="22" t="n"/>
      <c r="B443" s="22" t="n"/>
      <c r="C443" s="25" t="inlineStr">
        <is>
          <t>M05 TOPLAMI</t>
        </is>
      </c>
      <c r="D443" s="26" t="inlineStr">
        <is>
          <t>m³</t>
        </is>
      </c>
      <c r="E443" s="22" t="n"/>
      <c r="F443" s="22" t="n"/>
      <c r="G443" s="22" t="n"/>
      <c r="H443" s="22" t="n"/>
      <c r="I443" s="22" t="n"/>
      <c r="J443" s="27">
        <f>SUM(I442:I442)</f>
        <v/>
      </c>
    </row>
    <row r="444" ht="22" customHeight="1">
      <c r="A444" s="19" t="n">
        <v>2</v>
      </c>
      <c r="B444" s="20" t="inlineStr">
        <is>
          <t>15.150.1003</t>
        </is>
      </c>
      <c r="C444" s="8" t="inlineStr">
        <is>
          <t>[M11]  C 16/20 hazır beton dökülmesi — çukur, depo, foseptik ve silo kaideleri altı grobeton</t>
        </is>
      </c>
      <c r="D444" s="21" t="inlineStr">
        <is>
          <t>m³</t>
        </is>
      </c>
      <c r="E444" s="22" t="n"/>
      <c r="F444" s="22" t="n"/>
      <c r="G444" s="22" t="n"/>
      <c r="H444" s="22" t="n"/>
      <c r="I444" s="22" t="n"/>
      <c r="J444" s="22" t="n"/>
    </row>
    <row r="445" ht="12" customHeight="1">
      <c r="A445" s="6" t="n"/>
      <c r="B445" s="6" t="n"/>
      <c r="C445" s="23" t="inlineStr">
        <is>
          <t>Su deposu (4.00x3.00 + 0,10 taşma)</t>
        </is>
      </c>
      <c r="D445" s="6" t="n"/>
      <c r="E445" s="28" t="n">
        <v>1</v>
      </c>
      <c r="F445" s="29" t="n">
        <v>3.2</v>
      </c>
      <c r="G445" s="29" t="n">
        <v>4.2</v>
      </c>
      <c r="H445" s="29" t="n">
        <v>0.1</v>
      </c>
      <c r="I445" s="24">
        <f>E445*F445*G445*H445</f>
        <v/>
      </c>
      <c r="J445" s="6" t="n"/>
    </row>
    <row r="446">
      <c r="A446" s="22" t="n"/>
      <c r="B446" s="22" t="n"/>
      <c r="C446" s="25" t="inlineStr">
        <is>
          <t>M11 TOPLAMI</t>
        </is>
      </c>
      <c r="D446" s="26" t="inlineStr">
        <is>
          <t>m³</t>
        </is>
      </c>
      <c r="E446" s="22" t="n"/>
      <c r="F446" s="22" t="n"/>
      <c r="G446" s="22" t="n"/>
      <c r="H446" s="22" t="n"/>
      <c r="I446" s="22" t="n"/>
      <c r="J446" s="27">
        <f>SUM(I445:I445)</f>
        <v/>
      </c>
    </row>
    <row r="447" ht="22" customHeight="1">
      <c r="A447" s="19" t="n">
        <v>3</v>
      </c>
      <c r="B447" s="20" t="inlineStr">
        <is>
          <t>15.150.1005</t>
        </is>
      </c>
      <c r="C447" s="8" t="inlineStr">
        <is>
          <t>[M16]  C 25/30 hazır beton dökülmesi — ölü atma çukuru, su ve yağmur suyu depoları</t>
        </is>
      </c>
      <c r="D447" s="21" t="inlineStr">
        <is>
          <t>m³</t>
        </is>
      </c>
      <c r="E447" s="22" t="n"/>
      <c r="F447" s="22" t="n"/>
      <c r="G447" s="22" t="n"/>
      <c r="H447" s="22" t="n"/>
      <c r="I447" s="22" t="n"/>
      <c r="J447" s="22" t="n"/>
    </row>
    <row r="448" ht="12" customHeight="1">
      <c r="A448" s="6" t="n"/>
      <c r="B448" s="6" t="n"/>
      <c r="C448" s="23" t="inlineStr">
        <is>
          <t>Su deposu radye 30 cm (dış 4.00x3.00)</t>
        </is>
      </c>
      <c r="D448" s="6" t="n"/>
      <c r="E448" s="28" t="n">
        <v>1</v>
      </c>
      <c r="F448" s="29" t="n">
        <v>3</v>
      </c>
      <c r="G448" s="29" t="n">
        <v>4</v>
      </c>
      <c r="H448" s="29" t="n">
        <v>0.3</v>
      </c>
      <c r="I448" s="24">
        <f>E448*F448*G448*H448</f>
        <v/>
      </c>
      <c r="J448" s="6" t="n"/>
    </row>
    <row r="449" ht="12" customHeight="1">
      <c r="A449" s="6" t="n"/>
      <c r="B449" s="6" t="n"/>
      <c r="C449" s="23" t="inlineStr">
        <is>
          <t>Su deposu perdeleri: orta çevre 2x(3.75+2.75) = 13.00 m</t>
        </is>
      </c>
      <c r="D449" s="6" t="n"/>
      <c r="E449" s="28" t="n">
        <v>1</v>
      </c>
      <c r="F449" s="29" t="n">
        <v>0.25</v>
      </c>
      <c r="G449" s="29" t="n">
        <v>13</v>
      </c>
      <c r="H449" s="29" t="n">
        <v>3</v>
      </c>
      <c r="I449" s="24">
        <f>E449*F449*G449*H449</f>
        <v/>
      </c>
      <c r="J449" s="6" t="n"/>
    </row>
    <row r="450" ht="12" customHeight="1">
      <c r="A450" s="6" t="n"/>
      <c r="B450" s="6" t="n"/>
      <c r="C450" s="23" t="inlineStr">
        <is>
          <t>Su deposu üst döşemesi 15 cm</t>
        </is>
      </c>
      <c r="D450" s="6" t="n"/>
      <c r="E450" s="28" t="n">
        <v>1</v>
      </c>
      <c r="F450" s="29" t="n">
        <v>3</v>
      </c>
      <c r="G450" s="29" t="n">
        <v>4</v>
      </c>
      <c r="H450" s="29" t="n">
        <v>0.15</v>
      </c>
      <c r="I450" s="24">
        <f>E450*F450*G450*H450</f>
        <v/>
      </c>
      <c r="J450" s="6" t="n"/>
    </row>
    <row r="451">
      <c r="A451" s="22" t="n"/>
      <c r="B451" s="22" t="n"/>
      <c r="C451" s="25" t="inlineStr">
        <is>
          <t>M16 TOPLAMI</t>
        </is>
      </c>
      <c r="D451" s="26" t="inlineStr">
        <is>
          <t>m³</t>
        </is>
      </c>
      <c r="E451" s="22" t="n"/>
      <c r="F451" s="22" t="n"/>
      <c r="G451" s="22" t="n"/>
      <c r="H451" s="22" t="n"/>
      <c r="I451" s="22" t="n"/>
      <c r="J451" s="27">
        <f>SUM(I448:I450)</f>
        <v/>
      </c>
    </row>
    <row r="452" ht="15" customHeight="1">
      <c r="A452" s="19" t="n">
        <v>4</v>
      </c>
      <c r="B452" s="20" t="inlineStr">
        <is>
          <t>15.180.1003</t>
        </is>
      </c>
      <c r="C452" s="8" t="inlineStr">
        <is>
          <t>[M20]  Plywood ile düz yüzeyli betonarme kalıbı — çukur ve depolar</t>
        </is>
      </c>
      <c r="D452" s="21" t="inlineStr">
        <is>
          <t>m²</t>
        </is>
      </c>
      <c r="E452" s="22" t="n"/>
      <c r="F452" s="22" t="n"/>
      <c r="G452" s="22" t="n"/>
      <c r="H452" s="22" t="n"/>
      <c r="I452" s="22" t="n"/>
      <c r="J452" s="22" t="n"/>
    </row>
    <row r="453" ht="12" customHeight="1">
      <c r="A453" s="6" t="n"/>
      <c r="B453" s="6" t="n"/>
      <c r="C453" s="23" t="inlineStr">
        <is>
          <t>Su deposu radye çevresi 2x(4.00+3.00) = 14.00 m x 0,40</t>
        </is>
      </c>
      <c r="D453" s="6" t="n"/>
      <c r="E453" s="28" t="n">
        <v>1</v>
      </c>
      <c r="F453" s="6" t="n"/>
      <c r="G453" s="29" t="n">
        <v>14</v>
      </c>
      <c r="H453" s="29" t="n">
        <v>0.4</v>
      </c>
      <c r="I453" s="24">
        <f>E453*G453*H453</f>
        <v/>
      </c>
      <c r="J453" s="6" t="n"/>
    </row>
    <row r="454" ht="12" customHeight="1">
      <c r="A454" s="6" t="n"/>
      <c r="B454" s="6" t="n"/>
      <c r="C454" s="23" t="inlineStr">
        <is>
          <t>Su deposu perde iki yüz (13.00 m x 3.00 m)</t>
        </is>
      </c>
      <c r="D454" s="6" t="n"/>
      <c r="E454" s="28" t="n">
        <v>2</v>
      </c>
      <c r="F454" s="6" t="n"/>
      <c r="G454" s="29" t="n">
        <v>13</v>
      </c>
      <c r="H454" s="29" t="n">
        <v>3</v>
      </c>
      <c r="I454" s="24">
        <f>E454*G454*H454</f>
        <v/>
      </c>
      <c r="J454" s="6" t="n"/>
    </row>
    <row r="455" ht="12" customHeight="1">
      <c r="A455" s="6" t="n"/>
      <c r="B455" s="6" t="n"/>
      <c r="C455" s="23" t="inlineStr">
        <is>
          <t>Su deposu tavan kalıbı</t>
        </is>
      </c>
      <c r="D455" s="6" t="n"/>
      <c r="E455" s="28" t="n">
        <v>1</v>
      </c>
      <c r="F455" s="29" t="n">
        <v>3</v>
      </c>
      <c r="G455" s="29" t="n">
        <v>4</v>
      </c>
      <c r="H455" s="6" t="n"/>
      <c r="I455" s="24">
        <f>E455*F455*G455</f>
        <v/>
      </c>
      <c r="J455" s="6" t="n"/>
    </row>
    <row r="456">
      <c r="A456" s="22" t="n"/>
      <c r="B456" s="22" t="n"/>
      <c r="C456" s="25" t="inlineStr">
        <is>
          <t>M20 TOPLAMI</t>
        </is>
      </c>
      <c r="D456" s="26" t="inlineStr">
        <is>
          <t>m²</t>
        </is>
      </c>
      <c r="E456" s="22" t="n"/>
      <c r="F456" s="22" t="n"/>
      <c r="G456" s="22" t="n"/>
      <c r="H456" s="22" t="n"/>
      <c r="I456" s="22" t="n"/>
      <c r="J456" s="27">
        <f>SUM(I453:I455)</f>
        <v/>
      </c>
    </row>
    <row r="457" ht="22" customHeight="1">
      <c r="A457" s="19" t="n">
        <v>5</v>
      </c>
      <c r="B457" s="20" t="inlineStr">
        <is>
          <t>15.160.1003</t>
        </is>
      </c>
      <c r="C457" s="8" t="inlineStr">
        <is>
          <t>[M26]  Ø8-Ø12 nervürlü beton çelik çubuğu — çukur, depo, foseptik ve silo kaideleri</t>
        </is>
      </c>
      <c r="D457" s="21" t="inlineStr">
        <is>
          <t>ton</t>
        </is>
      </c>
      <c r="E457" s="22" t="n"/>
      <c r="F457" s="22" t="n"/>
      <c r="G457" s="22" t="n"/>
      <c r="H457" s="22" t="n"/>
      <c r="I457" s="22" t="n"/>
      <c r="J457" s="22" t="n"/>
    </row>
    <row r="458" ht="20" customHeight="1">
      <c r="A458" s="6" t="n"/>
      <c r="B458" s="6" t="n"/>
      <c r="C458" s="23" t="inlineStr">
        <is>
          <t>Su deposu radye ve döşeme — proje metrajı 223,70+32,90 = 256,60 kg</t>
        </is>
      </c>
      <c r="D458" s="6" t="n"/>
      <c r="E458" s="28" t="n">
        <v>1</v>
      </c>
      <c r="F458" s="6" t="n"/>
      <c r="G458" s="6" t="n"/>
      <c r="H458" s="6" t="n"/>
      <c r="I458" s="24">
        <f>E458*J458</f>
        <v/>
      </c>
      <c r="J458" s="30" t="n">
        <v>0.2566</v>
      </c>
    </row>
    <row r="459" ht="12" customHeight="1">
      <c r="A459" s="6" t="n"/>
      <c r="B459" s="6" t="n"/>
      <c r="C459" s="23" t="inlineStr">
        <is>
          <t>Su deposu perdeleri: 13.00x0,25x3.00 m³, 100 kg/m³</t>
        </is>
      </c>
      <c r="D459" s="6" t="n"/>
      <c r="E459" s="28" t="n">
        <v>1</v>
      </c>
      <c r="F459" s="29" t="n">
        <v>0.25</v>
      </c>
      <c r="G459" s="29" t="n">
        <v>13</v>
      </c>
      <c r="H459" s="29" t="n">
        <v>3</v>
      </c>
      <c r="I459" s="24">
        <f>E459*F459*G459*H459*J459</f>
        <v/>
      </c>
      <c r="J459" s="30" t="n">
        <v>0.1</v>
      </c>
    </row>
    <row r="460">
      <c r="A460" s="22" t="n"/>
      <c r="B460" s="22" t="n"/>
      <c r="C460" s="25" t="inlineStr">
        <is>
          <t>M26 TOPLAMI</t>
        </is>
      </c>
      <c r="D460" s="26" t="inlineStr">
        <is>
          <t>ton</t>
        </is>
      </c>
      <c r="E460" s="22" t="n"/>
      <c r="F460" s="22" t="n"/>
      <c r="G460" s="22" t="n"/>
      <c r="H460" s="22" t="n"/>
      <c r="I460" s="22" t="n"/>
      <c r="J460" s="27">
        <f>SUM(I458:I459)</f>
        <v/>
      </c>
    </row>
    <row r="461"/>
    <row r="462" ht="20" customHeight="1">
      <c r="A462" s="18" t="inlineStr">
        <is>
          <t>Yapı/Bina Adı: YAĞMUR SUYU DEPOSU</t>
        </is>
      </c>
    </row>
    <row r="463" ht="28" customHeight="1">
      <c r="A463" s="7" t="inlineStr">
        <is>
          <t>No</t>
        </is>
      </c>
      <c r="B463" s="7" t="inlineStr">
        <is>
          <t>Poz No</t>
        </is>
      </c>
      <c r="C463" s="7" t="inlineStr">
        <is>
          <t>Tanımı / Ölçünün Alındığı Yer</t>
        </is>
      </c>
      <c r="D463" s="7" t="inlineStr">
        <is>
          <t>Birimi</t>
        </is>
      </c>
      <c r="E463" s="7" t="inlineStr">
        <is>
          <t>Adet</t>
        </is>
      </c>
      <c r="F463" s="7" t="inlineStr">
        <is>
          <t>En (m)</t>
        </is>
      </c>
      <c r="G463" s="7" t="inlineStr">
        <is>
          <t>Boy (m)</t>
        </is>
      </c>
      <c r="H463" s="7" t="inlineStr">
        <is>
          <t>Yükseklik (m)</t>
        </is>
      </c>
      <c r="I463" s="7" t="inlineStr">
        <is>
          <t>Miktar</t>
        </is>
      </c>
      <c r="J463" s="7" t="inlineStr">
        <is>
          <t>Toplam Miktar</t>
        </is>
      </c>
    </row>
    <row r="464" ht="22" customHeight="1">
      <c r="A464" s="19" t="n">
        <v>1</v>
      </c>
      <c r="B464" s="20" t="inlineStr">
        <is>
          <t>15.120.1101</t>
        </is>
      </c>
      <c r="C464" s="8" t="inlineStr">
        <is>
          <t>[M05]  Makine ile dar ve derin sandık kazı — ölü atma çukuru, depolar, foseptik ve silo kaideleri</t>
        </is>
      </c>
      <c r="D464" s="21" t="inlineStr">
        <is>
          <t>m³</t>
        </is>
      </c>
      <c r="E464" s="22" t="n"/>
      <c r="F464" s="22" t="n"/>
      <c r="G464" s="22" t="n"/>
      <c r="H464" s="22" t="n"/>
      <c r="I464" s="22" t="n"/>
      <c r="J464" s="22" t="n"/>
    </row>
    <row r="465" ht="20" customHeight="1">
      <c r="A465" s="6" t="n"/>
      <c r="B465" s="6" t="n"/>
      <c r="C465" s="23" t="inlineStr">
        <is>
          <t>Yağmur suyu deposu: dış 3.00x3.00; 1,00 m çalışma payı -&gt; 5.00x5.00; derinlik 3.55 m</t>
        </is>
      </c>
      <c r="D465" s="6" t="n"/>
      <c r="E465" s="28" t="n">
        <v>1</v>
      </c>
      <c r="F465" s="29" t="n">
        <v>5</v>
      </c>
      <c r="G465" s="29" t="n">
        <v>5</v>
      </c>
      <c r="H465" s="29" t="n">
        <v>3.55</v>
      </c>
      <c r="I465" s="24">
        <f>E465*F465*G465*H465</f>
        <v/>
      </c>
      <c r="J465" s="6" t="n"/>
    </row>
    <row r="466">
      <c r="A466" s="22" t="n"/>
      <c r="B466" s="22" t="n"/>
      <c r="C466" s="25" t="inlineStr">
        <is>
          <t>M05 TOPLAMI</t>
        </is>
      </c>
      <c r="D466" s="26" t="inlineStr">
        <is>
          <t>m³</t>
        </is>
      </c>
      <c r="E466" s="22" t="n"/>
      <c r="F466" s="22" t="n"/>
      <c r="G466" s="22" t="n"/>
      <c r="H466" s="22" t="n"/>
      <c r="I466" s="22" t="n"/>
      <c r="J466" s="27">
        <f>SUM(I465:I465)</f>
        <v/>
      </c>
    </row>
    <row r="467" ht="22" customHeight="1">
      <c r="A467" s="19" t="n">
        <v>2</v>
      </c>
      <c r="B467" s="20" t="inlineStr">
        <is>
          <t>15.150.1003</t>
        </is>
      </c>
      <c r="C467" s="8" t="inlineStr">
        <is>
          <t>[M11]  C 16/20 hazır beton dökülmesi — çukur, depo, foseptik ve silo kaideleri altı grobeton</t>
        </is>
      </c>
      <c r="D467" s="21" t="inlineStr">
        <is>
          <t>m³</t>
        </is>
      </c>
      <c r="E467" s="22" t="n"/>
      <c r="F467" s="22" t="n"/>
      <c r="G467" s="22" t="n"/>
      <c r="H467" s="22" t="n"/>
      <c r="I467" s="22" t="n"/>
      <c r="J467" s="22" t="n"/>
    </row>
    <row r="468" ht="12" customHeight="1">
      <c r="A468" s="6" t="n"/>
      <c r="B468" s="6" t="n"/>
      <c r="C468" s="23" t="inlineStr">
        <is>
          <t>Yağmur suyu deposu (3.00x3.00 + 0,10 taşma)</t>
        </is>
      </c>
      <c r="D468" s="6" t="n"/>
      <c r="E468" s="28" t="n">
        <v>1</v>
      </c>
      <c r="F468" s="29" t="n">
        <v>3.2</v>
      </c>
      <c r="G468" s="29" t="n">
        <v>3.2</v>
      </c>
      <c r="H468" s="29" t="n">
        <v>0.1</v>
      </c>
      <c r="I468" s="24">
        <f>E468*F468*G468*H468</f>
        <v/>
      </c>
      <c r="J468" s="6" t="n"/>
    </row>
    <row r="469">
      <c r="A469" s="22" t="n"/>
      <c r="B469" s="22" t="n"/>
      <c r="C469" s="25" t="inlineStr">
        <is>
          <t>M11 TOPLAMI</t>
        </is>
      </c>
      <c r="D469" s="26" t="inlineStr">
        <is>
          <t>m³</t>
        </is>
      </c>
      <c r="E469" s="22" t="n"/>
      <c r="F469" s="22" t="n"/>
      <c r="G469" s="22" t="n"/>
      <c r="H469" s="22" t="n"/>
      <c r="I469" s="22" t="n"/>
      <c r="J469" s="27">
        <f>SUM(I468:I468)</f>
        <v/>
      </c>
    </row>
    <row r="470" ht="22" customHeight="1">
      <c r="A470" s="19" t="n">
        <v>3</v>
      </c>
      <c r="B470" s="20" t="inlineStr">
        <is>
          <t>15.150.1005</t>
        </is>
      </c>
      <c r="C470" s="8" t="inlineStr">
        <is>
          <t>[M16]  C 25/30 hazır beton dökülmesi — ölü atma çukuru, su ve yağmur suyu depoları</t>
        </is>
      </c>
      <c r="D470" s="21" t="inlineStr">
        <is>
          <t>m³</t>
        </is>
      </c>
      <c r="E470" s="22" t="n"/>
      <c r="F470" s="22" t="n"/>
      <c r="G470" s="22" t="n"/>
      <c r="H470" s="22" t="n"/>
      <c r="I470" s="22" t="n"/>
      <c r="J470" s="22" t="n"/>
    </row>
    <row r="471" ht="12" customHeight="1">
      <c r="A471" s="6" t="n"/>
      <c r="B471" s="6" t="n"/>
      <c r="C471" s="23" t="inlineStr">
        <is>
          <t>Yağmur suyu deposu radye 30 cm (dış 3.00x3.00)</t>
        </is>
      </c>
      <c r="D471" s="6" t="n"/>
      <c r="E471" s="28" t="n">
        <v>1</v>
      </c>
      <c r="F471" s="29" t="n">
        <v>3</v>
      </c>
      <c r="G471" s="29" t="n">
        <v>3</v>
      </c>
      <c r="H471" s="29" t="n">
        <v>0.3</v>
      </c>
      <c r="I471" s="24">
        <f>E471*F471*G471*H471</f>
        <v/>
      </c>
      <c r="J471" s="6" t="n"/>
    </row>
    <row r="472" ht="20" customHeight="1">
      <c r="A472" s="6" t="n"/>
      <c r="B472" s="6" t="n"/>
      <c r="C472" s="23" t="inlineStr">
        <is>
          <t>Yağmur suyu deposu perdeleri: orta çevre 2x(2.75+2.75) = 11.00 m</t>
        </is>
      </c>
      <c r="D472" s="6" t="n"/>
      <c r="E472" s="28" t="n">
        <v>1</v>
      </c>
      <c r="F472" s="29" t="n">
        <v>0.25</v>
      </c>
      <c r="G472" s="29" t="n">
        <v>11</v>
      </c>
      <c r="H472" s="29" t="n">
        <v>3</v>
      </c>
      <c r="I472" s="24">
        <f>E472*F472*G472*H472</f>
        <v/>
      </c>
      <c r="J472" s="6" t="n"/>
    </row>
    <row r="473" ht="12" customHeight="1">
      <c r="A473" s="6" t="n"/>
      <c r="B473" s="6" t="n"/>
      <c r="C473" s="23" t="inlineStr">
        <is>
          <t>Yağmur suyu deposu üst döşemesi 15 cm</t>
        </is>
      </c>
      <c r="D473" s="6" t="n"/>
      <c r="E473" s="28" t="n">
        <v>1</v>
      </c>
      <c r="F473" s="29" t="n">
        <v>3</v>
      </c>
      <c r="G473" s="29" t="n">
        <v>3</v>
      </c>
      <c r="H473" s="29" t="n">
        <v>0.15</v>
      </c>
      <c r="I473" s="24">
        <f>E473*F473*G473*H473</f>
        <v/>
      </c>
      <c r="J473" s="6" t="n"/>
    </row>
    <row r="474">
      <c r="A474" s="22" t="n"/>
      <c r="B474" s="22" t="n"/>
      <c r="C474" s="25" t="inlineStr">
        <is>
          <t>M16 TOPLAMI</t>
        </is>
      </c>
      <c r="D474" s="26" t="inlineStr">
        <is>
          <t>m³</t>
        </is>
      </c>
      <c r="E474" s="22" t="n"/>
      <c r="F474" s="22" t="n"/>
      <c r="G474" s="22" t="n"/>
      <c r="H474" s="22" t="n"/>
      <c r="I474" s="22" t="n"/>
      <c r="J474" s="27">
        <f>SUM(I471:I473)</f>
        <v/>
      </c>
    </row>
    <row r="475" ht="15" customHeight="1">
      <c r="A475" s="19" t="n">
        <v>4</v>
      </c>
      <c r="B475" s="20" t="inlineStr">
        <is>
          <t>15.180.1003</t>
        </is>
      </c>
      <c r="C475" s="8" t="inlineStr">
        <is>
          <t>[M20]  Plywood ile düz yüzeyli betonarme kalıbı — çukur ve depolar</t>
        </is>
      </c>
      <c r="D475" s="21" t="inlineStr">
        <is>
          <t>m²</t>
        </is>
      </c>
      <c r="E475" s="22" t="n"/>
      <c r="F475" s="22" t="n"/>
      <c r="G475" s="22" t="n"/>
      <c r="H475" s="22" t="n"/>
      <c r="I475" s="22" t="n"/>
      <c r="J475" s="22" t="n"/>
    </row>
    <row r="476" ht="20" customHeight="1">
      <c r="A476" s="6" t="n"/>
      <c r="B476" s="6" t="n"/>
      <c r="C476" s="23" t="inlineStr">
        <is>
          <t>Yağmur suyu deposu radye çevresi 2x(3.00+3.00) = 12.00 m x 0,40</t>
        </is>
      </c>
      <c r="D476" s="6" t="n"/>
      <c r="E476" s="28" t="n">
        <v>1</v>
      </c>
      <c r="F476" s="6" t="n"/>
      <c r="G476" s="29" t="n">
        <v>12</v>
      </c>
      <c r="H476" s="29" t="n">
        <v>0.4</v>
      </c>
      <c r="I476" s="24">
        <f>E476*G476*H476</f>
        <v/>
      </c>
      <c r="J476" s="6" t="n"/>
    </row>
    <row r="477" ht="12" customHeight="1">
      <c r="A477" s="6" t="n"/>
      <c r="B477" s="6" t="n"/>
      <c r="C477" s="23" t="inlineStr">
        <is>
          <t>Yağmur suyu deposu perde iki yüz (11.00 m x 3.00 m)</t>
        </is>
      </c>
      <c r="D477" s="6" t="n"/>
      <c r="E477" s="28" t="n">
        <v>2</v>
      </c>
      <c r="F477" s="6" t="n"/>
      <c r="G477" s="29" t="n">
        <v>11</v>
      </c>
      <c r="H477" s="29" t="n">
        <v>3</v>
      </c>
      <c r="I477" s="24">
        <f>E477*G477*H477</f>
        <v/>
      </c>
      <c r="J477" s="6" t="n"/>
    </row>
    <row r="478" ht="12" customHeight="1">
      <c r="A478" s="6" t="n"/>
      <c r="B478" s="6" t="n"/>
      <c r="C478" s="23" t="inlineStr">
        <is>
          <t>Yağmur suyu deposu tavan kalıbı</t>
        </is>
      </c>
      <c r="D478" s="6" t="n"/>
      <c r="E478" s="28" t="n">
        <v>1</v>
      </c>
      <c r="F478" s="29" t="n">
        <v>3</v>
      </c>
      <c r="G478" s="29" t="n">
        <v>3</v>
      </c>
      <c r="H478" s="6" t="n"/>
      <c r="I478" s="24">
        <f>E478*F478*G478</f>
        <v/>
      </c>
      <c r="J478" s="6" t="n"/>
    </row>
    <row r="479">
      <c r="A479" s="22" t="n"/>
      <c r="B479" s="22" t="n"/>
      <c r="C479" s="25" t="inlineStr">
        <is>
          <t>M20 TOPLAMI</t>
        </is>
      </c>
      <c r="D479" s="26" t="inlineStr">
        <is>
          <t>m²</t>
        </is>
      </c>
      <c r="E479" s="22" t="n"/>
      <c r="F479" s="22" t="n"/>
      <c r="G479" s="22" t="n"/>
      <c r="H479" s="22" t="n"/>
      <c r="I479" s="22" t="n"/>
      <c r="J479" s="27">
        <f>SUM(I476:I478)</f>
        <v/>
      </c>
    </row>
    <row r="480" ht="22" customHeight="1">
      <c r="A480" s="19" t="n">
        <v>5</v>
      </c>
      <c r="B480" s="20" t="inlineStr">
        <is>
          <t>15.160.1003</t>
        </is>
      </c>
      <c r="C480" s="8" t="inlineStr">
        <is>
          <t>[M26]  Ø8-Ø12 nervürlü beton çelik çubuğu — çukur, depo, foseptik ve silo kaideleri</t>
        </is>
      </c>
      <c r="D480" s="21" t="inlineStr">
        <is>
          <t>ton</t>
        </is>
      </c>
      <c r="E480" s="22" t="n"/>
      <c r="F480" s="22" t="n"/>
      <c r="G480" s="22" t="n"/>
      <c r="H480" s="22" t="n"/>
      <c r="I480" s="22" t="n"/>
      <c r="J480" s="22" t="n"/>
    </row>
    <row r="481" ht="12" customHeight="1">
      <c r="A481" s="6" t="n"/>
      <c r="B481" s="6" t="n"/>
      <c r="C481" s="23" t="inlineStr">
        <is>
          <t>Yağmur suyu deposu radyesi: 3.00x3.00x0,30 m³, 100 kg/m³</t>
        </is>
      </c>
      <c r="D481" s="6" t="n"/>
      <c r="E481" s="28" t="n">
        <v>1</v>
      </c>
      <c r="F481" s="29" t="n">
        <v>3</v>
      </c>
      <c r="G481" s="29" t="n">
        <v>3</v>
      </c>
      <c r="H481" s="29" t="n">
        <v>0.3</v>
      </c>
      <c r="I481" s="24">
        <f>E481*F481*G481*H481*J481</f>
        <v/>
      </c>
      <c r="J481" s="30" t="n">
        <v>0.1</v>
      </c>
    </row>
    <row r="482" ht="20" customHeight="1">
      <c r="A482" s="6" t="n"/>
      <c r="B482" s="6" t="n"/>
      <c r="C482" s="23" t="inlineStr">
        <is>
          <t>Yağmur suyu deposu perdeleri: 11.00x0,25x3.00 m³, 100 kg/m³</t>
        </is>
      </c>
      <c r="D482" s="6" t="n"/>
      <c r="E482" s="28" t="n">
        <v>1</v>
      </c>
      <c r="F482" s="29" t="n">
        <v>0.25</v>
      </c>
      <c r="G482" s="29" t="n">
        <v>11</v>
      </c>
      <c r="H482" s="29" t="n">
        <v>3</v>
      </c>
      <c r="I482" s="24">
        <f>E482*F482*G482*H482*J482</f>
        <v/>
      </c>
      <c r="J482" s="30" t="n">
        <v>0.1</v>
      </c>
    </row>
    <row r="483" ht="12" customHeight="1">
      <c r="A483" s="6" t="n"/>
      <c r="B483" s="6" t="n"/>
      <c r="C483" s="23" t="inlineStr">
        <is>
          <t>Yağmur suyu deposu döşemesi: 3.00x3.00x0,15 m³, 100 kg/m³</t>
        </is>
      </c>
      <c r="D483" s="6" t="n"/>
      <c r="E483" s="28" t="n">
        <v>1</v>
      </c>
      <c r="F483" s="29" t="n">
        <v>3</v>
      </c>
      <c r="G483" s="29" t="n">
        <v>3</v>
      </c>
      <c r="H483" s="29" t="n">
        <v>0.15</v>
      </c>
      <c r="I483" s="24">
        <f>E483*F483*G483*H483*J483</f>
        <v/>
      </c>
      <c r="J483" s="30" t="n">
        <v>0.1</v>
      </c>
    </row>
    <row r="484">
      <c r="A484" s="22" t="n"/>
      <c r="B484" s="22" t="n"/>
      <c r="C484" s="25" t="inlineStr">
        <is>
          <t>M26 TOPLAMI</t>
        </is>
      </c>
      <c r="D484" s="26" t="inlineStr">
        <is>
          <t>ton</t>
        </is>
      </c>
      <c r="E484" s="22" t="n"/>
      <c r="F484" s="22" t="n"/>
      <c r="G484" s="22" t="n"/>
      <c r="H484" s="22" t="n"/>
      <c r="I484" s="22" t="n"/>
      <c r="J484" s="27">
        <f>SUM(I481:I483)</f>
        <v/>
      </c>
    </row>
    <row r="485"/>
    <row r="486" ht="20" customHeight="1">
      <c r="A486" s="18" t="inlineStr">
        <is>
          <t>Yapı/Bina Adı: ÇEVRE DÜZENLEMESI VE SAHA ALTYAPISI</t>
        </is>
      </c>
    </row>
    <row r="487" ht="28" customHeight="1">
      <c r="A487" s="7" t="inlineStr">
        <is>
          <t>No</t>
        </is>
      </c>
      <c r="B487" s="7" t="inlineStr">
        <is>
          <t>Poz No</t>
        </is>
      </c>
      <c r="C487" s="7" t="inlineStr">
        <is>
          <t>Tanımı / Ölçünün Alındığı Yer</t>
        </is>
      </c>
      <c r="D487" s="7" t="inlineStr">
        <is>
          <t>Birimi</t>
        </is>
      </c>
      <c r="E487" s="7" t="inlineStr">
        <is>
          <t>Adet</t>
        </is>
      </c>
      <c r="F487" s="7" t="inlineStr">
        <is>
          <t>En (m)</t>
        </is>
      </c>
      <c r="G487" s="7" t="inlineStr">
        <is>
          <t>Boy (m)</t>
        </is>
      </c>
      <c r="H487" s="7" t="inlineStr">
        <is>
          <t>Yükseklik (m)</t>
        </is>
      </c>
      <c r="I487" s="7" t="inlineStr">
        <is>
          <t>Miktar</t>
        </is>
      </c>
      <c r="J487" s="7" t="inlineStr">
        <is>
          <t>Toplam Miktar</t>
        </is>
      </c>
    </row>
    <row r="488" ht="15" customHeight="1">
      <c r="A488" s="19" t="n">
        <v>1</v>
      </c>
      <c r="B488" s="20" t="inlineStr">
        <is>
          <t>15.120.1001</t>
        </is>
      </c>
      <c r="C488" s="8" t="inlineStr">
        <is>
          <t>[M02]  Makine ile kaba tesviye kazısı — tesis içi yol güzergâhı</t>
        </is>
      </c>
      <c r="D488" s="21" t="inlineStr">
        <is>
          <t>m³</t>
        </is>
      </c>
      <c r="E488" s="22" t="n"/>
      <c r="F488" s="22" t="n"/>
      <c r="G488" s="22" t="n"/>
      <c r="H488" s="22" t="n"/>
      <c r="I488" s="22" t="n"/>
      <c r="J488" s="22" t="n"/>
    </row>
    <row r="489" ht="20" customHeight="1">
      <c r="A489" s="6" t="n"/>
      <c r="B489" s="6" t="n"/>
      <c r="C489" s="23" t="inlineStr">
        <is>
          <t>Tesis içi yol güzergâhı: 745,57 m² alan, ortalama 5,00 m genişlik -&gt; 149,11 m uzunluk</t>
        </is>
      </c>
      <c r="D489" s="6" t="n"/>
      <c r="E489" s="28" t="n">
        <v>1</v>
      </c>
      <c r="F489" s="29" t="n">
        <v>5</v>
      </c>
      <c r="G489" s="29" t="n">
        <v>149.11</v>
      </c>
      <c r="H489" s="29" t="n">
        <v>0.35</v>
      </c>
      <c r="I489" s="24">
        <f>E489*F489*G489*H489</f>
        <v/>
      </c>
      <c r="J489" s="6" t="n"/>
    </row>
    <row r="490">
      <c r="A490" s="22" t="n"/>
      <c r="B490" s="22" t="n"/>
      <c r="C490" s="25" t="inlineStr">
        <is>
          <t>M02 TOPLAMI</t>
        </is>
      </c>
      <c r="D490" s="26" t="inlineStr">
        <is>
          <t>m³</t>
        </is>
      </c>
      <c r="E490" s="22" t="n"/>
      <c r="F490" s="22" t="n"/>
      <c r="G490" s="22" t="n"/>
      <c r="H490" s="22" t="n"/>
      <c r="I490" s="22" t="n"/>
      <c r="J490" s="27">
        <f>SUM(I489:I489)</f>
        <v/>
      </c>
    </row>
    <row r="491" ht="22" customHeight="1">
      <c r="A491" s="19" t="n">
        <v>2</v>
      </c>
      <c r="B491" s="20" t="inlineStr">
        <is>
          <t>TKDK-0091</t>
        </is>
      </c>
      <c r="C491" s="8" t="inlineStr">
        <is>
          <t>[M46]  1,50 m yükseklikte sıcak daldırma galvanizli tel örgü ile çit yapılması</t>
        </is>
      </c>
      <c r="D491" s="21" t="inlineStr">
        <is>
          <t>m</t>
        </is>
      </c>
      <c r="E491" s="22" t="n"/>
      <c r="F491" s="22" t="n"/>
      <c r="G491" s="22" t="n"/>
      <c r="H491" s="22" t="n"/>
      <c r="I491" s="22" t="n"/>
      <c r="J491" s="22" t="n"/>
    </row>
    <row r="492" ht="30" customHeight="1">
      <c r="A492" s="6" t="n"/>
      <c r="B492" s="6" t="n"/>
      <c r="C492" s="23" t="inlineStr">
        <is>
          <t>Parsel 7.966,67 m²; yerleşim planındaki cephe 113,04 m, buna karşılık gelen derinlik 7.966,67/113,04 = 70,48 m; çevre 2x(113,04+70,48)</t>
        </is>
      </c>
      <c r="D492" s="6" t="n"/>
      <c r="E492" s="28" t="n">
        <v>1</v>
      </c>
      <c r="F492" s="6" t="n"/>
      <c r="G492" s="29" t="n">
        <v>367.04</v>
      </c>
      <c r="H492" s="6" t="n"/>
      <c r="I492" s="24">
        <f>E492*G492</f>
        <v/>
      </c>
      <c r="J492" s="6" t="n"/>
    </row>
    <row r="493" ht="12" customHeight="1">
      <c r="A493" s="6" t="n"/>
      <c r="B493" s="6" t="n"/>
      <c r="C493" s="23" t="inlineStr">
        <is>
          <t>Giriş kapısı açıklığı düşülür</t>
        </is>
      </c>
      <c r="D493" s="6" t="n"/>
      <c r="E493" s="28" t="n">
        <v>1</v>
      </c>
      <c r="F493" s="6" t="n"/>
      <c r="G493" s="29" t="n">
        <v>6</v>
      </c>
      <c r="H493" s="6" t="n"/>
      <c r="I493" s="24">
        <f>-E493*G493</f>
        <v/>
      </c>
      <c r="J493" s="6" t="n"/>
    </row>
    <row r="494">
      <c r="A494" s="22" t="n"/>
      <c r="B494" s="22" t="n"/>
      <c r="C494" s="25" t="inlineStr">
        <is>
          <t>M46 TOPLAMI</t>
        </is>
      </c>
      <c r="D494" s="26" t="inlineStr">
        <is>
          <t>m</t>
        </is>
      </c>
      <c r="E494" s="22" t="n"/>
      <c r="F494" s="22" t="n"/>
      <c r="G494" s="22" t="n"/>
      <c r="H494" s="22" t="n"/>
      <c r="I494" s="22" t="n"/>
      <c r="J494" s="27">
        <f>SUM(I492:I493)</f>
        <v/>
      </c>
    </row>
    <row r="495" ht="22" customHeight="1">
      <c r="A495" s="19" t="n">
        <v>3</v>
      </c>
      <c r="B495" s="20" t="inlineStr">
        <is>
          <t>43.527.1001</t>
        </is>
      </c>
      <c r="C495" s="8" t="inlineStr">
        <is>
          <t>[M59]  ø150 HDPE koruge boru ile pissu hattı döşenmesi (SN 8, lastik conta ve boru bedeli dahil)</t>
        </is>
      </c>
      <c r="D495" s="21" t="inlineStr">
        <is>
          <t>m</t>
        </is>
      </c>
      <c r="E495" s="22" t="n"/>
      <c r="F495" s="22" t="n"/>
      <c r="G495" s="22" t="n"/>
      <c r="H495" s="22" t="n"/>
      <c r="I495" s="22" t="n"/>
      <c r="J495" s="22" t="n"/>
    </row>
    <row r="496" ht="12" customHeight="1">
      <c r="A496" s="6" t="n"/>
      <c r="B496" s="6" t="n"/>
      <c r="C496" s="23" t="inlineStr">
        <is>
          <t>Kümes A blok servis bölümü - foseptik</t>
        </is>
      </c>
      <c r="D496" s="6" t="n"/>
      <c r="E496" s="28" t="n">
        <v>1</v>
      </c>
      <c r="F496" s="6" t="n"/>
      <c r="G496" s="29" t="n">
        <v>25</v>
      </c>
      <c r="H496" s="6" t="n"/>
      <c r="I496" s="24">
        <f>E496*G496</f>
        <v/>
      </c>
      <c r="J496" s="6" t="n"/>
    </row>
    <row r="497" ht="12" customHeight="1">
      <c r="A497" s="6" t="n"/>
      <c r="B497" s="6" t="n"/>
      <c r="C497" s="23" t="inlineStr">
        <is>
          <t>Kümes B blok servis bölümü - foseptik</t>
        </is>
      </c>
      <c r="D497" s="6" t="n"/>
      <c r="E497" s="28" t="n">
        <v>1</v>
      </c>
      <c r="F497" s="6" t="n"/>
      <c r="G497" s="29" t="n">
        <v>25</v>
      </c>
      <c r="H497" s="6" t="n"/>
      <c r="I497" s="24">
        <f>E497*G497</f>
        <v/>
      </c>
      <c r="J497" s="6" t="n"/>
    </row>
    <row r="498">
      <c r="A498" s="22" t="n"/>
      <c r="B498" s="22" t="n"/>
      <c r="C498" s="25" t="inlineStr">
        <is>
          <t>M59 TOPLAMI</t>
        </is>
      </c>
      <c r="D498" s="26" t="inlineStr">
        <is>
          <t>m</t>
        </is>
      </c>
      <c r="E498" s="22" t="n"/>
      <c r="F498" s="22" t="n"/>
      <c r="G498" s="22" t="n"/>
      <c r="H498" s="22" t="n"/>
      <c r="I498" s="22" t="n"/>
      <c r="J498" s="27">
        <f>SUM(I496:I497)</f>
        <v/>
      </c>
    </row>
    <row r="499" ht="15" customHeight="1">
      <c r="A499" s="19" t="n">
        <v>4</v>
      </c>
      <c r="B499" s="20" t="inlineStr">
        <is>
          <t>15.150.1005</t>
        </is>
      </c>
      <c r="C499" s="8" t="inlineStr">
        <is>
          <t>[M61A]  C 25/30 hazır beton dökülmesi — betonarme rögarlar</t>
        </is>
      </c>
      <c r="D499" s="21" t="inlineStr">
        <is>
          <t>m³</t>
        </is>
      </c>
      <c r="E499" s="22" t="n"/>
      <c r="F499" s="22" t="n"/>
      <c r="G499" s="22" t="n"/>
      <c r="H499" s="22" t="n"/>
      <c r="I499" s="22" t="n"/>
      <c r="J499" s="22" t="n"/>
    </row>
    <row r="500" ht="12" customHeight="1">
      <c r="A500" s="6" t="n"/>
      <c r="B500" s="6" t="n"/>
      <c r="C500" s="23" t="inlineStr">
        <is>
          <t>Dış prizma: 0,90 x 0,90 x 0,75; 4 adet</t>
        </is>
      </c>
      <c r="D500" s="6" t="n"/>
      <c r="E500" s="28" t="n">
        <v>4</v>
      </c>
      <c r="F500" s="29" t="n">
        <v>0.9</v>
      </c>
      <c r="G500" s="29" t="n">
        <v>0.9</v>
      </c>
      <c r="H500" s="29" t="n">
        <v>0.75</v>
      </c>
      <c r="I500" s="24">
        <f>E500*F500*G500*H500</f>
        <v/>
      </c>
      <c r="J500" s="6" t="n"/>
    </row>
    <row r="501" ht="12" customHeight="1">
      <c r="A501" s="6" t="n"/>
      <c r="B501" s="6" t="n"/>
      <c r="C501" s="23" t="inlineStr">
        <is>
          <t>Net iç hacim düşülür: 0,60 x 0,60 x 0,60; 4 adet</t>
        </is>
      </c>
      <c r="D501" s="6" t="n"/>
      <c r="E501" s="28" t="n">
        <v>4</v>
      </c>
      <c r="F501" s="29" t="n">
        <v>0.6</v>
      </c>
      <c r="G501" s="29" t="n">
        <v>0.6</v>
      </c>
      <c r="H501" s="29" t="n">
        <v>0.6</v>
      </c>
      <c r="I501" s="24">
        <f>-E501*F501*G501*H501</f>
        <v/>
      </c>
      <c r="J501" s="6" t="n"/>
    </row>
    <row r="502">
      <c r="A502" s="22" t="n"/>
      <c r="B502" s="22" t="n"/>
      <c r="C502" s="25" t="inlineStr">
        <is>
          <t>M61A TOPLAMI</t>
        </is>
      </c>
      <c r="D502" s="26" t="inlineStr">
        <is>
          <t>m³</t>
        </is>
      </c>
      <c r="E502" s="22" t="n"/>
      <c r="F502" s="22" t="n"/>
      <c r="G502" s="22" t="n"/>
      <c r="H502" s="22" t="n"/>
      <c r="I502" s="22" t="n"/>
      <c r="J502" s="27">
        <f>SUM(I500:I501)</f>
        <v/>
      </c>
    </row>
    <row r="503" ht="22" customHeight="1">
      <c r="A503" s="19" t="n">
        <v>5</v>
      </c>
      <c r="B503" s="20" t="inlineStr">
        <is>
          <t>15.180.1003</t>
        </is>
      </c>
      <c r="C503" s="8" t="inlineStr">
        <is>
          <t>[M61B]  Düz yüzeyli beton ve betonarme kalıbı yapılması — betonarme rögarlar</t>
        </is>
      </c>
      <c r="D503" s="21" t="inlineStr">
        <is>
          <t>m²</t>
        </is>
      </c>
      <c r="E503" s="22" t="n"/>
      <c r="F503" s="22" t="n"/>
      <c r="G503" s="22" t="n"/>
      <c r="H503" s="22" t="n"/>
      <c r="I503" s="22" t="n"/>
      <c r="J503" s="22" t="n"/>
    </row>
    <row r="504" ht="12" customHeight="1">
      <c r="A504" s="6" t="n"/>
      <c r="B504" s="6" t="n"/>
      <c r="C504" s="23" t="inlineStr">
        <is>
          <t>İç yüzler: 4 yüz x 0,60 x 0,60; 4 adet</t>
        </is>
      </c>
      <c r="D504" s="6" t="n"/>
      <c r="E504" s="28" t="n">
        <v>4</v>
      </c>
      <c r="F504" s="29" t="n">
        <v>0.6</v>
      </c>
      <c r="G504" s="29" t="n">
        <v>4</v>
      </c>
      <c r="H504" s="29" t="n">
        <v>0.6</v>
      </c>
      <c r="I504" s="24">
        <f>E504*F504*G504*H504</f>
        <v/>
      </c>
      <c r="J504" s="6" t="n"/>
    </row>
    <row r="505" ht="12" customHeight="1">
      <c r="A505" s="6" t="n"/>
      <c r="B505" s="6" t="n"/>
      <c r="C505" s="23" t="inlineStr">
        <is>
          <t>Dış yüzler: 4 yüz x 0,90 x 0,60; 4 adet</t>
        </is>
      </c>
      <c r="D505" s="6" t="n"/>
      <c r="E505" s="28" t="n">
        <v>4</v>
      </c>
      <c r="F505" s="29" t="n">
        <v>0.9</v>
      </c>
      <c r="G505" s="29" t="n">
        <v>4</v>
      </c>
      <c r="H505" s="29" t="n">
        <v>0.6</v>
      </c>
      <c r="I505" s="24">
        <f>E505*F505*G505*H505</f>
        <v/>
      </c>
      <c r="J505" s="6" t="n"/>
    </row>
    <row r="506">
      <c r="A506" s="22" t="n"/>
      <c r="B506" s="22" t="n"/>
      <c r="C506" s="25" t="inlineStr">
        <is>
          <t>M61B TOPLAMI</t>
        </is>
      </c>
      <c r="D506" s="26" t="inlineStr">
        <is>
          <t>m²</t>
        </is>
      </c>
      <c r="E506" s="22" t="n"/>
      <c r="F506" s="22" t="n"/>
      <c r="G506" s="22" t="n"/>
      <c r="H506" s="22" t="n"/>
      <c r="I506" s="22" t="n"/>
      <c r="J506" s="27">
        <f>SUM(I504:I505)</f>
        <v/>
      </c>
    </row>
    <row r="507" ht="15" customHeight="1">
      <c r="A507" s="19" t="n">
        <v>6</v>
      </c>
      <c r="B507" s="20" t="inlineStr">
        <is>
          <t>15.160.1003</t>
        </is>
      </c>
      <c r="C507" s="8" t="inlineStr">
        <is>
          <t>[M61C]  Nervürlü betonarme çeliği ø8-ø12 — betonarme rögarlar</t>
        </is>
      </c>
      <c r="D507" s="21" t="inlineStr">
        <is>
          <t>ton</t>
        </is>
      </c>
      <c r="E507" s="22" t="n"/>
      <c r="F507" s="22" t="n"/>
      <c r="G507" s="22" t="n"/>
      <c r="H507" s="22" t="n"/>
      <c r="I507" s="22" t="n"/>
      <c r="J507" s="22" t="n"/>
    </row>
    <row r="508" ht="20" customHeight="1">
      <c r="A508" s="6" t="n"/>
      <c r="B508" s="6" t="n"/>
      <c r="C508" s="23" t="inlineStr">
        <is>
          <t>Beton hacmi 1,566 m³, ortalama donatı oranı 90 kg/m³ -&gt; 140,94 kg = 0,141 ton</t>
        </is>
      </c>
      <c r="D508" s="6" t="n"/>
      <c r="E508" s="28" t="n">
        <v>1</v>
      </c>
      <c r="F508" s="6" t="n"/>
      <c r="G508" s="29" t="n">
        <v>1.566</v>
      </c>
      <c r="H508" s="6" t="n"/>
      <c r="I508" s="24">
        <f>E508*G508*J508</f>
        <v/>
      </c>
      <c r="J508" s="30" t="n">
        <v>0.09</v>
      </c>
    </row>
    <row r="509">
      <c r="A509" s="22" t="n"/>
      <c r="B509" s="22" t="n"/>
      <c r="C509" s="25" t="inlineStr">
        <is>
          <t>M61C TOPLAMI</t>
        </is>
      </c>
      <c r="D509" s="26" t="inlineStr">
        <is>
          <t>ton</t>
        </is>
      </c>
      <c r="E509" s="22" t="n"/>
      <c r="F509" s="22" t="n"/>
      <c r="G509" s="22" t="n"/>
      <c r="H509" s="22" t="n"/>
      <c r="I509" s="22" t="n"/>
      <c r="J509" s="27">
        <f>SUM(I508:I508)</f>
        <v/>
      </c>
    </row>
    <row r="510" ht="15" customHeight="1">
      <c r="A510" s="19" t="n">
        <v>7</v>
      </c>
      <c r="B510" s="20" t="inlineStr">
        <is>
          <t>15.560.1003</t>
        </is>
      </c>
      <c r="C510" s="8" t="inlineStr">
        <is>
          <t>[M61D]  Betonarme kompozit rögar kapağı temini ve yerine konulması</t>
        </is>
      </c>
      <c r="D510" s="21" t="inlineStr">
        <is>
          <t>ad</t>
        </is>
      </c>
      <c r="E510" s="22" t="n"/>
      <c r="F510" s="22" t="n"/>
      <c r="G510" s="22" t="n"/>
      <c r="H510" s="22" t="n"/>
      <c r="I510" s="22" t="n"/>
      <c r="J510" s="22" t="n"/>
    </row>
    <row r="511" ht="12" customHeight="1">
      <c r="A511" s="6" t="n"/>
      <c r="B511" s="6" t="n"/>
      <c r="C511" s="23" t="inlineStr">
        <is>
          <t>Pissu hattında 4 adet</t>
        </is>
      </c>
      <c r="D511" s="6" t="n"/>
      <c r="E511" s="28" t="n">
        <v>4</v>
      </c>
      <c r="F511" s="6" t="n"/>
      <c r="G511" s="6" t="n"/>
      <c r="H511" s="6" t="n"/>
      <c r="I511" s="24">
        <f>E511</f>
        <v/>
      </c>
      <c r="J511" s="6" t="n"/>
    </row>
    <row r="512">
      <c r="A512" s="22" t="n"/>
      <c r="B512" s="22" t="n"/>
      <c r="C512" s="25" t="inlineStr">
        <is>
          <t>M61D TOPLAMI</t>
        </is>
      </c>
      <c r="D512" s="26" t="inlineStr">
        <is>
          <t>ad</t>
        </is>
      </c>
      <c r="E512" s="22" t="n"/>
      <c r="F512" s="22" t="n"/>
      <c r="G512" s="22" t="n"/>
      <c r="H512" s="22" t="n"/>
      <c r="I512" s="22" t="n"/>
      <c r="J512" s="27">
        <f>SUM(I511:I511)</f>
        <v/>
      </c>
    </row>
    <row r="513" ht="22" customHeight="1">
      <c r="A513" s="19" t="n">
        <v>8</v>
      </c>
      <c r="B513" s="20" t="inlineStr">
        <is>
          <t>35.100.1104</t>
        </is>
      </c>
      <c r="C513" s="8" t="inlineStr">
        <is>
          <t>[M63]  Ana dağıtım panosu (dikili tip galvanizli sac, en az 700 mm en, 400 mm derinlik)</t>
        </is>
      </c>
      <c r="D513" s="21" t="inlineStr">
        <is>
          <t>ad</t>
        </is>
      </c>
      <c r="E513" s="22" t="n"/>
      <c r="F513" s="22" t="n"/>
      <c r="G513" s="22" t="n"/>
      <c r="H513" s="22" t="n"/>
      <c r="I513" s="22" t="n"/>
      <c r="J513" s="22" t="n"/>
    </row>
    <row r="514" ht="12" customHeight="1">
      <c r="A514" s="6" t="n"/>
      <c r="B514" s="6" t="n"/>
      <c r="C514" s="23" t="inlineStr">
        <is>
          <t>Tesis girişinde 1 adet</t>
        </is>
      </c>
      <c r="D514" s="6" t="n"/>
      <c r="E514" s="28" t="n">
        <v>1</v>
      </c>
      <c r="F514" s="6" t="n"/>
      <c r="G514" s="6" t="n"/>
      <c r="H514" s="6" t="n"/>
      <c r="I514" s="24">
        <f>E514*J514</f>
        <v/>
      </c>
      <c r="J514" s="30" t="n">
        <v>1</v>
      </c>
    </row>
    <row r="515">
      <c r="A515" s="22" t="n"/>
      <c r="B515" s="22" t="n"/>
      <c r="C515" s="25" t="inlineStr">
        <is>
          <t>M63 TOPLAMI</t>
        </is>
      </c>
      <c r="D515" s="26" t="inlineStr">
        <is>
          <t>ad</t>
        </is>
      </c>
      <c r="E515" s="22" t="n"/>
      <c r="F515" s="22" t="n"/>
      <c r="G515" s="22" t="n"/>
      <c r="H515" s="22" t="n"/>
      <c r="I515" s="22" t="n"/>
      <c r="J515" s="27">
        <f>SUM(I514:I514)</f>
        <v/>
      </c>
    </row>
    <row r="516" ht="15" customHeight="1">
      <c r="A516" s="19" t="n">
        <v>9</v>
      </c>
      <c r="B516" s="20" t="inlineStr">
        <is>
          <t>35.100.2106</t>
        </is>
      </c>
      <c r="C516" s="8" t="inlineStr">
        <is>
          <t>[M64]  Sayaç panosu (sıva üstü galvanizli sac tablo, 0,50-0,60 m²)</t>
        </is>
      </c>
      <c r="D516" s="21" t="inlineStr">
        <is>
          <t>ad</t>
        </is>
      </c>
      <c r="E516" s="22" t="n"/>
      <c r="F516" s="22" t="n"/>
      <c r="G516" s="22" t="n"/>
      <c r="H516" s="22" t="n"/>
      <c r="I516" s="22" t="n"/>
      <c r="J516" s="22" t="n"/>
    </row>
    <row r="517" ht="12" customHeight="1">
      <c r="A517" s="6" t="n"/>
      <c r="B517" s="6" t="n"/>
      <c r="C517" s="23" t="inlineStr">
        <is>
          <t>Tesis girişinde 1 adet</t>
        </is>
      </c>
      <c r="D517" s="6" t="n"/>
      <c r="E517" s="28" t="n">
        <v>1</v>
      </c>
      <c r="F517" s="6" t="n"/>
      <c r="G517" s="6" t="n"/>
      <c r="H517" s="6" t="n"/>
      <c r="I517" s="24">
        <f>E517*J517</f>
        <v/>
      </c>
      <c r="J517" s="30" t="n">
        <v>1</v>
      </c>
    </row>
    <row r="518">
      <c r="A518" s="22" t="n"/>
      <c r="B518" s="22" t="n"/>
      <c r="C518" s="25" t="inlineStr">
        <is>
          <t>M64 TOPLAMI</t>
        </is>
      </c>
      <c r="D518" s="26" t="inlineStr">
        <is>
          <t>ad</t>
        </is>
      </c>
      <c r="E518" s="22" t="n"/>
      <c r="F518" s="22" t="n"/>
      <c r="G518" s="22" t="n"/>
      <c r="H518" s="22" t="n"/>
      <c r="I518" s="22" t="n"/>
      <c r="J518" s="27">
        <f>SUM(I517:I517)</f>
        <v/>
      </c>
    </row>
    <row r="519" ht="22" customHeight="1">
      <c r="A519" s="19" t="n">
        <v>10</v>
      </c>
      <c r="B519" s="20" t="inlineStr">
        <is>
          <t>35.135.3201</t>
        </is>
      </c>
      <c r="C519" s="8" t="inlineStr">
        <is>
          <t>[M65]  Üç fazlı zaman tarifeli elektronik aktif sayaç, en az 5(100) A, 3x230/400 V</t>
        </is>
      </c>
      <c r="D519" s="21" t="inlineStr">
        <is>
          <t>ad</t>
        </is>
      </c>
      <c r="E519" s="22" t="n"/>
      <c r="F519" s="22" t="n"/>
      <c r="G519" s="22" t="n"/>
      <c r="H519" s="22" t="n"/>
      <c r="I519" s="22" t="n"/>
      <c r="J519" s="22" t="n"/>
    </row>
    <row r="520" ht="12" customHeight="1">
      <c r="A520" s="6" t="n"/>
      <c r="B520" s="6" t="n"/>
      <c r="C520" s="23" t="inlineStr">
        <is>
          <t>Sayaç panosu içinde 1 adet</t>
        </is>
      </c>
      <c r="D520" s="6" t="n"/>
      <c r="E520" s="28" t="n">
        <v>1</v>
      </c>
      <c r="F520" s="6" t="n"/>
      <c r="G520" s="6" t="n"/>
      <c r="H520" s="6" t="n"/>
      <c r="I520" s="24">
        <f>E520*J520</f>
        <v/>
      </c>
      <c r="J520" s="30" t="n">
        <v>1</v>
      </c>
    </row>
    <row r="521">
      <c r="A521" s="22" t="n"/>
      <c r="B521" s="22" t="n"/>
      <c r="C521" s="25" t="inlineStr">
        <is>
          <t>M65 TOPLAMI</t>
        </is>
      </c>
      <c r="D521" s="26" t="inlineStr">
        <is>
          <t>ad</t>
        </is>
      </c>
      <c r="E521" s="22" t="n"/>
      <c r="F521" s="22" t="n"/>
      <c r="G521" s="22" t="n"/>
      <c r="H521" s="22" t="n"/>
      <c r="I521" s="22" t="n"/>
      <c r="J521" s="27">
        <f>SUM(I520:I520)</f>
        <v/>
      </c>
    </row>
    <row r="522" ht="22" customHeight="1">
      <c r="A522" s="19" t="n">
        <v>11</v>
      </c>
      <c r="B522" s="20" t="inlineStr">
        <is>
          <t>35.110.1104</t>
        </is>
      </c>
      <c r="C522" s="8" t="inlineStr">
        <is>
          <t>[M66]  Termik-manyetik kompakt şalter 3x160 A, Icu 35 kA — ana giriş</t>
        </is>
      </c>
      <c r="D522" s="21" t="inlineStr">
        <is>
          <t>ad</t>
        </is>
      </c>
      <c r="E522" s="22" t="n"/>
      <c r="F522" s="22" t="n"/>
      <c r="G522" s="22" t="n"/>
      <c r="H522" s="22" t="n"/>
      <c r="I522" s="22" t="n"/>
      <c r="J522" s="22" t="n"/>
    </row>
    <row r="523" ht="12" customHeight="1">
      <c r="A523" s="6" t="n"/>
      <c r="B523" s="6" t="n"/>
      <c r="C523" s="23" t="inlineStr">
        <is>
          <t>Ana dağıtım panosu girişi</t>
        </is>
      </c>
      <c r="D523" s="6" t="n"/>
      <c r="E523" s="28" t="n">
        <v>1</v>
      </c>
      <c r="F523" s="6" t="n"/>
      <c r="G523" s="6" t="n"/>
      <c r="H523" s="6" t="n"/>
      <c r="I523" s="24">
        <f>E523*J523</f>
        <v/>
      </c>
      <c r="J523" s="30" t="n">
        <v>1</v>
      </c>
    </row>
    <row r="524">
      <c r="A524" s="22" t="n"/>
      <c r="B524" s="22" t="n"/>
      <c r="C524" s="25" t="inlineStr">
        <is>
          <t>M66 TOPLAMI</t>
        </is>
      </c>
      <c r="D524" s="26" t="inlineStr">
        <is>
          <t>ad</t>
        </is>
      </c>
      <c r="E524" s="22" t="n"/>
      <c r="F524" s="22" t="n"/>
      <c r="G524" s="22" t="n"/>
      <c r="H524" s="22" t="n"/>
      <c r="I524" s="22" t="n"/>
      <c r="J524" s="27">
        <f>SUM(I523:I523)</f>
        <v/>
      </c>
    </row>
    <row r="525" ht="15" customHeight="1">
      <c r="A525" s="19" t="n">
        <v>12</v>
      </c>
      <c r="B525" s="20" t="inlineStr">
        <is>
          <t>35.115.1003</t>
        </is>
      </c>
      <c r="C525" s="8" t="inlineStr">
        <is>
          <t>[M69]  Kaçak akım koruma şalteri 2x63 A, 30 mA</t>
        </is>
      </c>
      <c r="D525" s="21" t="inlineStr">
        <is>
          <t>ad</t>
        </is>
      </c>
      <c r="E525" s="22" t="n"/>
      <c r="F525" s="22" t="n"/>
      <c r="G525" s="22" t="n"/>
      <c r="H525" s="22" t="n"/>
      <c r="I525" s="22" t="n"/>
      <c r="J525" s="22" t="n"/>
    </row>
    <row r="526" ht="12" customHeight="1">
      <c r="A526" s="6" t="n"/>
      <c r="B526" s="6" t="n"/>
      <c r="C526" s="23" t="inlineStr">
        <is>
          <t>Ana pano ve sayaç panosunda</t>
        </is>
      </c>
      <c r="D526" s="6" t="n"/>
      <c r="E526" s="28" t="n">
        <v>1</v>
      </c>
      <c r="F526" s="6" t="n"/>
      <c r="G526" s="6" t="n"/>
      <c r="H526" s="6" t="n"/>
      <c r="I526" s="24">
        <f>E526*J526</f>
        <v/>
      </c>
      <c r="J526" s="30" t="n">
        <v>2</v>
      </c>
    </row>
    <row r="527">
      <c r="A527" s="22" t="n"/>
      <c r="B527" s="22" t="n"/>
      <c r="C527" s="25" t="inlineStr">
        <is>
          <t>M69 TOPLAMI</t>
        </is>
      </c>
      <c r="D527" s="26" t="inlineStr">
        <is>
          <t>ad</t>
        </is>
      </c>
      <c r="E527" s="22" t="n"/>
      <c r="F527" s="22" t="n"/>
      <c r="G527" s="22" t="n"/>
      <c r="H527" s="22" t="n"/>
      <c r="I527" s="22" t="n"/>
      <c r="J527" s="27">
        <f>SUM(I526:I526)</f>
        <v/>
      </c>
    </row>
    <row r="528" ht="22" customHeight="1">
      <c r="A528" s="19" t="n">
        <v>13</v>
      </c>
      <c r="B528" s="20" t="inlineStr">
        <is>
          <t>35.140.3105</t>
        </is>
      </c>
      <c r="C528" s="8" t="inlineStr">
        <is>
          <t>[M70]  YVV (NYY) 1 kV yeraltı kablosu ile besleme hattı tesisi — 1x35 mm²</t>
        </is>
      </c>
      <c r="D528" s="21" t="inlineStr">
        <is>
          <t>m</t>
        </is>
      </c>
      <c r="E528" s="22" t="n"/>
      <c r="F528" s="22" t="n"/>
      <c r="G528" s="22" t="n"/>
      <c r="H528" s="22" t="n"/>
      <c r="I528" s="22" t="n"/>
      <c r="J528" s="22" t="n"/>
    </row>
    <row r="529" ht="12" customHeight="1">
      <c r="A529" s="6" t="n"/>
      <c r="B529" s="6" t="n"/>
      <c r="C529" s="23" t="inlineStr">
        <is>
          <t>Şebeke bağlantı noktası - ana dağıtım panosu</t>
        </is>
      </c>
      <c r="D529" s="6" t="n"/>
      <c r="E529" s="28" t="n">
        <v>1</v>
      </c>
      <c r="F529" s="6" t="n"/>
      <c r="G529" s="6" t="n"/>
      <c r="H529" s="6" t="n"/>
      <c r="I529" s="24">
        <f>E529*J529</f>
        <v/>
      </c>
      <c r="J529" s="30" t="n">
        <v>50</v>
      </c>
    </row>
    <row r="530">
      <c r="A530" s="22" t="n"/>
      <c r="B530" s="22" t="n"/>
      <c r="C530" s="25" t="inlineStr">
        <is>
          <t>M70 TOPLAMI</t>
        </is>
      </c>
      <c r="D530" s="26" t="inlineStr">
        <is>
          <t>m</t>
        </is>
      </c>
      <c r="E530" s="22" t="n"/>
      <c r="F530" s="22" t="n"/>
      <c r="G530" s="22" t="n"/>
      <c r="H530" s="22" t="n"/>
      <c r="I530" s="22" t="n"/>
      <c r="J530" s="27">
        <f>SUM(I529:I529)</f>
        <v/>
      </c>
    </row>
    <row r="531" ht="22" customHeight="1">
      <c r="A531" s="19" t="n">
        <v>14</v>
      </c>
      <c r="B531" s="20" t="inlineStr">
        <is>
          <t>35.140.3101</t>
        </is>
      </c>
      <c r="C531" s="8" t="inlineStr">
        <is>
          <t>[M72]  YVV (NYY) 1 kV yeraltı kablosu ile besleme hattı tesisi — 1x6 mm²</t>
        </is>
      </c>
      <c r="D531" s="21" t="inlineStr">
        <is>
          <t>m</t>
        </is>
      </c>
      <c r="E531" s="22" t="n"/>
      <c r="F531" s="22" t="n"/>
      <c r="G531" s="22" t="n"/>
      <c r="H531" s="22" t="n"/>
      <c r="I531" s="22" t="n"/>
      <c r="J531" s="22" t="n"/>
    </row>
    <row r="532" ht="12" customHeight="1">
      <c r="A532" s="6" t="n"/>
      <c r="B532" s="6" t="n"/>
      <c r="C532" s="23" t="inlineStr">
        <is>
          <t>Saha aydınlatma direkleri besleme hattı</t>
        </is>
      </c>
      <c r="D532" s="6" t="n"/>
      <c r="E532" s="28" t="n">
        <v>1</v>
      </c>
      <c r="F532" s="6" t="n"/>
      <c r="G532" s="6" t="n"/>
      <c r="H532" s="6" t="n"/>
      <c r="I532" s="24">
        <f>E532*J532</f>
        <v/>
      </c>
      <c r="J532" s="30" t="n">
        <v>50</v>
      </c>
    </row>
    <row r="533">
      <c r="A533" s="22" t="n"/>
      <c r="B533" s="22" t="n"/>
      <c r="C533" s="25" t="inlineStr">
        <is>
          <t>M72 TOPLAMI</t>
        </is>
      </c>
      <c r="D533" s="26" t="inlineStr">
        <is>
          <t>m</t>
        </is>
      </c>
      <c r="E533" s="22" t="n"/>
      <c r="F533" s="22" t="n"/>
      <c r="G533" s="22" t="n"/>
      <c r="H533" s="22" t="n"/>
      <c r="I533" s="22" t="n"/>
      <c r="J533" s="27">
        <f>SUM(I532:I532)</f>
        <v/>
      </c>
    </row>
    <row r="534" ht="22" customHeight="1">
      <c r="A534" s="19" t="n">
        <v>15</v>
      </c>
      <c r="B534" s="20" t="inlineStr">
        <is>
          <t>35.172.1706</t>
        </is>
      </c>
      <c r="C534" s="8" t="inlineStr">
        <is>
          <t>[M82]  Aydınlatma direği — taban çapı en az 80 mm, yükseklik en az 4,00 m</t>
        </is>
      </c>
      <c r="D534" s="21" t="inlineStr">
        <is>
          <t>ad</t>
        </is>
      </c>
      <c r="E534" s="22" t="n"/>
      <c r="F534" s="22" t="n"/>
      <c r="G534" s="22" t="n"/>
      <c r="H534" s="22" t="n"/>
      <c r="I534" s="22" t="n"/>
      <c r="J534" s="22" t="n"/>
    </row>
    <row r="535" ht="12" customHeight="1">
      <c r="A535" s="6" t="n"/>
      <c r="B535" s="6" t="n"/>
      <c r="C535" s="23" t="inlineStr">
        <is>
          <t>Tesis içi yol ve saha aydınlatması</t>
        </is>
      </c>
      <c r="D535" s="6" t="n"/>
      <c r="E535" s="28" t="n">
        <v>1</v>
      </c>
      <c r="F535" s="6" t="n"/>
      <c r="G535" s="6" t="n"/>
      <c r="H535" s="6" t="n"/>
      <c r="I535" s="24">
        <f>E535*J535</f>
        <v/>
      </c>
      <c r="J535" s="30" t="n">
        <v>4</v>
      </c>
    </row>
    <row r="536">
      <c r="A536" s="22" t="n"/>
      <c r="B536" s="22" t="n"/>
      <c r="C536" s="25" t="inlineStr">
        <is>
          <t>M82 TOPLAMI</t>
        </is>
      </c>
      <c r="D536" s="26" t="inlineStr">
        <is>
          <t>ad</t>
        </is>
      </c>
      <c r="E536" s="22" t="n"/>
      <c r="F536" s="22" t="n"/>
      <c r="G536" s="22" t="n"/>
      <c r="H536" s="22" t="n"/>
      <c r="I536" s="22" t="n"/>
      <c r="J536" s="27">
        <f>SUM(I535:I535)</f>
        <v/>
      </c>
    </row>
    <row r="537" ht="15" customHeight="1">
      <c r="A537" s="19" t="n">
        <v>16</v>
      </c>
      <c r="B537" s="20" t="inlineStr">
        <is>
          <t>35.170.4002</t>
        </is>
      </c>
      <c r="C537" s="8" t="inlineStr">
        <is>
          <t>[M83]  LED projektör, ışık akısı en az 5100 lm</t>
        </is>
      </c>
      <c r="D537" s="21" t="inlineStr">
        <is>
          <t>ad</t>
        </is>
      </c>
      <c r="E537" s="22" t="n"/>
      <c r="F537" s="22" t="n"/>
      <c r="G537" s="22" t="n"/>
      <c r="H537" s="22" t="n"/>
      <c r="I537" s="22" t="n"/>
      <c r="J537" s="22" t="n"/>
    </row>
    <row r="538" ht="12" customHeight="1">
      <c r="A538" s="6" t="n"/>
      <c r="B538" s="6" t="n"/>
      <c r="C538" s="23" t="inlineStr">
        <is>
          <t>Aydınlatma direği başına 1 adet</t>
        </is>
      </c>
      <c r="D538" s="6" t="n"/>
      <c r="E538" s="28" t="n">
        <v>1</v>
      </c>
      <c r="F538" s="6" t="n"/>
      <c r="G538" s="6" t="n"/>
      <c r="H538" s="6" t="n"/>
      <c r="I538" s="24">
        <f>E538*J538</f>
        <v/>
      </c>
      <c r="J538" s="30" t="n">
        <v>4</v>
      </c>
    </row>
    <row r="539">
      <c r="A539" s="22" t="n"/>
      <c r="B539" s="22" t="n"/>
      <c r="C539" s="25" t="inlineStr">
        <is>
          <t>M83 TOPLAMI</t>
        </is>
      </c>
      <c r="D539" s="26" t="inlineStr">
        <is>
          <t>ad</t>
        </is>
      </c>
      <c r="E539" s="22" t="n"/>
      <c r="F539" s="22" t="n"/>
      <c r="G539" s="22" t="n"/>
      <c r="H539" s="22" t="n"/>
      <c r="I539" s="22" t="n"/>
      <c r="J539" s="27">
        <f>SUM(I538:I538)</f>
        <v/>
      </c>
    </row>
    <row r="540"/>
    <row r="541">
      <c r="A541" s="16" t="inlineStr">
        <is>
          <t>AÇIKLAMALAR</t>
        </is>
      </c>
      <c r="B541" s="6" t="n"/>
      <c r="C541" s="6" t="n"/>
      <c r="D541" s="6" t="n"/>
      <c r="E541" s="6" t="n"/>
      <c r="F541" s="6" t="n"/>
      <c r="G541" s="6" t="n"/>
      <c r="H541" s="6" t="n"/>
      <c r="I541" s="6" t="n"/>
      <c r="J541" s="6" t="n"/>
    </row>
    <row r="542" ht="13" customHeight="1">
      <c r="A542" s="17" t="inlineStr">
        <is>
          <t>•  Miktar sütunundaki her formül yalnızca o satırdaki ölçü hücrelerini çarpar; hiçbir sayı formülün içine gömülmemiştir.</t>
        </is>
      </c>
    </row>
    <row r="543" ht="13" customHeight="1">
      <c r="A543" s="17" t="inlineStr">
        <is>
          <t>•  Son sütundaki katsayı, birim ağırlık (kg/m², kg/m³, ton/m²), bindirme payı, üçgen alan çarpanı (0,50) veya adet çarpanıdır.</t>
        </is>
      </c>
    </row>
    <row r="544" ht="22" customHeight="1">
      <c r="A544" s="17" t="inlineStr">
        <is>
          <t>•  Ölçüler mimari ve betonarme paftalardan alınmıştır; kümes temellerinin beton, kalıp ve donatı miktarları doğrudan betonarme paftasındaki METRAJ tablosundandır.</t>
        </is>
      </c>
    </row>
    <row r="545" ht="13" customHeight="1">
      <c r="A545" s="17" t="inlineStr">
        <is>
          <t>•  (-) işaretli satırlar minha edilen (düşülen) miktarlardır.</t>
        </is>
      </c>
    </row>
  </sheetData>
  <mergeCells count="17">
    <mergeCell ref="A374:J374"/>
    <mergeCell ref="A1:J1"/>
    <mergeCell ref="A5:J5"/>
    <mergeCell ref="A397:J397"/>
    <mergeCell ref="A343:J343"/>
    <mergeCell ref="A541:J541"/>
    <mergeCell ref="A544:J544"/>
    <mergeCell ref="A545:J545"/>
    <mergeCell ref="A439:J439"/>
    <mergeCell ref="A486:J486"/>
    <mergeCell ref="A3:J3"/>
    <mergeCell ref="A542:J542"/>
    <mergeCell ref="A421:J421"/>
    <mergeCell ref="A543:J543"/>
    <mergeCell ref="A174:J174"/>
    <mergeCell ref="A2:J2"/>
    <mergeCell ref="A462:J46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2026-08-30T11:59:36Z</dcterms:created>
  <dcterms:modified xmlns:dcterms="http://purl.org/dc/terms/" xmlns:xsi="http://www.w3.org/2001/XMLSchema-instance" xsi:type="dcterms:W3CDTF">2026-08-30T11:59:36Z</dcterms:modified>
</cp:coreProperties>
</file>