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61"/>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 KÜMES (A+B BLOK) VE MÜŞTEMİLAT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1684.39</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31.428</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7.287</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5" t="n"/>
      <c r="B21" s="9" t="n">
        <v>2</v>
      </c>
      <c r="C21" s="10" t="inlineStr">
        <is>
          <t>TKDK-0115</t>
        </is>
      </c>
      <c r="D21" s="11" t="inlineStr">
        <is>
          <t>Galvanizli düz sacdan yağmur oluğu veya iniş borusu yapılması</t>
        </is>
      </c>
      <c r="E21" s="12" t="inlineStr">
        <is>
          <t>kg</t>
        </is>
      </c>
      <c r="F21" s="13" t="n">
        <v>360.16</v>
      </c>
    </row>
    <row r="22" ht="21" customHeight="1">
      <c r="A22" s="8" t="inlineStr">
        <is>
          <t>Doğramacılık işleri (Demir, Alüminyum, PVC, Kompozit)</t>
        </is>
      </c>
      <c r="B22" s="9" t="n">
        <v>1</v>
      </c>
      <c r="C22" s="10" t="inlineStr">
        <is>
          <t>TKDK-0151</t>
        </is>
      </c>
      <c r="D22" s="11" t="inlineStr">
        <is>
          <t>5 cm poliüretan dolgulu (üst 0,50 mm düz, alt 0,40 mm düz) fabrikasyon rulo boyama sistemi ile boyanmış galvaniz levhalar ile ısı yalıtımlı kapı yapılması</t>
        </is>
      </c>
      <c r="E22" s="12" t="inlineStr">
        <is>
          <t>m²</t>
        </is>
      </c>
      <c r="F22" s="13" t="n">
        <v>13.4</v>
      </c>
    </row>
    <row r="23" ht="21" customHeight="1">
      <c r="A23" s="14" t="n"/>
      <c r="B23" s="9" t="n">
        <v>2</v>
      </c>
      <c r="C23" s="10" t="inlineStr">
        <is>
          <t>TKDK-0175</t>
        </is>
      </c>
      <c r="D23" s="11" t="inlineStr">
        <is>
          <t>PVC kaplamalı, iki yüzü odun lifinden yapılmış levhalarla (MDF) presli, kraft dolgulu iç kapı kanadı yapılması, yerinde takılması</t>
        </is>
      </c>
      <c r="E23" s="12" t="inlineStr">
        <is>
          <t>m²</t>
        </is>
      </c>
      <c r="F23" s="13" t="n">
        <v>5.67</v>
      </c>
    </row>
    <row r="24" ht="21" customHeight="1">
      <c r="A24" s="15" t="n"/>
      <c r="B24" s="9" t="n">
        <v>3</v>
      </c>
      <c r="C24" s="10" t="inlineStr">
        <is>
          <t>15.550.1002</t>
        </is>
      </c>
      <c r="D24" s="11" t="inlineStr">
        <is>
          <t>1,50 mm kalınlığında sıcak haddelenmiş sacdan bükme kapı kasası yapılması ve yerine konulması</t>
        </is>
      </c>
      <c r="E24" s="12" t="inlineStr">
        <is>
          <t>kg</t>
        </is>
      </c>
      <c r="F24" s="13" t="n">
        <v>54.315</v>
      </c>
    </row>
    <row r="25" ht="14" customHeight="1">
      <c r="A25" s="8" t="inlineStr">
        <is>
          <t>Sıva, alçı, derz ve şap işleri</t>
        </is>
      </c>
      <c r="B25" s="9" t="n">
        <v>1</v>
      </c>
      <c r="C25" s="10" t="inlineStr">
        <is>
          <t>15.275.1116</t>
        </is>
      </c>
      <c r="D25" s="11" t="inlineStr">
        <is>
          <t>250 kg çimento dozlu harç ile kaba sıva yapılması</t>
        </is>
      </c>
      <c r="E25" s="12" t="inlineStr">
        <is>
          <t>m²</t>
        </is>
      </c>
      <c r="F25" s="13" t="n">
        <v>557.76</v>
      </c>
    </row>
    <row r="26" ht="14" customHeight="1">
      <c r="A26" s="15" t="n"/>
      <c r="B26" s="9" t="n">
        <v>2</v>
      </c>
      <c r="C26" s="10" t="inlineStr">
        <is>
          <t>15.275.1117</t>
        </is>
      </c>
      <c r="D26" s="11" t="inlineStr">
        <is>
          <t>200 kg çimento ve kireç karışımı harç ile kaba sıva yapılması (iç cephe)</t>
        </is>
      </c>
      <c r="E26" s="12" t="inlineStr">
        <is>
          <t>m²</t>
        </is>
      </c>
      <c r="F26" s="13" t="n">
        <v>647.76</v>
      </c>
    </row>
    <row r="27" ht="21" customHeight="1">
      <c r="A27" s="8" t="inlineStr">
        <is>
          <t>Boya, badana ve cila işleri</t>
        </is>
      </c>
      <c r="B27" s="9" t="n">
        <v>1</v>
      </c>
      <c r="C27" s="10" t="inlineStr">
        <is>
          <t>15.540.1606</t>
        </is>
      </c>
      <c r="D27" s="11" t="inlineStr">
        <is>
          <t>Brüt beton, sıvalı veya eski boyalı yüzeylere astar uygulanarak silikon esaslı su bazlı dış cephe boyası yapılması</t>
        </is>
      </c>
      <c r="E27" s="12" t="inlineStr">
        <is>
          <t>m²</t>
        </is>
      </c>
      <c r="F27" s="13" t="n">
        <v>557.76</v>
      </c>
    </row>
    <row r="28" ht="21" customHeight="1">
      <c r="A28" s="15" t="n"/>
      <c r="B28" s="9" t="n">
        <v>2</v>
      </c>
      <c r="C28" s="10" t="inlineStr">
        <is>
          <t>15.540.1537</t>
        </is>
      </c>
      <c r="D28" s="11" t="inlineStr">
        <is>
          <t>Yeni sıva yüzeylere astar uygulanarak iki kat su bazlı plastik antibakteriyel iç cephe boyası yapılması</t>
        </is>
      </c>
      <c r="E28" s="12" t="inlineStr">
        <is>
          <t>m²</t>
        </is>
      </c>
      <c r="F28" s="13" t="n">
        <v>612.76</v>
      </c>
    </row>
    <row r="29" ht="31.5" customHeight="1">
      <c r="A29" s="8" t="inlineStr">
        <is>
          <t>İnce yapı ve tamamlayıcı imalatlar</t>
        </is>
      </c>
      <c r="B29" s="9" t="n">
        <v>1</v>
      </c>
      <c r="C29" s="10" t="inlineStr">
        <is>
          <t>TKDK-0177</t>
        </is>
      </c>
      <c r="D29" s="11" t="inlineStr">
        <is>
          <t>(25x70 - 25x75 - 40x80 cm) anma ebatlarında, her türlü desen ve yüzey özelliğinde, renkli duvar karosu ile 3 mm derz aralıklı döşeme, duvar ve cephe kaplaması yapılması (karo yapıştırıcısı ile)</t>
        </is>
      </c>
      <c r="E29" s="12" t="inlineStr">
        <is>
          <t>m²</t>
        </is>
      </c>
      <c r="F29" s="13" t="n">
        <v>60</v>
      </c>
    </row>
    <row r="30" ht="21" customHeight="1">
      <c r="A30" s="8" t="inlineStr">
        <is>
          <t>Kanalizasyon işleri</t>
        </is>
      </c>
      <c r="B30" s="9" t="n">
        <v>1</v>
      </c>
      <c r="C30" s="10" t="inlineStr">
        <is>
          <t>43.527.1001</t>
        </is>
      </c>
      <c r="D30" s="11" t="inlineStr">
        <is>
          <t>Çapı 150 mm HDPE koruge boru döşenmesi (SN 8, lastik conta ve boru bedeli dahil)</t>
        </is>
      </c>
      <c r="E30" s="12" t="inlineStr">
        <is>
          <t>m</t>
        </is>
      </c>
      <c r="F30" s="13" t="n">
        <v>25</v>
      </c>
    </row>
    <row r="31" ht="14" customHeight="1">
      <c r="A31" s="8" t="inlineStr">
        <is>
          <t>Elektrik tesisatı ve aydınlatma</t>
        </is>
      </c>
      <c r="B31" s="9" t="n">
        <v>1</v>
      </c>
      <c r="C31" s="10" t="inlineStr">
        <is>
          <t>30.100.2105</t>
        </is>
      </c>
      <c r="D31" s="11" t="inlineStr">
        <is>
          <t>Kümes dağıtım panosu (sıva üstü galvanizli sac tablo, 0,40-0,50 m²)</t>
        </is>
      </c>
      <c r="E31" s="12" t="inlineStr">
        <is>
          <t>ad</t>
        </is>
      </c>
      <c r="F31" s="13" t="n">
        <v>1</v>
      </c>
    </row>
    <row r="32" ht="14" customHeight="1">
      <c r="A32" s="14" t="n"/>
      <c r="B32" s="9" t="n">
        <v>2</v>
      </c>
      <c r="C32" s="10" t="inlineStr">
        <is>
          <t>30.110.1102</t>
        </is>
      </c>
      <c r="D32" s="11" t="inlineStr">
        <is>
          <t>Termik-manyetik kompakt şalter 3x100 A, Icu 35 kA — kümes besleme</t>
        </is>
      </c>
      <c r="E32" s="12" t="inlineStr">
        <is>
          <t>ad</t>
        </is>
      </c>
      <c r="F32" s="13" t="n">
        <v>1</v>
      </c>
    </row>
    <row r="33" ht="14" customHeight="1">
      <c r="A33" s="14" t="n"/>
      <c r="B33" s="9" t="n">
        <v>3</v>
      </c>
      <c r="C33" s="10" t="inlineStr">
        <is>
          <t>30.115.1003</t>
        </is>
      </c>
      <c r="D33" s="11" t="inlineStr">
        <is>
          <t>Kaçak akım koruma şalteri 2x63 A, 30 mA</t>
        </is>
      </c>
      <c r="E33" s="12" t="inlineStr">
        <is>
          <t>ad</t>
        </is>
      </c>
      <c r="F33" s="13" t="n">
        <v>2</v>
      </c>
    </row>
    <row r="34" ht="14" customHeight="1">
      <c r="A34" s="14" t="n"/>
      <c r="B34" s="9" t="n">
        <v>4</v>
      </c>
      <c r="C34" s="10" t="inlineStr">
        <is>
          <t>30.140.3104</t>
        </is>
      </c>
      <c r="D34" s="11" t="inlineStr">
        <is>
          <t>YVV (NYY) 1 kV yeraltı kablosu ile kolon hattı tesisi — 1x25 mm²</t>
        </is>
      </c>
      <c r="E34" s="12" t="inlineStr">
        <is>
          <t>m</t>
        </is>
      </c>
      <c r="F34" s="13" t="n">
        <v>300</v>
      </c>
    </row>
    <row r="35" ht="21" customHeight="1">
      <c r="A35" s="14" t="n"/>
      <c r="B35" s="9" t="n">
        <v>5</v>
      </c>
      <c r="C35" s="10" t="inlineStr">
        <is>
          <t>30.170.1602</t>
        </is>
      </c>
      <c r="D35" s="11" t="inlineStr">
        <is>
          <t>LED sıva üstü etanj armatür (polikarbon gövdeli), ışık akısı en az 2700 lm — kümes genel aydınlatması</t>
        </is>
      </c>
      <c r="E35" s="12" t="inlineStr">
        <is>
          <t>ad</t>
        </is>
      </c>
      <c r="F35" s="13" t="n">
        <v>30</v>
      </c>
    </row>
    <row r="36" ht="21" customHeight="1">
      <c r="A36" s="14" t="n"/>
      <c r="B36" s="9" t="n">
        <v>6</v>
      </c>
      <c r="C36" s="10" t="inlineStr">
        <is>
          <t>30.170.1601</t>
        </is>
      </c>
      <c r="D36" s="11" t="inlineStr">
        <is>
          <t>LED sıva üstü etanj armatür (polikarbon gövdeli), ışık akısı en az 1800 lm — servis bölümü</t>
        </is>
      </c>
      <c r="E36" s="12" t="inlineStr">
        <is>
          <t>ad</t>
        </is>
      </c>
      <c r="F36" s="13" t="n">
        <v>2</v>
      </c>
    </row>
    <row r="37" ht="14" customHeight="1">
      <c r="A37" s="14" t="n"/>
      <c r="B37" s="9" t="n">
        <v>7</v>
      </c>
      <c r="C37" s="10" t="inlineStr">
        <is>
          <t>30.160.6102</t>
        </is>
      </c>
      <c r="D37" s="11" t="inlineStr">
        <is>
          <t>Boş boru döşemesi — 25-32 mm PVC boru</t>
        </is>
      </c>
      <c r="E37" s="12" t="inlineStr">
        <is>
          <t>m</t>
        </is>
      </c>
      <c r="F37" s="13" t="n">
        <v>500</v>
      </c>
    </row>
    <row r="38" ht="14" customHeight="1">
      <c r="A38" s="14" t="n"/>
      <c r="B38" s="9" t="n">
        <v>8</v>
      </c>
      <c r="C38" s="10" t="inlineStr">
        <is>
          <t>30.150.1402</t>
        </is>
      </c>
      <c r="D38" s="11" t="inlineStr">
        <is>
          <t>Halojensiz H07Z tipi iletken 1x2,5 mm² ile tesisat</t>
        </is>
      </c>
      <c r="E38" s="12" t="inlineStr">
        <is>
          <t>m</t>
        </is>
      </c>
      <c r="F38" s="13" t="n">
        <v>2000</v>
      </c>
    </row>
    <row r="39" ht="14" customHeight="1">
      <c r="A39" s="14" t="n"/>
      <c r="B39" s="9" t="n">
        <v>9</v>
      </c>
      <c r="C39" s="10" t="inlineStr">
        <is>
          <t>30.150.1401</t>
        </is>
      </c>
      <c r="D39" s="11" t="inlineStr">
        <is>
          <t>Halojensiz H07Z tipi iletken 1x1,5 mm² ile kumanda tesisatı</t>
        </is>
      </c>
      <c r="E39" s="12" t="inlineStr">
        <is>
          <t>m</t>
        </is>
      </c>
      <c r="F39" s="13" t="n">
        <v>600</v>
      </c>
    </row>
    <row r="40" ht="14" customHeight="1">
      <c r="A40" s="14" t="n"/>
      <c r="B40" s="9" t="n">
        <v>10</v>
      </c>
      <c r="C40" s="10" t="inlineStr">
        <is>
          <t>30.140.1105</t>
        </is>
      </c>
      <c r="D40" s="11" t="inlineStr">
        <is>
          <t>Çıplak bakır tel 25 mm² — eşpotansiyel bara ve topraklama iletkeni</t>
        </is>
      </c>
      <c r="E40" s="12" t="inlineStr">
        <is>
          <t>m</t>
        </is>
      </c>
      <c r="F40" s="13" t="n">
        <v>100</v>
      </c>
    </row>
    <row r="41" ht="21" customHeight="1">
      <c r="A41" s="14" t="n"/>
      <c r="B41" s="9" t="n">
        <v>11</v>
      </c>
      <c r="C41" s="10" t="inlineStr">
        <is>
          <t>30.750.3002</t>
        </is>
      </c>
      <c r="D41" s="11" t="inlineStr">
        <is>
          <t>Bina ihata iletkeni tesisatı — 30x3,5 mm galvanizli çelik lama (temel topraklaması)</t>
        </is>
      </c>
      <c r="E41" s="12" t="inlineStr">
        <is>
          <t>m</t>
        </is>
      </c>
      <c r="F41" s="13" t="n">
        <v>186</v>
      </c>
    </row>
    <row r="42" ht="14" customHeight="1">
      <c r="A42" s="14" t="n"/>
      <c r="B42" s="9" t="n">
        <v>12</v>
      </c>
      <c r="C42" s="10" t="inlineStr">
        <is>
          <t>30.750.1502</t>
        </is>
      </c>
      <c r="D42" s="11" t="inlineStr">
        <is>
          <t>Aktif yakalama ucu, ortalama uyarım yolu DL = 30-40 m</t>
        </is>
      </c>
      <c r="E42" s="12" t="inlineStr">
        <is>
          <t>ad</t>
        </is>
      </c>
      <c r="F42" s="13" t="n">
        <v>1</v>
      </c>
    </row>
    <row r="43" ht="14" customHeight="1">
      <c r="A43" s="14" t="n"/>
      <c r="B43" s="9" t="n">
        <v>13</v>
      </c>
      <c r="C43" s="10" t="inlineStr">
        <is>
          <t>30.750.2001</t>
        </is>
      </c>
      <c r="D43" s="11" t="inlineStr">
        <is>
          <t>Çatı ihata ve indirme iletkeni tesisatı — 50 mm² elektrolitik bakır tel</t>
        </is>
      </c>
      <c r="E43" s="12" t="inlineStr">
        <is>
          <t>m</t>
        </is>
      </c>
      <c r="F43" s="13" t="n">
        <v>16</v>
      </c>
    </row>
    <row r="44" ht="21" customHeight="1">
      <c r="A44" s="14" t="n"/>
      <c r="B44" s="9" t="n">
        <v>14</v>
      </c>
      <c r="C44" s="10" t="inlineStr">
        <is>
          <t>30.740.1106</t>
        </is>
      </c>
      <c r="D44" s="11" t="inlineStr">
        <is>
          <t>Dizel elektrojen grubu (jeneratör) 63 kVA / 50 kW — dizel motoru su veya hava ile soğuyan cinsten, 1500 d/dak</t>
        </is>
      </c>
      <c r="E44" s="12" t="inlineStr">
        <is>
          <t>ad</t>
        </is>
      </c>
      <c r="F44" s="13" t="n">
        <v>1</v>
      </c>
    </row>
    <row r="45" ht="14" customHeight="1">
      <c r="A45" s="14" t="n"/>
      <c r="B45" s="9" t="n">
        <v>15</v>
      </c>
      <c r="C45" s="10" t="inlineStr">
        <is>
          <t>30.740.5406</t>
        </is>
      </c>
      <c r="D45" s="11" t="inlineStr">
        <is>
          <t>Jeneratör ses izolasyon kabini — 63 kVA</t>
        </is>
      </c>
      <c r="E45" s="12" t="inlineStr">
        <is>
          <t>ad</t>
        </is>
      </c>
      <c r="F45" s="13" t="n">
        <v>1</v>
      </c>
    </row>
    <row r="46" ht="14" customHeight="1">
      <c r="A46" s="15" t="n"/>
      <c r="B46" s="9" t="n">
        <v>16</v>
      </c>
      <c r="C46" s="10" t="inlineStr">
        <is>
          <t>30.120.2016</t>
        </is>
      </c>
      <c r="D46" s="11" t="inlineStr">
        <is>
          <t>Otomatik transfer şalteri 4 x 200 A</t>
        </is>
      </c>
      <c r="E46" s="12" t="inlineStr">
        <is>
          <t>ad</t>
        </is>
      </c>
      <c r="F46" s="13" t="n">
        <v>1</v>
      </c>
    </row>
    <row r="47"/>
    <row r="48" ht="20" customHeight="1">
      <c r="A48" s="4" t="inlineStr">
        <is>
          <t>&lt; Kümes B Blok &gt;   —   inşaat alanı 1.106.00 m²</t>
        </is>
      </c>
    </row>
    <row r="49" ht="24" customHeight="1">
      <c r="A49" s="5" t="inlineStr">
        <is>
          <t>A blok ile geometrik olarak birebir aynıdır.</t>
        </is>
      </c>
      <c r="B49" s="6" t="n"/>
      <c r="C49" s="6" t="n"/>
      <c r="D49" s="6" t="n"/>
      <c r="E49" s="6" t="n"/>
      <c r="F49" s="6" t="n"/>
    </row>
    <row r="50" ht="28" customHeight="1">
      <c r="A50" s="7" t="inlineStr">
        <is>
          <t>Uygun Harcama Kaleminin EK-1'de yer alan adı</t>
        </is>
      </c>
      <c r="B50" s="7" t="inlineStr">
        <is>
          <t>No</t>
        </is>
      </c>
      <c r="C50" s="7" t="inlineStr">
        <is>
          <t>Poz No</t>
        </is>
      </c>
      <c r="D50" s="7" t="inlineStr">
        <is>
          <t>Yapım İşinin Adı</t>
        </is>
      </c>
      <c r="E50" s="7" t="inlineStr">
        <is>
          <t>Birimi</t>
        </is>
      </c>
      <c r="F50" s="7" t="inlineStr">
        <is>
          <t>Miktarı</t>
        </is>
      </c>
    </row>
    <row r="51" ht="14" customHeight="1">
      <c r="A51" s="8" t="inlineStr">
        <is>
          <t>Kazı, dolgu ve reglaj işleri</t>
        </is>
      </c>
      <c r="B51" s="9" t="n">
        <v>1</v>
      </c>
      <c r="C51" s="10" t="inlineStr">
        <is>
          <t>15.120.1001</t>
        </is>
      </c>
      <c r="D51" s="11" t="inlineStr">
        <is>
          <t>Makine ile yumuşak ve sert toprak kazılması</t>
        </is>
      </c>
      <c r="E51" s="12" t="inlineStr">
        <is>
          <t>m³</t>
        </is>
      </c>
      <c r="F51" s="13" t="n">
        <v>1684.38</v>
      </c>
    </row>
    <row r="52" ht="31.5" customHeight="1">
      <c r="A52" s="8" t="inlineStr">
        <is>
          <t>Beton işleri</t>
        </is>
      </c>
      <c r="B52" s="9" t="n">
        <v>1</v>
      </c>
      <c r="C52" s="10" t="inlineStr">
        <is>
          <t>15.150.1003</t>
        </is>
      </c>
      <c r="D52" s="11" t="inlineStr">
        <is>
          <t>Beton santralinde üretilen veya satın alınan ve beton pompasıyla basılan, C 16/20 basınç dayanım sınıfında, gri renkte, normal hazır beton dökülmesi (beton nakli dahil)</t>
        </is>
      </c>
      <c r="E52" s="12" t="inlineStr">
        <is>
          <t>m³</t>
        </is>
      </c>
      <c r="F52" s="13" t="n">
        <v>31.428</v>
      </c>
    </row>
    <row r="53" ht="31.5" customHeight="1">
      <c r="A53" s="8" t="inlineStr">
        <is>
          <t>Betonarme işleri</t>
        </is>
      </c>
      <c r="B53" s="9" t="n">
        <v>1</v>
      </c>
      <c r="C53" s="10" t="inlineStr">
        <is>
          <t>15.150.1005</t>
        </is>
      </c>
      <c r="D53" s="11" t="inlineStr">
        <is>
          <t>Beton santralinde üretilen veya satın alınan ve beton pompasıyla basılan, C 25/30 basınç dayanım sınıfında, gri renkte, normal hazır beton dökülmesi (beton nakli dahil)</t>
        </is>
      </c>
      <c r="E53" s="12" t="inlineStr">
        <is>
          <t>m³</t>
        </is>
      </c>
      <c r="F53" s="13" t="n">
        <v>278.34</v>
      </c>
    </row>
    <row r="54" ht="14" customHeight="1">
      <c r="A54" s="8" t="inlineStr">
        <is>
          <t>Kalıp, yapı iskelesi işleri</t>
        </is>
      </c>
      <c r="B54" s="9" t="n">
        <v>1</v>
      </c>
      <c r="C54" s="10" t="inlineStr">
        <is>
          <t>15.180.1003</t>
        </is>
      </c>
      <c r="D54" s="11" t="inlineStr">
        <is>
          <t>Plywood ile düz yüzeyli betonarme kalıbı yapılması</t>
        </is>
      </c>
      <c r="E54" s="12" t="inlineStr">
        <is>
          <t>m²</t>
        </is>
      </c>
      <c r="F54" s="13" t="n">
        <v>551.26</v>
      </c>
    </row>
    <row r="55" ht="21" customHeight="1">
      <c r="A55" s="8" t="inlineStr">
        <is>
          <t>Demir-inşaat işleri</t>
        </is>
      </c>
      <c r="B55" s="9" t="n">
        <v>1</v>
      </c>
      <c r="C55" s="10" t="inlineStr">
        <is>
          <t>15.160.1003</t>
        </is>
      </c>
      <c r="D55" s="11" t="inlineStr">
        <is>
          <t>Ø 8 - Ø 12 mm nervürlü beton çelik çubuğu, çubukların kesilmesi, bükülmesi ve yerine konulması</t>
        </is>
      </c>
      <c r="E55" s="12" t="inlineStr">
        <is>
          <t>ton</t>
        </is>
      </c>
      <c r="F55" s="13" t="n">
        <v>4.16</v>
      </c>
    </row>
    <row r="56" ht="21" customHeight="1">
      <c r="A56" s="14" t="n"/>
      <c r="B56" s="9" t="n">
        <v>2</v>
      </c>
      <c r="C56" s="10" t="inlineStr">
        <is>
          <t>15.160.1004</t>
        </is>
      </c>
      <c r="D56" s="11" t="inlineStr">
        <is>
          <t>Ø 14 - Ø 28 mm nervürlü beton çelik çubuğu, çubukların kesilmesi, bükülmesi ve yerine konulması</t>
        </is>
      </c>
      <c r="E56" s="12" t="inlineStr">
        <is>
          <t>ton</t>
        </is>
      </c>
      <c r="F56" s="13" t="n">
        <v>7.287</v>
      </c>
    </row>
    <row r="57" ht="14" customHeight="1">
      <c r="A57" s="15" t="n"/>
      <c r="B57" s="9" t="n">
        <v>3</v>
      </c>
      <c r="C57" s="10" t="inlineStr">
        <is>
          <t>15.160.1002</t>
        </is>
      </c>
      <c r="D57" s="11" t="inlineStr">
        <is>
          <t>Nervürlü çelik hasırın yerine konulması</t>
        </is>
      </c>
      <c r="E57" s="12" t="inlineStr">
        <is>
          <t>ton</t>
        </is>
      </c>
      <c r="F57" s="13" t="n">
        <v>3.637</v>
      </c>
    </row>
    <row r="58" ht="21" customHeight="1">
      <c r="A58" s="8" t="inlineStr">
        <is>
          <t>Çelik yapım-imalat işleri</t>
        </is>
      </c>
      <c r="B58" s="9" t="n">
        <v>1</v>
      </c>
      <c r="C58" s="10" t="inlineStr">
        <is>
          <t>15.165.1003</t>
        </is>
      </c>
      <c r="D58" s="11" t="inlineStr">
        <is>
          <t>Her çeşit profil, çelik çubuk ve çelik saclarla karkas (çerçeve) inşaat yapılması, yerine tespiti (boya bedeli hariç)</t>
        </is>
      </c>
      <c r="E58" s="12" t="inlineStr">
        <is>
          <t>ton</t>
        </is>
      </c>
      <c r="F58" s="13" t="n">
        <v>44.048</v>
      </c>
    </row>
    <row r="59" ht="14" customHeight="1">
      <c r="A59" s="15" t="n"/>
      <c r="B59" s="9" t="n">
        <v>2</v>
      </c>
      <c r="C59" s="10" t="inlineStr">
        <is>
          <t>15.550.1202</t>
        </is>
      </c>
      <c r="D59" s="11" t="inlineStr">
        <is>
          <t>Lama ve profil demirlerden çeşitli demir işleri yapılması ve yerine konulması</t>
        </is>
      </c>
      <c r="E59" s="12" t="inlineStr">
        <is>
          <t>kg</t>
        </is>
      </c>
      <c r="F59" s="13" t="n">
        <v>674</v>
      </c>
    </row>
    <row r="60" ht="21" customHeight="1">
      <c r="A60" s="8" t="inlineStr">
        <is>
          <t>Tuğla ve duvar işleri</t>
        </is>
      </c>
      <c r="B60" s="9" t="n">
        <v>1</v>
      </c>
      <c r="C60" s="10" t="inlineStr">
        <is>
          <t>15.225.1010</t>
        </is>
      </c>
      <c r="D60" s="11" t="inlineStr">
        <is>
          <t>20 cm kalınlığındaki teçhizatsız gazbeton duvar blokları ile duvar yapılması (gazbeton tutkalı ile)</t>
        </is>
      </c>
      <c r="E60" s="12" t="inlineStr">
        <is>
          <t>m²</t>
        </is>
      </c>
      <c r="F60" s="13" t="n">
        <v>507.91</v>
      </c>
    </row>
    <row r="61" ht="14" customHeight="1">
      <c r="A61" s="14" t="n"/>
      <c r="B61" s="9" t="n">
        <v>2</v>
      </c>
      <c r="C61" s="10" t="inlineStr">
        <is>
          <t>15.225.1410</t>
        </is>
      </c>
      <c r="D61" s="11" t="inlineStr">
        <is>
          <t>20 cm kalınlığındaki teçhizatlı gazbeton lento temini ve yerine konulması</t>
        </is>
      </c>
      <c r="E61" s="12" t="inlineStr">
        <is>
          <t>m²</t>
        </is>
      </c>
      <c r="F61" s="13" t="n">
        <v>49.85</v>
      </c>
    </row>
    <row r="62" ht="21" customHeight="1">
      <c r="A62" s="15" t="n"/>
      <c r="B62" s="9" t="n">
        <v>3</v>
      </c>
      <c r="C62" s="10" t="inlineStr">
        <is>
          <t>15.225.1004</t>
        </is>
      </c>
      <c r="D62" s="11" t="inlineStr">
        <is>
          <t>10 cm kalınlığındaki teçhizatsız gazbeton duvar blokları ile duvar yapılması (gazbeton tutkalı ile)</t>
        </is>
      </c>
      <c r="E62" s="12" t="inlineStr">
        <is>
          <t>m²</t>
        </is>
      </c>
      <c r="F62" s="13" t="n">
        <v>45</v>
      </c>
    </row>
    <row r="63" ht="21" customHeight="1">
      <c r="A63" s="8" t="inlineStr">
        <is>
          <t>Çatı ve sundurma işleri</t>
        </is>
      </c>
      <c r="B63" s="9" t="n">
        <v>1</v>
      </c>
      <c r="C63" s="10" t="inlineStr">
        <is>
          <t>TKDK-0042</t>
        </is>
      </c>
      <c r="D63" s="11" t="inlineStr">
        <is>
          <t>6 cm poliüretan dolgulu (üst min. 0,40 mm, alt min. 0,30 mm) boyalı galvanizli sac levhalar ile ısı yalıtımlı çatı kaplaması yapılması</t>
        </is>
      </c>
      <c r="E63" s="12" t="inlineStr">
        <is>
          <t>m²</t>
        </is>
      </c>
      <c r="F63" s="13" t="n">
        <v>1204.98</v>
      </c>
    </row>
    <row r="64" ht="14" customHeight="1">
      <c r="A64" s="15" t="n"/>
      <c r="B64" s="9" t="n">
        <v>2</v>
      </c>
      <c r="C64" s="10" t="inlineStr">
        <is>
          <t>TKDK-0115</t>
        </is>
      </c>
      <c r="D64" s="11" t="inlineStr">
        <is>
          <t>Galvanizli düz sacdan yağmur oluğu veya iniş borusu yapılması</t>
        </is>
      </c>
      <c r="E64" s="12" t="inlineStr">
        <is>
          <t>kg</t>
        </is>
      </c>
      <c r="F64" s="13" t="n">
        <v>360.16</v>
      </c>
    </row>
    <row r="65" ht="21" customHeight="1">
      <c r="A65" s="8" t="inlineStr">
        <is>
          <t>Doğramacılık işleri (Demir, Alüminyum, PVC, Kompozit)</t>
        </is>
      </c>
      <c r="B65" s="9" t="n">
        <v>1</v>
      </c>
      <c r="C65" s="10" t="inlineStr">
        <is>
          <t>TKDK-0151</t>
        </is>
      </c>
      <c r="D65" s="11" t="inlineStr">
        <is>
          <t>5 cm poliüretan dolgulu (üst 0,50 mm düz, alt 0,40 mm düz) fabrikasyon rulo boyama sistemi ile boyanmış galvaniz levhalar ile ısı yalıtımlı kapı yapılması</t>
        </is>
      </c>
      <c r="E65" s="12" t="inlineStr">
        <is>
          <t>m²</t>
        </is>
      </c>
      <c r="F65" s="13" t="n">
        <v>13.4</v>
      </c>
    </row>
    <row r="66" ht="21" customHeight="1">
      <c r="A66" s="14" t="n"/>
      <c r="B66" s="9" t="n">
        <v>2</v>
      </c>
      <c r="C66" s="10" t="inlineStr">
        <is>
          <t>TKDK-0175</t>
        </is>
      </c>
      <c r="D66" s="11" t="inlineStr">
        <is>
          <t>PVC kaplamalı, iki yüzü odun lifinden yapılmış levhalarla (MDF) presli, kraft dolgulu iç kapı kanadı yapılması, yerinde takılması</t>
        </is>
      </c>
      <c r="E66" s="12" t="inlineStr">
        <is>
          <t>m²</t>
        </is>
      </c>
      <c r="F66" s="13" t="n">
        <v>5.67</v>
      </c>
    </row>
    <row r="67" ht="21" customHeight="1">
      <c r="A67" s="15" t="n"/>
      <c r="B67" s="9" t="n">
        <v>3</v>
      </c>
      <c r="C67" s="10" t="inlineStr">
        <is>
          <t>15.550.1002</t>
        </is>
      </c>
      <c r="D67" s="11" t="inlineStr">
        <is>
          <t>1,50 mm kalınlığında sıcak haddelenmiş sacdan bükme kapı kasası yapılması ve yerine konulması</t>
        </is>
      </c>
      <c r="E67" s="12" t="inlineStr">
        <is>
          <t>kg</t>
        </is>
      </c>
      <c r="F67" s="13" t="n">
        <v>54.315</v>
      </c>
    </row>
    <row r="68" ht="14" customHeight="1">
      <c r="A68" s="8" t="inlineStr">
        <is>
          <t>Sıva, alçı, derz ve şap işleri</t>
        </is>
      </c>
      <c r="B68" s="9" t="n">
        <v>1</v>
      </c>
      <c r="C68" s="10" t="inlineStr">
        <is>
          <t>15.275.1116</t>
        </is>
      </c>
      <c r="D68" s="11" t="inlineStr">
        <is>
          <t>250 kg çimento dozlu harç ile kaba sıva yapılması</t>
        </is>
      </c>
      <c r="E68" s="12" t="inlineStr">
        <is>
          <t>m²</t>
        </is>
      </c>
      <c r="F68" s="13" t="n">
        <v>557.76</v>
      </c>
    </row>
    <row r="69" ht="14" customHeight="1">
      <c r="A69" s="15" t="n"/>
      <c r="B69" s="9" t="n">
        <v>2</v>
      </c>
      <c r="C69" s="10" t="inlineStr">
        <is>
          <t>15.275.1117</t>
        </is>
      </c>
      <c r="D69" s="11" t="inlineStr">
        <is>
          <t>200 kg çimento ve kireç karışımı harç ile kaba sıva yapılması (iç cephe)</t>
        </is>
      </c>
      <c r="E69" s="12" t="inlineStr">
        <is>
          <t>m²</t>
        </is>
      </c>
      <c r="F69" s="13" t="n">
        <v>647.76</v>
      </c>
    </row>
    <row r="70" ht="21" customHeight="1">
      <c r="A70" s="8" t="inlineStr">
        <is>
          <t>Boya, badana ve cila işleri</t>
        </is>
      </c>
      <c r="B70" s="9" t="n">
        <v>1</v>
      </c>
      <c r="C70" s="10" t="inlineStr">
        <is>
          <t>15.540.1606</t>
        </is>
      </c>
      <c r="D70" s="11" t="inlineStr">
        <is>
          <t>Brüt beton, sıvalı veya eski boyalı yüzeylere astar uygulanarak silikon esaslı su bazlı dış cephe boyası yapılması</t>
        </is>
      </c>
      <c r="E70" s="12" t="inlineStr">
        <is>
          <t>m²</t>
        </is>
      </c>
      <c r="F70" s="13" t="n">
        <v>557.76</v>
      </c>
    </row>
    <row r="71" ht="21" customHeight="1">
      <c r="A71" s="15" t="n"/>
      <c r="B71" s="9" t="n">
        <v>2</v>
      </c>
      <c r="C71" s="10" t="inlineStr">
        <is>
          <t>15.540.1537</t>
        </is>
      </c>
      <c r="D71" s="11" t="inlineStr">
        <is>
          <t>Yeni sıva yüzeylere astar uygulanarak iki kat su bazlı plastik antibakteriyel iç cephe boyası yapılması</t>
        </is>
      </c>
      <c r="E71" s="12" t="inlineStr">
        <is>
          <t>m²</t>
        </is>
      </c>
      <c r="F71" s="13" t="n">
        <v>612.76</v>
      </c>
    </row>
    <row r="72" ht="31.5" customHeight="1">
      <c r="A72" s="8" t="inlineStr">
        <is>
          <t>İnce yapı ve tamamlayıcı imalatlar</t>
        </is>
      </c>
      <c r="B72" s="9" t="n">
        <v>1</v>
      </c>
      <c r="C72" s="10" t="inlineStr">
        <is>
          <t>TKDK-0177</t>
        </is>
      </c>
      <c r="D72" s="11" t="inlineStr">
        <is>
          <t>(25x70 - 25x75 - 40x80 cm) anma ebatlarında, her türlü desen ve yüzey özelliğinde, renkli duvar karosu ile 3 mm derz aralıklı döşeme, duvar ve cephe kaplaması yapılması (karo yapıştırıcısı ile)</t>
        </is>
      </c>
      <c r="E72" s="12" t="inlineStr">
        <is>
          <t>m²</t>
        </is>
      </c>
      <c r="F72" s="13" t="n">
        <v>60</v>
      </c>
    </row>
    <row r="73" ht="21" customHeight="1">
      <c r="A73" s="8" t="inlineStr">
        <is>
          <t>Kanalizasyon işleri</t>
        </is>
      </c>
      <c r="B73" s="9" t="n">
        <v>1</v>
      </c>
      <c r="C73" s="10" t="inlineStr">
        <is>
          <t>43.527.1001</t>
        </is>
      </c>
      <c r="D73" s="11" t="inlineStr">
        <is>
          <t>Çapı 150 mm HDPE koruge boru döşenmesi (SN 8, lastik conta ve boru bedeli dahil)</t>
        </is>
      </c>
      <c r="E73" s="12" t="inlineStr">
        <is>
          <t>m</t>
        </is>
      </c>
      <c r="F73" s="13" t="n">
        <v>25</v>
      </c>
    </row>
    <row r="74" ht="14" customHeight="1">
      <c r="A74" s="8" t="inlineStr">
        <is>
          <t>Elektrik tesisatı ve aydınlatma</t>
        </is>
      </c>
      <c r="B74" s="9" t="n">
        <v>1</v>
      </c>
      <c r="C74" s="10" t="inlineStr">
        <is>
          <t>30.100.2105</t>
        </is>
      </c>
      <c r="D74" s="11" t="inlineStr">
        <is>
          <t>Kümes dağıtım panosu (sıva üstü galvanizli sac tablo, 0,40-0,50 m²)</t>
        </is>
      </c>
      <c r="E74" s="12" t="inlineStr">
        <is>
          <t>ad</t>
        </is>
      </c>
      <c r="F74" s="13" t="n">
        <v>1</v>
      </c>
    </row>
    <row r="75" ht="14" customHeight="1">
      <c r="A75" s="14" t="n"/>
      <c r="B75" s="9" t="n">
        <v>2</v>
      </c>
      <c r="C75" s="10" t="inlineStr">
        <is>
          <t>30.110.1102</t>
        </is>
      </c>
      <c r="D75" s="11" t="inlineStr">
        <is>
          <t>Termik-manyetik kompakt şalter 3x100 A, Icu 35 kA — kümes besleme</t>
        </is>
      </c>
      <c r="E75" s="12" t="inlineStr">
        <is>
          <t>ad</t>
        </is>
      </c>
      <c r="F75" s="13" t="n">
        <v>1</v>
      </c>
    </row>
    <row r="76" ht="14" customHeight="1">
      <c r="A76" s="14" t="n"/>
      <c r="B76" s="9" t="n">
        <v>3</v>
      </c>
      <c r="C76" s="10" t="inlineStr">
        <is>
          <t>30.115.1003</t>
        </is>
      </c>
      <c r="D76" s="11" t="inlineStr">
        <is>
          <t>Kaçak akım koruma şalteri 2x63 A, 30 mA</t>
        </is>
      </c>
      <c r="E76" s="12" t="inlineStr">
        <is>
          <t>ad</t>
        </is>
      </c>
      <c r="F76" s="13" t="n">
        <v>2</v>
      </c>
    </row>
    <row r="77" ht="14" customHeight="1">
      <c r="A77" s="14" t="n"/>
      <c r="B77" s="9" t="n">
        <v>4</v>
      </c>
      <c r="C77" s="10" t="inlineStr">
        <is>
          <t>30.140.3104</t>
        </is>
      </c>
      <c r="D77" s="11" t="inlineStr">
        <is>
          <t>YVV (NYY) 1 kV yeraltı kablosu ile kolon hattı tesisi — 1x25 mm²</t>
        </is>
      </c>
      <c r="E77" s="12" t="inlineStr">
        <is>
          <t>m</t>
        </is>
      </c>
      <c r="F77" s="13" t="n">
        <v>300</v>
      </c>
    </row>
    <row r="78" ht="21" customHeight="1">
      <c r="A78" s="14" t="n"/>
      <c r="B78" s="9" t="n">
        <v>5</v>
      </c>
      <c r="C78" s="10" t="inlineStr">
        <is>
          <t>30.170.1602</t>
        </is>
      </c>
      <c r="D78" s="11" t="inlineStr">
        <is>
          <t>LED sıva üstü etanj armatür (polikarbon gövdeli), ışık akısı en az 2700 lm — kümes genel aydınlatması</t>
        </is>
      </c>
      <c r="E78" s="12" t="inlineStr">
        <is>
          <t>ad</t>
        </is>
      </c>
      <c r="F78" s="13" t="n">
        <v>30</v>
      </c>
    </row>
    <row r="79" ht="21" customHeight="1">
      <c r="A79" s="14" t="n"/>
      <c r="B79" s="9" t="n">
        <v>6</v>
      </c>
      <c r="C79" s="10" t="inlineStr">
        <is>
          <t>30.170.1601</t>
        </is>
      </c>
      <c r="D79" s="11" t="inlineStr">
        <is>
          <t>LED sıva üstü etanj armatür (polikarbon gövdeli), ışık akısı en az 1800 lm — servis bölümü</t>
        </is>
      </c>
      <c r="E79" s="12" t="inlineStr">
        <is>
          <t>ad</t>
        </is>
      </c>
      <c r="F79" s="13" t="n">
        <v>2</v>
      </c>
    </row>
    <row r="80" ht="14" customHeight="1">
      <c r="A80" s="14" t="n"/>
      <c r="B80" s="9" t="n">
        <v>7</v>
      </c>
      <c r="C80" s="10" t="inlineStr">
        <is>
          <t>30.160.6102</t>
        </is>
      </c>
      <c r="D80" s="11" t="inlineStr">
        <is>
          <t>Boş boru döşemesi — 25-32 mm PVC boru</t>
        </is>
      </c>
      <c r="E80" s="12" t="inlineStr">
        <is>
          <t>m</t>
        </is>
      </c>
      <c r="F80" s="13" t="n">
        <v>500</v>
      </c>
    </row>
    <row r="81" ht="14" customHeight="1">
      <c r="A81" s="14" t="n"/>
      <c r="B81" s="9" t="n">
        <v>8</v>
      </c>
      <c r="C81" s="10" t="inlineStr">
        <is>
          <t>30.150.1402</t>
        </is>
      </c>
      <c r="D81" s="11" t="inlineStr">
        <is>
          <t>Halojensiz H07Z tipi iletken 1x2,5 mm² ile tesisat</t>
        </is>
      </c>
      <c r="E81" s="12" t="inlineStr">
        <is>
          <t>m</t>
        </is>
      </c>
      <c r="F81" s="13" t="n">
        <v>2000</v>
      </c>
    </row>
    <row r="82" ht="14" customHeight="1">
      <c r="A82" s="14" t="n"/>
      <c r="B82" s="9" t="n">
        <v>9</v>
      </c>
      <c r="C82" s="10" t="inlineStr">
        <is>
          <t>30.150.1401</t>
        </is>
      </c>
      <c r="D82" s="11" t="inlineStr">
        <is>
          <t>Halojensiz H07Z tipi iletken 1x1,5 mm² ile kumanda tesisatı</t>
        </is>
      </c>
      <c r="E82" s="12" t="inlineStr">
        <is>
          <t>m</t>
        </is>
      </c>
      <c r="F82" s="13" t="n">
        <v>600</v>
      </c>
    </row>
    <row r="83" ht="14" customHeight="1">
      <c r="A83" s="14" t="n"/>
      <c r="B83" s="9" t="n">
        <v>10</v>
      </c>
      <c r="C83" s="10" t="inlineStr">
        <is>
          <t>30.140.1105</t>
        </is>
      </c>
      <c r="D83" s="11" t="inlineStr">
        <is>
          <t>Çıplak bakır tel 25 mm² — eşpotansiyel bara ve topraklama iletkeni</t>
        </is>
      </c>
      <c r="E83" s="12" t="inlineStr">
        <is>
          <t>m</t>
        </is>
      </c>
      <c r="F83" s="13" t="n">
        <v>100</v>
      </c>
    </row>
    <row r="84" ht="21" customHeight="1">
      <c r="A84" s="14" t="n"/>
      <c r="B84" s="9" t="n">
        <v>11</v>
      </c>
      <c r="C84" s="10" t="inlineStr">
        <is>
          <t>30.750.3002</t>
        </is>
      </c>
      <c r="D84" s="11" t="inlineStr">
        <is>
          <t>Bina ihata iletkeni tesisatı — 30x3,5 mm galvanizli çelik lama (temel topraklaması)</t>
        </is>
      </c>
      <c r="E84" s="12" t="inlineStr">
        <is>
          <t>m</t>
        </is>
      </c>
      <c r="F84" s="13" t="n">
        <v>186</v>
      </c>
    </row>
    <row r="85" ht="14" customHeight="1">
      <c r="A85" s="14" t="n"/>
      <c r="B85" s="9" t="n">
        <v>12</v>
      </c>
      <c r="C85" s="10" t="inlineStr">
        <is>
          <t>30.750.1502</t>
        </is>
      </c>
      <c r="D85" s="11" t="inlineStr">
        <is>
          <t>Aktif yakalama ucu, ortalama uyarım yolu DL = 30-40 m</t>
        </is>
      </c>
      <c r="E85" s="12" t="inlineStr">
        <is>
          <t>ad</t>
        </is>
      </c>
      <c r="F85" s="13" t="n">
        <v>1</v>
      </c>
    </row>
    <row r="86" ht="14" customHeight="1">
      <c r="A86" s="14" t="n"/>
      <c r="B86" s="9" t="n">
        <v>13</v>
      </c>
      <c r="C86" s="10" t="inlineStr">
        <is>
          <t>30.750.2001</t>
        </is>
      </c>
      <c r="D86" s="11" t="inlineStr">
        <is>
          <t>Çatı ihata ve indirme iletkeni tesisatı — 50 mm² elektrolitik bakır tel</t>
        </is>
      </c>
      <c r="E86" s="12" t="inlineStr">
        <is>
          <t>m</t>
        </is>
      </c>
      <c r="F86" s="13" t="n">
        <v>16</v>
      </c>
    </row>
    <row r="87" ht="21" customHeight="1">
      <c r="A87" s="14" t="n"/>
      <c r="B87" s="9" t="n">
        <v>14</v>
      </c>
      <c r="C87" s="10" t="inlineStr">
        <is>
          <t>30.740.1106</t>
        </is>
      </c>
      <c r="D87" s="11" t="inlineStr">
        <is>
          <t>Dizel elektrojen grubu (jeneratör) 63 kVA / 50 kW — dizel motoru su veya hava ile soğuyan cinsten, 1500 d/dak</t>
        </is>
      </c>
      <c r="E87" s="12" t="inlineStr">
        <is>
          <t>ad</t>
        </is>
      </c>
      <c r="F87" s="13" t="n">
        <v>1</v>
      </c>
    </row>
    <row r="88" ht="14" customHeight="1">
      <c r="A88" s="14" t="n"/>
      <c r="B88" s="9" t="n">
        <v>15</v>
      </c>
      <c r="C88" s="10" t="inlineStr">
        <is>
          <t>30.740.5406</t>
        </is>
      </c>
      <c r="D88" s="11" t="inlineStr">
        <is>
          <t>Jeneratör ses izolasyon kabini — 63 kVA</t>
        </is>
      </c>
      <c r="E88" s="12" t="inlineStr">
        <is>
          <t>ad</t>
        </is>
      </c>
      <c r="F88" s="13" t="n">
        <v>1</v>
      </c>
    </row>
    <row r="89" ht="14" customHeight="1">
      <c r="A89" s="15" t="n"/>
      <c r="B89" s="9" t="n">
        <v>16</v>
      </c>
      <c r="C89" s="10" t="inlineStr">
        <is>
          <t>30.120.2016</t>
        </is>
      </c>
      <c r="D89" s="11" t="inlineStr">
        <is>
          <t>Otomatik transfer şalteri 4 x 200 A</t>
        </is>
      </c>
      <c r="E89" s="12" t="inlineStr">
        <is>
          <t>ad</t>
        </is>
      </c>
      <c r="F89" s="13" t="n">
        <v>1</v>
      </c>
    </row>
    <row r="90"/>
    <row r="91" ht="20" customHeight="1">
      <c r="A91" s="4" t="inlineStr">
        <is>
          <t>&lt; Gübre Çukuru &gt;   —   inşaat alanı 115.00 m²</t>
        </is>
      </c>
    </row>
    <row r="92" ht="24" customHeight="1">
      <c r="A92" s="5" t="inlineStr">
        <is>
          <t>Dış ölçü 11,50 x 10,00 m; betonarme radye, perde ve üst döşeme.</t>
        </is>
      </c>
      <c r="B92" s="6" t="n"/>
      <c r="C92" s="6" t="n"/>
      <c r="D92" s="6" t="n"/>
      <c r="E92" s="6" t="n"/>
      <c r="F92" s="6" t="n"/>
    </row>
    <row r="93" ht="28" customHeight="1">
      <c r="A93" s="7" t="inlineStr">
        <is>
          <t>Uygun Harcama Kaleminin EK-1'de yer alan adı</t>
        </is>
      </c>
      <c r="B93" s="7" t="inlineStr">
        <is>
          <t>No</t>
        </is>
      </c>
      <c r="C93" s="7" t="inlineStr">
        <is>
          <t>Poz No</t>
        </is>
      </c>
      <c r="D93" s="7" t="inlineStr">
        <is>
          <t>Yapım İşinin Adı</t>
        </is>
      </c>
      <c r="E93" s="7" t="inlineStr">
        <is>
          <t>Birimi</t>
        </is>
      </c>
      <c r="F93" s="7" t="inlineStr">
        <is>
          <t>Miktarı</t>
        </is>
      </c>
    </row>
    <row r="94" ht="14" customHeight="1">
      <c r="A94" s="8" t="inlineStr">
        <is>
          <t>Kazı, dolgu ve reglaj işleri</t>
        </is>
      </c>
      <c r="B94" s="9" t="n">
        <v>1</v>
      </c>
      <c r="C94" s="10" t="inlineStr">
        <is>
          <t>15.120.1101</t>
        </is>
      </c>
      <c r="D94" s="11" t="inlineStr">
        <is>
          <t>Makine ile her derinlik ve her genişlikte yumuşak ve sert toprak kazılması</t>
        </is>
      </c>
      <c r="E94" s="12" t="inlineStr">
        <is>
          <t>m³</t>
        </is>
      </c>
      <c r="F94" s="13" t="n">
        <v>542.7</v>
      </c>
    </row>
    <row r="95" ht="31.5" customHeight="1">
      <c r="A95" s="8" t="inlineStr">
        <is>
          <t>Beton işleri</t>
        </is>
      </c>
      <c r="B95" s="9" t="n">
        <v>1</v>
      </c>
      <c r="C95" s="10" t="inlineStr">
        <is>
          <t>15.150.1003</t>
        </is>
      </c>
      <c r="D95" s="11" t="inlineStr">
        <is>
          <t>Beton santralinde üretilen veya satın alınan ve beton pompasıyla basılan, C 16/20 basınç dayanım sınıfında, gri renkte, normal hazır beton dökülmesi (beton nakli dahil)</t>
        </is>
      </c>
      <c r="E95" s="12" t="inlineStr">
        <is>
          <t>m³</t>
        </is>
      </c>
      <c r="F95" s="13" t="n">
        <v>11.934</v>
      </c>
    </row>
    <row r="96" ht="31.5" customHeight="1">
      <c r="A96" s="8" t="inlineStr">
        <is>
          <t>Betonarme işleri</t>
        </is>
      </c>
      <c r="B96" s="9" t="n">
        <v>1</v>
      </c>
      <c r="C96" s="10" t="inlineStr">
        <is>
          <t>15.150.1005</t>
        </is>
      </c>
      <c r="D96" s="11" t="inlineStr">
        <is>
          <t>Beton santralinde üretilen veya satın alınan ve beton pompasıyla basılan, C 25/30 basınç dayanım sınıfında, gri renkte, normal hazır beton dökülmesi (beton nakli dahil)</t>
        </is>
      </c>
      <c r="E96" s="12" t="inlineStr">
        <is>
          <t>m³</t>
        </is>
      </c>
      <c r="F96" s="13" t="n">
        <v>93.19</v>
      </c>
    </row>
    <row r="97" ht="14" customHeight="1">
      <c r="A97" s="8" t="inlineStr">
        <is>
          <t>Kalıp, yapı iskelesi işleri</t>
        </is>
      </c>
      <c r="B97" s="9" t="n">
        <v>1</v>
      </c>
      <c r="C97" s="10" t="inlineStr">
        <is>
          <t>15.180.1003</t>
        </is>
      </c>
      <c r="D97" s="11" t="inlineStr">
        <is>
          <t>Plywood ile düz yüzeyli betonarme kalıbı yapılması</t>
        </is>
      </c>
      <c r="E97" s="12" t="inlineStr">
        <is>
          <t>m²</t>
        </is>
      </c>
      <c r="F97" s="13" t="n">
        <v>363.26</v>
      </c>
    </row>
    <row r="98" ht="21" customHeight="1">
      <c r="A98" s="8" t="inlineStr">
        <is>
          <t>Demir-inşaat işleri</t>
        </is>
      </c>
      <c r="B98" s="9" t="n">
        <v>1</v>
      </c>
      <c r="C98" s="10" t="inlineStr">
        <is>
          <t>15.160.1003</t>
        </is>
      </c>
      <c r="D98" s="11" t="inlineStr">
        <is>
          <t>Ø 8 - Ø 12 mm nervürlü beton çelik çubuğu, çubukların kesilmesi, bükülmesi ve yerine konulması</t>
        </is>
      </c>
      <c r="E98" s="12" t="inlineStr">
        <is>
          <t>ton</t>
        </is>
      </c>
      <c r="F98" s="13" t="n">
        <v>7.599</v>
      </c>
    </row>
    <row r="99" ht="21" customHeight="1">
      <c r="A99" s="15" t="n"/>
      <c r="B99" s="9" t="n">
        <v>2</v>
      </c>
      <c r="C99" s="10" t="inlineStr">
        <is>
          <t>15.160.1004</t>
        </is>
      </c>
      <c r="D99" s="11" t="inlineStr">
        <is>
          <t>Ø 14 - Ø 28 mm nervürlü beton çelik çubuğu, çubukların kesilmesi, bükülmesi ve yerine konulması</t>
        </is>
      </c>
      <c r="E99" s="12" t="inlineStr">
        <is>
          <t>ton</t>
        </is>
      </c>
      <c r="F99" s="13" t="n">
        <v>0.5639999999999999</v>
      </c>
    </row>
    <row r="100"/>
    <row r="101" ht="20" customHeight="1">
      <c r="A101" s="4" t="inlineStr">
        <is>
          <t>&lt; Ölü Atma Çukuru &gt;   —   inşaat alanı 18.00 m²</t>
        </is>
      </c>
    </row>
    <row r="102" ht="24" customHeight="1">
      <c r="A102" s="5" t="inlineStr">
        <is>
          <t>Dış ölçü 6,00 x 3,00 m, betonarme sızdırmaz çukur.</t>
        </is>
      </c>
      <c r="B102" s="6" t="n"/>
      <c r="C102" s="6" t="n"/>
      <c r="D102" s="6" t="n"/>
      <c r="E102" s="6" t="n"/>
      <c r="F102" s="6" t="n"/>
    </row>
    <row r="103" ht="28" customHeight="1">
      <c r="A103" s="7" t="inlineStr">
        <is>
          <t>Uygun Harcama Kaleminin EK-1'de yer alan adı</t>
        </is>
      </c>
      <c r="B103" s="7" t="inlineStr">
        <is>
          <t>No</t>
        </is>
      </c>
      <c r="C103" s="7" t="inlineStr">
        <is>
          <t>Poz No</t>
        </is>
      </c>
      <c r="D103" s="7" t="inlineStr">
        <is>
          <t>Yapım İşinin Adı</t>
        </is>
      </c>
      <c r="E103" s="7" t="inlineStr">
        <is>
          <t>Birimi</t>
        </is>
      </c>
      <c r="F103" s="7" t="inlineStr">
        <is>
          <t>Miktarı</t>
        </is>
      </c>
    </row>
    <row r="104" ht="14" customHeight="1">
      <c r="A104" s="8" t="inlineStr">
        <is>
          <t>Kazı, dolgu ve reglaj işleri</t>
        </is>
      </c>
      <c r="B104" s="9" t="n">
        <v>1</v>
      </c>
      <c r="C104" s="10" t="inlineStr">
        <is>
          <t>15.120.1101</t>
        </is>
      </c>
      <c r="D104" s="11" t="inlineStr">
        <is>
          <t>Makine ile her derinlik ve her genişlikte yumuşak ve sert toprak kazılması</t>
        </is>
      </c>
      <c r="E104" s="12" t="inlineStr">
        <is>
          <t>m³</t>
        </is>
      </c>
      <c r="F104" s="13" t="n">
        <v>142</v>
      </c>
    </row>
    <row r="105" ht="31.5" customHeight="1">
      <c r="A105" s="8" t="inlineStr">
        <is>
          <t>Beton işleri</t>
        </is>
      </c>
      <c r="B105" s="9" t="n">
        <v>1</v>
      </c>
      <c r="C105" s="10" t="inlineStr">
        <is>
          <t>15.150.1003</t>
        </is>
      </c>
      <c r="D105" s="11" t="inlineStr">
        <is>
          <t>Beton santralinde üretilen veya satın alınan ve beton pompasıyla basılan, C 16/20 basınç dayanım sınıfında, gri renkte, normal hazır beton dökülmesi (beton nakli dahil)</t>
        </is>
      </c>
      <c r="E105" s="12" t="inlineStr">
        <is>
          <t>m³</t>
        </is>
      </c>
      <c r="F105" s="13" t="n">
        <v>1.984</v>
      </c>
    </row>
    <row r="106" ht="31.5" customHeight="1">
      <c r="A106" s="8" t="inlineStr">
        <is>
          <t>Betonarme işleri</t>
        </is>
      </c>
      <c r="B106" s="9" t="n">
        <v>1</v>
      </c>
      <c r="C106" s="10" t="inlineStr">
        <is>
          <t>15.150.1005</t>
        </is>
      </c>
      <c r="D106" s="11" t="inlineStr">
        <is>
          <t>Beton santralinde üretilen veya satın alınan ve beton pompasıyla basılan, C 25/30 basınç dayanım sınıfında, gri renkte, normal hazır beton dökülmesi (beton nakli dahil)</t>
        </is>
      </c>
      <c r="E106" s="12" t="inlineStr">
        <is>
          <t>m³</t>
        </is>
      </c>
      <c r="F106" s="13" t="n">
        <v>20.85</v>
      </c>
    </row>
    <row r="107" ht="14" customHeight="1">
      <c r="A107" s="8" t="inlineStr">
        <is>
          <t>Kalıp, yapı iskelesi işleri</t>
        </is>
      </c>
      <c r="B107" s="9" t="n">
        <v>1</v>
      </c>
      <c r="C107" s="10" t="inlineStr">
        <is>
          <t>15.180.1003</t>
        </is>
      </c>
      <c r="D107" s="11" t="inlineStr">
        <is>
          <t>Plywood ile düz yüzeyli betonarme kalıbı yapılması</t>
        </is>
      </c>
      <c r="E107" s="12" t="inlineStr">
        <is>
          <t>m²</t>
        </is>
      </c>
      <c r="F107" s="13" t="n">
        <v>127.2</v>
      </c>
    </row>
    <row r="108" ht="21" customHeight="1">
      <c r="A108" s="8" t="inlineStr">
        <is>
          <t>Demir-inşaat işleri</t>
        </is>
      </c>
      <c r="B108" s="9" t="n">
        <v>1</v>
      </c>
      <c r="C108" s="10" t="inlineStr">
        <is>
          <t>15.160.1003</t>
        </is>
      </c>
      <c r="D108" s="11" t="inlineStr">
        <is>
          <t>Ø 8 - Ø 12 mm nervürlü beton çelik çubuğu, çubukların kesilmesi, bükülmesi ve yerine konulması</t>
        </is>
      </c>
      <c r="E108" s="12" t="inlineStr">
        <is>
          <t>ton</t>
        </is>
      </c>
      <c r="F108" s="13" t="n">
        <v>1.657</v>
      </c>
    </row>
    <row r="109"/>
    <row r="110" ht="20" customHeight="1">
      <c r="A110" s="4" t="inlineStr">
        <is>
          <t>&lt; Foseptik &gt;   —   inşaat alanı 4.00 m²</t>
        </is>
      </c>
    </row>
    <row r="111" ht="24" customHeight="1">
      <c r="A111" s="5" t="inlineStr">
        <is>
          <t>Dış ölçü 2,00 x 2,00 m, betonarme sızdırmaz.</t>
        </is>
      </c>
      <c r="B111" s="6" t="n"/>
      <c r="C111" s="6" t="n"/>
      <c r="D111" s="6" t="n"/>
      <c r="E111" s="6" t="n"/>
      <c r="F111" s="6" t="n"/>
    </row>
    <row r="112" ht="28" customHeight="1">
      <c r="A112" s="7" t="inlineStr">
        <is>
          <t>Uygun Harcama Kaleminin EK-1'de yer alan adı</t>
        </is>
      </c>
      <c r="B112" s="7" t="inlineStr">
        <is>
          <t>No</t>
        </is>
      </c>
      <c r="C112" s="7" t="inlineStr">
        <is>
          <t>Poz No</t>
        </is>
      </c>
      <c r="D112" s="7" t="inlineStr">
        <is>
          <t>Yapım İşinin Adı</t>
        </is>
      </c>
      <c r="E112" s="7" t="inlineStr">
        <is>
          <t>Birimi</t>
        </is>
      </c>
      <c r="F112" s="7" t="inlineStr">
        <is>
          <t>Miktarı</t>
        </is>
      </c>
    </row>
    <row r="113" ht="14" customHeight="1">
      <c r="A113" s="8" t="inlineStr">
        <is>
          <t>Kazı, dolgu ve reglaj işleri</t>
        </is>
      </c>
      <c r="B113" s="9" t="n">
        <v>1</v>
      </c>
      <c r="C113" s="10" t="inlineStr">
        <is>
          <t>15.120.1101</t>
        </is>
      </c>
      <c r="D113" s="11" t="inlineStr">
        <is>
          <t>Makine ile her derinlik ve her genişlikte yumuşak ve sert toprak kazılması</t>
        </is>
      </c>
      <c r="E113" s="12" t="inlineStr">
        <is>
          <t>m³</t>
        </is>
      </c>
      <c r="F113" s="13" t="n">
        <v>48.8</v>
      </c>
    </row>
    <row r="114" ht="31.5" customHeight="1">
      <c r="A114" s="8" t="inlineStr">
        <is>
          <t>Beton işleri</t>
        </is>
      </c>
      <c r="B114" s="9" t="n">
        <v>1</v>
      </c>
      <c r="C114" s="10" t="inlineStr">
        <is>
          <t>15.150.1003</t>
        </is>
      </c>
      <c r="D114" s="11" t="inlineStr">
        <is>
          <t>Beton santralinde üretilen veya satın alınan ve beton pompasıyla basılan, C 16/20 basınç dayanım sınıfında, gri renkte, normal hazır beton dökülmesi (beton nakli dahil)</t>
        </is>
      </c>
      <c r="E114" s="12" t="inlineStr">
        <is>
          <t>m³</t>
        </is>
      </c>
      <c r="F114" s="13" t="n">
        <v>0.484</v>
      </c>
    </row>
    <row r="115" ht="31.5" customHeight="1">
      <c r="A115" s="8" t="inlineStr">
        <is>
          <t>Betonarme işleri</t>
        </is>
      </c>
      <c r="B115" s="9" t="n">
        <v>1</v>
      </c>
      <c r="C115" s="10" t="inlineStr">
        <is>
          <t>15.150.1005</t>
        </is>
      </c>
      <c r="D115" s="11" t="inlineStr">
        <is>
          <t>Beton santralinde üretilen veya satın alınan ve beton pompasıyla basılan, C 25/30 basınç dayanım sınıfında, gri renkte, normal hazır beton dökülmesi (beton nakli dahil)</t>
        </is>
      </c>
      <c r="E115" s="12" t="inlineStr">
        <is>
          <t>m³</t>
        </is>
      </c>
      <c r="F115" s="13" t="n">
        <v>6.175</v>
      </c>
    </row>
    <row r="116" ht="14" customHeight="1">
      <c r="A116" s="8" t="inlineStr">
        <is>
          <t>Kalıp, yapı iskelesi işleri</t>
        </is>
      </c>
      <c r="B116" s="9" t="n">
        <v>1</v>
      </c>
      <c r="C116" s="10" t="inlineStr">
        <is>
          <t>15.180.1003</t>
        </is>
      </c>
      <c r="D116" s="11" t="inlineStr">
        <is>
          <t>Plywood ile düz yüzeyli betonarme kalıbı yapılması</t>
        </is>
      </c>
      <c r="E116" s="12" t="inlineStr">
        <is>
          <t>m²</t>
        </is>
      </c>
      <c r="F116" s="13" t="n">
        <v>41.4</v>
      </c>
    </row>
    <row r="117" ht="21" customHeight="1">
      <c r="A117" s="8" t="inlineStr">
        <is>
          <t>Demir-inşaat işleri</t>
        </is>
      </c>
      <c r="B117" s="9" t="n">
        <v>1</v>
      </c>
      <c r="C117" s="10" t="inlineStr">
        <is>
          <t>15.160.1003</t>
        </is>
      </c>
      <c r="D117" s="11" t="inlineStr">
        <is>
          <t>Ø 8 - Ø 12 mm nervürlü beton çelik çubuğu, çubukların kesilmesi, bükülmesi ve yerine konulması</t>
        </is>
      </c>
      <c r="E117" s="12" t="inlineStr">
        <is>
          <t>ton</t>
        </is>
      </c>
      <c r="F117" s="13" t="n">
        <v>0.587</v>
      </c>
    </row>
    <row r="118"/>
    <row r="119" ht="20" customHeight="1">
      <c r="A119" s="4" t="inlineStr">
        <is>
          <t>&lt; Yem Silosu Betonarme Kaideleri &gt;   —   inşaat alanı 16.82 m²</t>
        </is>
      </c>
    </row>
    <row r="120" ht="24" customHeight="1">
      <c r="A120" s="5" t="inlineStr">
        <is>
          <t>2 adet, her biri 2,90 x 2,90 m.</t>
        </is>
      </c>
      <c r="B120" s="6" t="n"/>
      <c r="C120" s="6" t="n"/>
      <c r="D120" s="6" t="n"/>
      <c r="E120" s="6" t="n"/>
      <c r="F120" s="6" t="n"/>
    </row>
    <row r="121" ht="28" customHeight="1">
      <c r="A121" s="7" t="inlineStr">
        <is>
          <t>Uygun Harcama Kaleminin EK-1'de yer alan adı</t>
        </is>
      </c>
      <c r="B121" s="7" t="inlineStr">
        <is>
          <t>No</t>
        </is>
      </c>
      <c r="C121" s="7" t="inlineStr">
        <is>
          <t>Poz No</t>
        </is>
      </c>
      <c r="D121" s="7" t="inlineStr">
        <is>
          <t>Yapım İşinin Adı</t>
        </is>
      </c>
      <c r="E121" s="7" t="inlineStr">
        <is>
          <t>Birimi</t>
        </is>
      </c>
      <c r="F121" s="7" t="inlineStr">
        <is>
          <t>Miktarı</t>
        </is>
      </c>
    </row>
    <row r="122" ht="14" customHeight="1">
      <c r="A122" s="8" t="inlineStr">
        <is>
          <t>Kazı, dolgu ve reglaj işleri</t>
        </is>
      </c>
      <c r="B122" s="9" t="n">
        <v>1</v>
      </c>
      <c r="C122" s="10" t="inlineStr">
        <is>
          <t>15.120.1101</t>
        </is>
      </c>
      <c r="D122" s="11" t="inlineStr">
        <is>
          <t>Makine ile her derinlik ve her genişlikte yumuşak ve sert toprak kazılması</t>
        </is>
      </c>
      <c r="E122" s="12" t="inlineStr">
        <is>
          <t>m³</t>
        </is>
      </c>
      <c r="F122" s="13" t="n">
        <v>48.02</v>
      </c>
    </row>
    <row r="123" ht="31.5" customHeight="1">
      <c r="A123" s="8" t="inlineStr">
        <is>
          <t>Beton işleri</t>
        </is>
      </c>
      <c r="B123" s="9" t="n">
        <v>1</v>
      </c>
      <c r="C123" s="10" t="inlineStr">
        <is>
          <t>15.150.1003</t>
        </is>
      </c>
      <c r="D123" s="11" t="inlineStr">
        <is>
          <t>Beton santralinde üretilen veya satın alınan ve beton pompasıyla basılan, C 16/20 basınç dayanım sınıfında, gri renkte, normal hazır beton dökülmesi (beton nakli dahil)</t>
        </is>
      </c>
      <c r="E123" s="12" t="inlineStr">
        <is>
          <t>m³</t>
        </is>
      </c>
      <c r="F123" s="13" t="n">
        <v>1.922</v>
      </c>
    </row>
    <row r="124" ht="31.5" customHeight="1">
      <c r="A124" s="8" t="inlineStr">
        <is>
          <t>Betonarme işleri</t>
        </is>
      </c>
      <c r="B124" s="9" t="n">
        <v>1</v>
      </c>
      <c r="C124" s="10" t="inlineStr">
        <is>
          <t>15.150.1005</t>
        </is>
      </c>
      <c r="D124" s="11" t="inlineStr">
        <is>
          <t>Beton santralinde üretilen veya satın alınan ve beton pompasıyla basılan, C 25/30 basınç dayanım sınıfında, gri renkte, normal hazır beton dökülmesi (beton nakli dahil)</t>
        </is>
      </c>
      <c r="E124" s="12" t="inlineStr">
        <is>
          <t>m³</t>
        </is>
      </c>
      <c r="F124" s="13" t="n">
        <v>8.41</v>
      </c>
    </row>
    <row r="125" ht="14" customHeight="1">
      <c r="A125" s="8" t="inlineStr">
        <is>
          <t>Kalıp, yapı iskelesi işleri</t>
        </is>
      </c>
      <c r="B125" s="9" t="n">
        <v>1</v>
      </c>
      <c r="C125" s="10" t="inlineStr">
        <is>
          <t>15.180.1003</t>
        </is>
      </c>
      <c r="D125" s="11" t="inlineStr">
        <is>
          <t>Plywood ile düz yüzeyli betonarme kalıbı yapılması</t>
        </is>
      </c>
      <c r="E125" s="12" t="inlineStr">
        <is>
          <t>m²</t>
        </is>
      </c>
      <c r="F125" s="13" t="n">
        <v>11.6</v>
      </c>
    </row>
    <row r="126" ht="21" customHeight="1">
      <c r="A126" s="8" t="inlineStr">
        <is>
          <t>Demir-inşaat işleri</t>
        </is>
      </c>
      <c r="B126" s="9" t="n">
        <v>1</v>
      </c>
      <c r="C126" s="10" t="inlineStr">
        <is>
          <t>15.160.1003</t>
        </is>
      </c>
      <c r="D126" s="11" t="inlineStr">
        <is>
          <t>Ø 8 - Ø 12 mm nervürlü beton çelik çubuğu, çubukların kesilmesi, bükülmesi ve yerine konulması</t>
        </is>
      </c>
      <c r="E126" s="12" t="inlineStr">
        <is>
          <t>ton</t>
        </is>
      </c>
      <c r="F126" s="13" t="n">
        <v>0.757</v>
      </c>
    </row>
    <row r="127"/>
    <row r="128" ht="20" customHeight="1">
      <c r="A128" s="4" t="inlineStr">
        <is>
          <t>&lt; Su Deposu &gt;   —   inşaat alanı 12.00 m²</t>
        </is>
      </c>
    </row>
    <row r="129" ht="24" customHeight="1">
      <c r="A129" s="5" t="inlineStr">
        <is>
          <t>Dış ölçü 4,00 x 3,00 m, betonarme.</t>
        </is>
      </c>
      <c r="B129" s="6" t="n"/>
      <c r="C129" s="6" t="n"/>
      <c r="D129" s="6" t="n"/>
      <c r="E129" s="6" t="n"/>
      <c r="F129" s="6" t="n"/>
    </row>
    <row r="130" ht="28" customHeight="1">
      <c r="A130" s="7" t="inlineStr">
        <is>
          <t>Uygun Harcama Kaleminin EK-1'de yer alan adı</t>
        </is>
      </c>
      <c r="B130" s="7" t="inlineStr">
        <is>
          <t>No</t>
        </is>
      </c>
      <c r="C130" s="7" t="inlineStr">
        <is>
          <t>Poz No</t>
        </is>
      </c>
      <c r="D130" s="7" t="inlineStr">
        <is>
          <t>Yapım İşinin Adı</t>
        </is>
      </c>
      <c r="E130" s="7" t="inlineStr">
        <is>
          <t>Birimi</t>
        </is>
      </c>
      <c r="F130" s="7" t="inlineStr">
        <is>
          <t>Miktarı</t>
        </is>
      </c>
    </row>
    <row r="131" ht="14" customHeight="1">
      <c r="A131" s="8" t="inlineStr">
        <is>
          <t>Kazı, dolgu ve reglaj işleri</t>
        </is>
      </c>
      <c r="B131" s="9" t="n">
        <v>1</v>
      </c>
      <c r="C131" s="10" t="inlineStr">
        <is>
          <t>15.120.1101</t>
        </is>
      </c>
      <c r="D131" s="11" t="inlineStr">
        <is>
          <t>Makine ile her derinlik ve her genişlikte yumuşak ve sert toprak kazılması</t>
        </is>
      </c>
      <c r="E131" s="12" t="inlineStr">
        <is>
          <t>m³</t>
        </is>
      </c>
      <c r="F131" s="13" t="n">
        <v>106.5</v>
      </c>
    </row>
    <row r="132" ht="31.5" customHeight="1">
      <c r="A132" s="8" t="inlineStr">
        <is>
          <t>Beton işleri</t>
        </is>
      </c>
      <c r="B132" s="9" t="n">
        <v>1</v>
      </c>
      <c r="C132" s="10" t="inlineStr">
        <is>
          <t>15.150.1003</t>
        </is>
      </c>
      <c r="D132" s="11" t="inlineStr">
        <is>
          <t>Beton santralinde üretilen veya satın alınan ve beton pompasıyla basılan, C 16/20 basınç dayanım sınıfında, gri renkte, normal hazır beton dökülmesi (beton nakli dahil)</t>
        </is>
      </c>
      <c r="E132" s="12" t="inlineStr">
        <is>
          <t>m³</t>
        </is>
      </c>
      <c r="F132" s="13" t="n">
        <v>1.344</v>
      </c>
    </row>
    <row r="133" ht="31.5" customHeight="1">
      <c r="A133" s="8" t="inlineStr">
        <is>
          <t>Betonarme işleri</t>
        </is>
      </c>
      <c r="B133" s="9" t="n">
        <v>1</v>
      </c>
      <c r="C133" s="10" t="inlineStr">
        <is>
          <t>15.150.1005</t>
        </is>
      </c>
      <c r="D133" s="11" t="inlineStr">
        <is>
          <t>Beton santralinde üretilen veya satın alınan ve beton pompasıyla basılan, C 25/30 basınç dayanım sınıfında, gri renkte, normal hazır beton dökülmesi (beton nakli dahil)</t>
        </is>
      </c>
      <c r="E133" s="12" t="inlineStr">
        <is>
          <t>m³</t>
        </is>
      </c>
      <c r="F133" s="13" t="n">
        <v>15.15</v>
      </c>
    </row>
    <row r="134" ht="14" customHeight="1">
      <c r="A134" s="8" t="inlineStr">
        <is>
          <t>Kalıp, yapı iskelesi işleri</t>
        </is>
      </c>
      <c r="B134" s="9" t="n">
        <v>1</v>
      </c>
      <c r="C134" s="10" t="inlineStr">
        <is>
          <t>15.180.1003</t>
        </is>
      </c>
      <c r="D134" s="11" t="inlineStr">
        <is>
          <t>Plywood ile düz yüzeyli betonarme kalıbı yapılması</t>
        </is>
      </c>
      <c r="E134" s="12" t="inlineStr">
        <is>
          <t>m²</t>
        </is>
      </c>
      <c r="F134" s="13" t="n">
        <v>95.59999999999999</v>
      </c>
    </row>
    <row r="135" ht="21" customHeight="1">
      <c r="A135" s="8" t="inlineStr">
        <is>
          <t>Demir-inşaat işleri</t>
        </is>
      </c>
      <c r="B135" s="9" t="n">
        <v>1</v>
      </c>
      <c r="C135" s="10" t="inlineStr">
        <is>
          <t>15.160.1003</t>
        </is>
      </c>
      <c r="D135" s="11" t="inlineStr">
        <is>
          <t>Ø 8 - Ø 12 mm nervürlü beton çelik çubuğu, çubukların kesilmesi, bükülmesi ve yerine konulması</t>
        </is>
      </c>
      <c r="E135" s="12" t="inlineStr">
        <is>
          <t>ton</t>
        </is>
      </c>
      <c r="F135" s="13" t="n">
        <v>1.232</v>
      </c>
    </row>
    <row r="136"/>
    <row r="137" ht="20" customHeight="1">
      <c r="A137" s="4" t="inlineStr">
        <is>
          <t>&lt; Çevre Düzenlemesi ve Saha Altyapısı &gt;</t>
        </is>
      </c>
    </row>
    <row r="138" ht="24" customHeight="1">
      <c r="A138" s="5" t="inlineStr">
        <is>
          <t>Parsel çevresi çit, tesis içi yol platformu ve yapılar arası altyapı hatları.</t>
        </is>
      </c>
      <c r="B138" s="6" t="n"/>
      <c r="C138" s="6" t="n"/>
      <c r="D138" s="6" t="n"/>
      <c r="E138" s="6" t="n"/>
      <c r="F138" s="6" t="n"/>
    </row>
    <row r="139" ht="28" customHeight="1">
      <c r="A139" s="7" t="inlineStr">
        <is>
          <t>Uygun Harcama Kaleminin EK-1'de yer alan adı</t>
        </is>
      </c>
      <c r="B139" s="7" t="inlineStr">
        <is>
          <t>No</t>
        </is>
      </c>
      <c r="C139" s="7" t="inlineStr">
        <is>
          <t>Poz No</t>
        </is>
      </c>
      <c r="D139" s="7" t="inlineStr">
        <is>
          <t>Yapım İşinin Adı</t>
        </is>
      </c>
      <c r="E139" s="7" t="inlineStr">
        <is>
          <t>Birimi</t>
        </is>
      </c>
      <c r="F139" s="7" t="inlineStr">
        <is>
          <t>Miktarı</t>
        </is>
      </c>
    </row>
    <row r="140" ht="14" customHeight="1">
      <c r="A140" s="8" t="inlineStr">
        <is>
          <t>Kazı, dolgu ve reglaj işleri</t>
        </is>
      </c>
      <c r="B140" s="9" t="n">
        <v>1</v>
      </c>
      <c r="C140" s="10" t="inlineStr">
        <is>
          <t>15.120.1001</t>
        </is>
      </c>
      <c r="D140" s="11" t="inlineStr">
        <is>
          <t>Makine ile yumuşak ve sert toprak kazılması</t>
        </is>
      </c>
      <c r="E140" s="12" t="inlineStr">
        <is>
          <t>m³</t>
        </is>
      </c>
      <c r="F140" s="13" t="n">
        <v>260.942</v>
      </c>
    </row>
    <row r="141" ht="31.5" customHeight="1">
      <c r="A141" s="8" t="inlineStr">
        <is>
          <t>Betonarme işleri</t>
        </is>
      </c>
      <c r="B141" s="9" t="n">
        <v>1</v>
      </c>
      <c r="C141" s="10" t="inlineStr">
        <is>
          <t>15.150.1005</t>
        </is>
      </c>
      <c r="D141" s="11" t="inlineStr">
        <is>
          <t>Beton santralinde üretilen veya satın alınan ve beton pompasıyla basılan, C 25/30 basınç dayanım sınıfında, gri renkte, normal hazır beton dökülmesi (beton nakli dahil)</t>
        </is>
      </c>
      <c r="E141" s="12" t="inlineStr">
        <is>
          <t>m³</t>
        </is>
      </c>
      <c r="F141" s="13" t="n">
        <v>1.566</v>
      </c>
    </row>
    <row r="142" ht="14" customHeight="1">
      <c r="A142" s="8" t="inlineStr">
        <is>
          <t>Kalıp, yapı iskelesi işleri</t>
        </is>
      </c>
      <c r="B142" s="9" t="n">
        <v>1</v>
      </c>
      <c r="C142" s="10" t="inlineStr">
        <is>
          <t>15.180.1003</t>
        </is>
      </c>
      <c r="D142" s="11" t="inlineStr">
        <is>
          <t>Plywood ile düz yüzeyli betonarme kalıbı yapılması</t>
        </is>
      </c>
      <c r="E142" s="12" t="inlineStr">
        <is>
          <t>m²</t>
        </is>
      </c>
      <c r="F142" s="13" t="n">
        <v>14.4</v>
      </c>
    </row>
    <row r="143" ht="21" customHeight="1">
      <c r="A143" s="8" t="inlineStr">
        <is>
          <t>Demir-inşaat işleri</t>
        </is>
      </c>
      <c r="B143" s="9" t="n">
        <v>1</v>
      </c>
      <c r="C143" s="10" t="inlineStr">
        <is>
          <t>15.160.1003</t>
        </is>
      </c>
      <c r="D143" s="11" t="inlineStr">
        <is>
          <t>Ø 8 - Ø 12 mm nervürlü beton çelik çubuğu, çubukların kesilmesi, bükülmesi ve yerine konulması</t>
        </is>
      </c>
      <c r="E143" s="12" t="inlineStr">
        <is>
          <t>ton</t>
        </is>
      </c>
      <c r="F143" s="13" t="n">
        <v>0.141</v>
      </c>
    </row>
    <row r="144" ht="14" customHeight="1">
      <c r="A144" s="8" t="inlineStr">
        <is>
          <t>Çevre düzenlemesi ve çit işleri</t>
        </is>
      </c>
      <c r="B144" s="9" t="n">
        <v>1</v>
      </c>
      <c r="C144" s="10" t="inlineStr">
        <is>
          <t>TKDK-0091</t>
        </is>
      </c>
      <c r="D144" s="11" t="inlineStr">
        <is>
          <t>Betonarme direkli galvanizli tel örgü çit yapılması (Tip-1)</t>
        </is>
      </c>
      <c r="E144" s="12" t="inlineStr">
        <is>
          <t>m</t>
        </is>
      </c>
      <c r="F144" s="13" t="n">
        <v>361.04</v>
      </c>
    </row>
    <row r="145" ht="21" customHeight="1">
      <c r="A145" s="8" t="inlineStr">
        <is>
          <t>Kanalizasyon işleri</t>
        </is>
      </c>
      <c r="B145" s="9" t="n">
        <v>1</v>
      </c>
      <c r="C145" s="10" t="inlineStr">
        <is>
          <t>43.527.1001</t>
        </is>
      </c>
      <c r="D145" s="11" t="inlineStr">
        <is>
          <t>Çapı 150 mm HDPE koruge boru döşenmesi (SN 8, lastik conta ve boru bedeli dahil)</t>
        </is>
      </c>
      <c r="E145" s="12" t="inlineStr">
        <is>
          <t>m</t>
        </is>
      </c>
      <c r="F145" s="13" t="n">
        <v>50</v>
      </c>
    </row>
    <row r="146" ht="14" customHeight="1">
      <c r="A146" s="15" t="n"/>
      <c r="B146" s="9" t="n">
        <v>2</v>
      </c>
      <c r="C146" s="10" t="inlineStr">
        <is>
          <t>15.560.1003</t>
        </is>
      </c>
      <c r="D146" s="11" t="inlineStr">
        <is>
          <t>Betonarme kompozit rögar kapağı temini ve yerine konulması</t>
        </is>
      </c>
      <c r="E146" s="12" t="inlineStr">
        <is>
          <t>ad</t>
        </is>
      </c>
      <c r="F146" s="13" t="n">
        <v>4</v>
      </c>
    </row>
    <row r="147" ht="21" customHeight="1">
      <c r="A147" s="8" t="inlineStr">
        <is>
          <t>Elektrik tesisatı ve aydınlatma</t>
        </is>
      </c>
      <c r="B147" s="9" t="n">
        <v>1</v>
      </c>
      <c r="C147" s="10" t="inlineStr">
        <is>
          <t>30.100.1104</t>
        </is>
      </c>
      <c r="D147" s="11" t="inlineStr">
        <is>
          <t>Ana dağıtım panosu (dikili tip galvanizli sac, en az 700 mm en, 400 mm derinlik)</t>
        </is>
      </c>
      <c r="E147" s="12" t="inlineStr">
        <is>
          <t>ad</t>
        </is>
      </c>
      <c r="F147" s="13" t="n">
        <v>1</v>
      </c>
    </row>
    <row r="148" ht="14" customHeight="1">
      <c r="A148" s="14" t="n"/>
      <c r="B148" s="9" t="n">
        <v>2</v>
      </c>
      <c r="C148" s="10" t="inlineStr">
        <is>
          <t>30.100.2106</t>
        </is>
      </c>
      <c r="D148" s="11" t="inlineStr">
        <is>
          <t>Sayaç panosu (sıva üstü galvanizli sac tablo, 0,50-0,60 m²)</t>
        </is>
      </c>
      <c r="E148" s="12" t="inlineStr">
        <is>
          <t>ad</t>
        </is>
      </c>
      <c r="F148" s="13" t="n">
        <v>1</v>
      </c>
    </row>
    <row r="149" ht="14" customHeight="1">
      <c r="A149" s="14" t="n"/>
      <c r="B149" s="9" t="n">
        <v>3</v>
      </c>
      <c r="C149" s="10" t="inlineStr">
        <is>
          <t>30.135.3201</t>
        </is>
      </c>
      <c r="D149" s="11" t="inlineStr">
        <is>
          <t>Üç fazlı zaman tarifeli elektronik aktif sayaç, en az 5(100) A, 3x230/400 V</t>
        </is>
      </c>
      <c r="E149" s="12" t="inlineStr">
        <is>
          <t>ad</t>
        </is>
      </c>
      <c r="F149" s="13" t="n">
        <v>1</v>
      </c>
    </row>
    <row r="150" ht="14" customHeight="1">
      <c r="A150" s="14" t="n"/>
      <c r="B150" s="9" t="n">
        <v>4</v>
      </c>
      <c r="C150" s="10" t="inlineStr">
        <is>
          <t>30.110.1104</t>
        </is>
      </c>
      <c r="D150" s="11" t="inlineStr">
        <is>
          <t>Termik-manyetik kompakt şalter 3x160 A, Icu 35 kA — ana giriş</t>
        </is>
      </c>
      <c r="E150" s="12" t="inlineStr">
        <is>
          <t>ad</t>
        </is>
      </c>
      <c r="F150" s="13" t="n">
        <v>1</v>
      </c>
    </row>
    <row r="151" ht="14" customHeight="1">
      <c r="A151" s="14" t="n"/>
      <c r="B151" s="9" t="n">
        <v>5</v>
      </c>
      <c r="C151" s="10" t="inlineStr">
        <is>
          <t>30.115.1003</t>
        </is>
      </c>
      <c r="D151" s="11" t="inlineStr">
        <is>
          <t>Kaçak akım koruma şalteri 2x63 A, 30 mA</t>
        </is>
      </c>
      <c r="E151" s="12" t="inlineStr">
        <is>
          <t>ad</t>
        </is>
      </c>
      <c r="F151" s="13" t="n">
        <v>2</v>
      </c>
    </row>
    <row r="152" ht="14" customHeight="1">
      <c r="A152" s="14" t="n"/>
      <c r="B152" s="9" t="n">
        <v>6</v>
      </c>
      <c r="C152" s="10" t="inlineStr">
        <is>
          <t>30.140.3105</t>
        </is>
      </c>
      <c r="D152" s="11" t="inlineStr">
        <is>
          <t>YVV (NYY) 1 kV yeraltı kablosu ile besleme hattı tesisi — 1x35 mm²</t>
        </is>
      </c>
      <c r="E152" s="12" t="inlineStr">
        <is>
          <t>m</t>
        </is>
      </c>
      <c r="F152" s="13" t="n">
        <v>50</v>
      </c>
    </row>
    <row r="153" ht="14" customHeight="1">
      <c r="A153" s="14" t="n"/>
      <c r="B153" s="9" t="n">
        <v>7</v>
      </c>
      <c r="C153" s="10" t="inlineStr">
        <is>
          <t>30.140.3101</t>
        </is>
      </c>
      <c r="D153" s="11" t="inlineStr">
        <is>
          <t>YVV (NYY) 1 kV yeraltı kablosu ile besleme hattı tesisi — 1x6 mm²</t>
        </is>
      </c>
      <c r="E153" s="12" t="inlineStr">
        <is>
          <t>m</t>
        </is>
      </c>
      <c r="F153" s="13" t="n">
        <v>50</v>
      </c>
    </row>
    <row r="154" ht="14" customHeight="1">
      <c r="A154" s="14" t="n"/>
      <c r="B154" s="9" t="n">
        <v>8</v>
      </c>
      <c r="C154" s="10" t="inlineStr">
        <is>
          <t>30.172.1706</t>
        </is>
      </c>
      <c r="D154" s="11" t="inlineStr">
        <is>
          <t>Aydınlatma direği — taban çapı en az 80 mm, yükseklik en az 4,00 m</t>
        </is>
      </c>
      <c r="E154" s="12" t="inlineStr">
        <is>
          <t>ad</t>
        </is>
      </c>
      <c r="F154" s="13" t="n">
        <v>4</v>
      </c>
    </row>
    <row r="155" ht="14" customHeight="1">
      <c r="A155" s="15" t="n"/>
      <c r="B155" s="9" t="n">
        <v>9</v>
      </c>
      <c r="C155" s="10" t="inlineStr">
        <is>
          <t>30.170.4002</t>
        </is>
      </c>
      <c r="D155" s="11" t="inlineStr">
        <is>
          <t>LED projektör, ışık akısı en az 5100 lm</t>
        </is>
      </c>
      <c r="E155" s="12" t="inlineStr">
        <is>
          <t>ad</t>
        </is>
      </c>
      <c r="F155" s="13" t="n">
        <v>4</v>
      </c>
    </row>
    <row r="156"/>
    <row r="157">
      <c r="A157" s="16" t="inlineStr">
        <is>
          <t>AÇIKLAMALAR</t>
        </is>
      </c>
      <c r="B157" s="6" t="n"/>
      <c r="C157" s="6" t="n"/>
      <c r="D157" s="6" t="n"/>
      <c r="E157" s="6" t="n"/>
      <c r="F157" s="6" t="n"/>
    </row>
    <row r="158" ht="13" customHeight="1">
      <c r="A158" s="17" t="inlineStr">
        <is>
          <t>•  Keşif özetinde birim fiyat ve tutar sütunu bulunmaz; bunlar teklif davet mektubu ekindeki ayrı cetvelde yer alır.</t>
        </is>
      </c>
    </row>
    <row r="159" ht="22" customHeight="1">
      <c r="A159"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60" ht="13" customHeight="1">
      <c r="A160" s="17" t="inlineStr">
        <is>
          <t>•  Kümes A ve B blok özdeş olduğundan tek başlık altında toplanmıştır; miktarlar iki bloğun toplamıdır.</t>
        </is>
      </c>
    </row>
    <row r="161" ht="13" customHeight="1">
      <c r="A161" s="17" t="inlineStr">
        <is>
          <t>•  Elektrik tesisatı bölümü, kuvvetli akım birim fiyat listesi temin edildikten sonra tamamlanacaktır.</t>
        </is>
      </c>
    </row>
  </sheetData>
  <mergeCells count="84">
    <mergeCell ref="A158:F158"/>
    <mergeCell ref="A52"/>
    <mergeCell ref="A3:F3"/>
    <mergeCell ref="A27:A28"/>
    <mergeCell ref="A160:F160"/>
    <mergeCell ref="A5:F5"/>
    <mergeCell ref="A159:F159"/>
    <mergeCell ref="A123"/>
    <mergeCell ref="A132"/>
    <mergeCell ref="A161:F161"/>
    <mergeCell ref="A20:A21"/>
    <mergeCell ref="A133"/>
    <mergeCell ref="A95"/>
    <mergeCell ref="A104"/>
    <mergeCell ref="A144"/>
    <mergeCell ref="A12:A14"/>
    <mergeCell ref="A97"/>
    <mergeCell ref="A106"/>
    <mergeCell ref="A70:A71"/>
    <mergeCell ref="A29"/>
    <mergeCell ref="A134"/>
    <mergeCell ref="A96"/>
    <mergeCell ref="A101:F101"/>
    <mergeCell ref="A2:F2"/>
    <mergeCell ref="A145:A146"/>
    <mergeCell ref="A73"/>
    <mergeCell ref="A51"/>
    <mergeCell ref="A107"/>
    <mergeCell ref="A124"/>
    <mergeCell ref="A60:A62"/>
    <mergeCell ref="A63:A64"/>
    <mergeCell ref="A48:F48"/>
    <mergeCell ref="A108"/>
    <mergeCell ref="A68:A69"/>
    <mergeCell ref="A55:A57"/>
    <mergeCell ref="A126"/>
    <mergeCell ref="A141"/>
    <mergeCell ref="A135"/>
    <mergeCell ref="A137:F137"/>
    <mergeCell ref="A17:A19"/>
    <mergeCell ref="A122"/>
    <mergeCell ref="A125"/>
    <mergeCell ref="A72"/>
    <mergeCell ref="A22:A24"/>
    <mergeCell ref="A129:F129"/>
    <mergeCell ref="A30"/>
    <mergeCell ref="A114"/>
    <mergeCell ref="A31:A46"/>
    <mergeCell ref="A102:F102"/>
    <mergeCell ref="A111:F111"/>
    <mergeCell ref="A54"/>
    <mergeCell ref="A65:A67"/>
    <mergeCell ref="A92:F92"/>
    <mergeCell ref="A157:F157"/>
    <mergeCell ref="A49:F49"/>
    <mergeCell ref="A1:F1"/>
    <mergeCell ref="A74:A89"/>
    <mergeCell ref="A58:A59"/>
    <mergeCell ref="A98:A99"/>
    <mergeCell ref="A116"/>
    <mergeCell ref="A8"/>
    <mergeCell ref="A131"/>
    <mergeCell ref="A128:F128"/>
    <mergeCell ref="A140"/>
    <mergeCell ref="A53"/>
    <mergeCell ref="A120:F120"/>
    <mergeCell ref="A10"/>
    <mergeCell ref="A115"/>
    <mergeCell ref="A117"/>
    <mergeCell ref="A9"/>
    <mergeCell ref="A143"/>
    <mergeCell ref="A25:A26"/>
    <mergeCell ref="A147:A155"/>
    <mergeCell ref="A142"/>
    <mergeCell ref="A11"/>
    <mergeCell ref="A91:F91"/>
    <mergeCell ref="A94"/>
    <mergeCell ref="A138:F138"/>
    <mergeCell ref="A105"/>
    <mergeCell ref="A110:F110"/>
    <mergeCell ref="A15:A16"/>
    <mergeCell ref="A113"/>
    <mergeCell ref="A6:F6"/>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03"/>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 KÜMES (A+B BLOK) VE MÜŞTEMİLAT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1684.39</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15" customHeight="1">
      <c r="A83" s="19" t="n">
        <v>19</v>
      </c>
      <c r="B83" s="20" t="inlineStr">
        <is>
          <t>TKDK-0115</t>
        </is>
      </c>
      <c r="C83" s="8" t="inlineStr">
        <is>
          <t>[M36]  Galvanizli düz sacdan iniş borusu yapılması — ø100</t>
        </is>
      </c>
      <c r="D83" s="21" t="inlineStr">
        <is>
          <t>kg</t>
        </is>
      </c>
      <c r="E83" s="22" t="n"/>
      <c r="F83" s="22" t="n"/>
      <c r="G83" s="22" t="n"/>
      <c r="H83" s="22" t="n"/>
      <c r="I83" s="22" t="n"/>
      <c r="J83" s="22" t="n"/>
    </row>
    <row r="84" ht="40" customHeight="1">
      <c r="A84" s="6" t="n"/>
      <c r="B84" s="6" t="n"/>
      <c r="C84" s="23" t="inlineStr">
        <is>
          <t>Blok başına 8 adet (yaklaşık 10 m aralıkla), 2 blok = 16 adet; boy 3,00 saçak kotu + 0,20 zemin altı = 3,20 m; gelişmiş genişlik 0,40 m, 0,50 mm sac -&gt; 0,40 x 0,0005 x 7.850 = 1,57 kg/m, kenet payı ile 1,60 kg/m — bu yapıya düşen pay 0.500000</t>
        </is>
      </c>
      <c r="D84" s="6" t="n"/>
      <c r="E84" s="28" t="n">
        <v>16</v>
      </c>
      <c r="F84" s="6" t="n"/>
      <c r="G84" s="29" t="n">
        <v>3.2</v>
      </c>
      <c r="H84" s="6" t="n"/>
      <c r="I84" s="24">
        <f>E84*G84*J84</f>
        <v/>
      </c>
      <c r="J84" s="30" t="n">
        <v>0.8</v>
      </c>
    </row>
    <row r="85">
      <c r="A85" s="22" t="n"/>
      <c r="B85" s="22" t="n"/>
      <c r="C85" s="25" t="inlineStr">
        <is>
          <t>M36 TOPLAMI</t>
        </is>
      </c>
      <c r="D85" s="26" t="inlineStr">
        <is>
          <t>kg</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30.100.2105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30.110.1102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30.115.1003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30.140.3104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30.170.1602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30.170.1601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30.160.6102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30.150.1402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30.150.1401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30.140.1105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30.750.3002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30.750.1502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30.750.2001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30.740.1106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30.740.5406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30.120.2016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row r="165" ht="20" customHeight="1">
      <c r="A165" s="18" t="inlineStr">
        <is>
          <t>Yapı/Bina Adı: KÜMES B BLOK</t>
        </is>
      </c>
    </row>
    <row r="166" ht="28" customHeight="1">
      <c r="A166" s="7" t="inlineStr">
        <is>
          <t>No</t>
        </is>
      </c>
      <c r="B166" s="7" t="inlineStr">
        <is>
          <t>Poz No</t>
        </is>
      </c>
      <c r="C166" s="7" t="inlineStr">
        <is>
          <t>Tanımı / Ölçünün Alındığı Yer</t>
        </is>
      </c>
      <c r="D166" s="7" t="inlineStr">
        <is>
          <t>Birimi</t>
        </is>
      </c>
      <c r="E166" s="7" t="inlineStr">
        <is>
          <t>Adet</t>
        </is>
      </c>
      <c r="F166" s="7" t="inlineStr">
        <is>
          <t>En (m)</t>
        </is>
      </c>
      <c r="G166" s="7" t="inlineStr">
        <is>
          <t>Boy (m)</t>
        </is>
      </c>
      <c r="H166" s="7" t="inlineStr">
        <is>
          <t>Yükseklik (m)</t>
        </is>
      </c>
      <c r="I166" s="7" t="inlineStr">
        <is>
          <t>Miktar</t>
        </is>
      </c>
      <c r="J166" s="7" t="inlineStr">
        <is>
          <t>Toplam Miktar</t>
        </is>
      </c>
    </row>
    <row r="167" ht="15" customHeight="1">
      <c r="A167" s="19" t="n">
        <v>1</v>
      </c>
      <c r="B167" s="20" t="inlineStr">
        <is>
          <t>15.120.1001</t>
        </is>
      </c>
      <c r="C167" s="8" t="inlineStr">
        <is>
          <t>[M01]  Makine ile kazı yapılması — kümes A ve B blok</t>
        </is>
      </c>
      <c r="D167" s="21" t="inlineStr">
        <is>
          <t>m³</t>
        </is>
      </c>
      <c r="E167" s="22" t="n"/>
      <c r="F167" s="22" t="n"/>
      <c r="G167" s="22" t="n"/>
      <c r="H167" s="22" t="n"/>
      <c r="I167" s="22" t="n"/>
      <c r="J167" s="22" t="n"/>
    </row>
    <row r="168" ht="12" customHeight="1">
      <c r="A168" s="6" t="n"/>
      <c r="B168" s="6" t="n"/>
      <c r="C168" s="23" t="inlineStr">
        <is>
          <t>B blok — onaylı kübaj cetveli toplamının diğer yarısı</t>
        </is>
      </c>
      <c r="D168" s="6" t="n"/>
      <c r="E168" s="6" t="n"/>
      <c r="F168" s="6" t="n"/>
      <c r="G168" s="6" t="n"/>
      <c r="H168" s="6" t="n"/>
      <c r="I168" s="24" t="n">
        <v>1684.38</v>
      </c>
      <c r="J168" s="6" t="n"/>
    </row>
    <row r="169">
      <c r="A169" s="22" t="n"/>
      <c r="B169" s="22" t="n"/>
      <c r="C169" s="25" t="inlineStr">
        <is>
          <t>M01 TOPLAMI</t>
        </is>
      </c>
      <c r="D169" s="26" t="inlineStr">
        <is>
          <t>m³</t>
        </is>
      </c>
      <c r="E169" s="22" t="n"/>
      <c r="F169" s="22" t="n"/>
      <c r="G169" s="22" t="n"/>
      <c r="H169" s="22" t="n"/>
      <c r="I169" s="22" t="n"/>
      <c r="J169" s="27">
        <f>SUM(I168:I168)</f>
        <v/>
      </c>
    </row>
    <row r="170" ht="15" customHeight="1">
      <c r="A170" s="19" t="n">
        <v>2</v>
      </c>
      <c r="B170" s="20" t="inlineStr">
        <is>
          <t>15.150.1003</t>
        </is>
      </c>
      <c r="C170" s="8" t="inlineStr">
        <is>
          <t>[M09]  C 16/20 hazır beton dökülmesi — kümes temel altı grobeton</t>
        </is>
      </c>
      <c r="D170" s="21" t="inlineStr">
        <is>
          <t>m³</t>
        </is>
      </c>
      <c r="E170" s="22" t="n"/>
      <c r="F170" s="22" t="n"/>
      <c r="G170" s="22" t="n"/>
      <c r="H170" s="22" t="n"/>
      <c r="I170" s="22" t="n"/>
      <c r="J170" s="22" t="n"/>
    </row>
    <row r="171" ht="20" customHeight="1">
      <c r="A171" s="6" t="n"/>
      <c r="B171" s="6" t="n"/>
      <c r="C171" s="23" t="inlineStr">
        <is>
          <t>Şerit temel altı: 21 aks x 2 blok; genişlik 0,50 + iki yanda 0,10 taşma = 0,70 m; kalınlık 0,10 m — bu yapıya düşen pay 0.500000</t>
        </is>
      </c>
      <c r="D171" s="6" t="n"/>
      <c r="E171" s="28" t="n">
        <v>42</v>
      </c>
      <c r="F171" s="29" t="n">
        <v>0.7</v>
      </c>
      <c r="G171" s="29" t="n">
        <v>13.55</v>
      </c>
      <c r="H171" s="29" t="n">
        <v>0.1</v>
      </c>
      <c r="I171" s="24">
        <f>E171*F171*G171*H171*J171</f>
        <v/>
      </c>
      <c r="J171" s="30" t="n">
        <v>0.5</v>
      </c>
    </row>
    <row r="172" ht="20" customHeight="1">
      <c r="A172" s="6" t="n"/>
      <c r="B172" s="6" t="n"/>
      <c r="C172" s="23" t="inlineStr">
        <is>
          <t>Bağ kirişi altı: 4 hat x 2 blok; kesişimler düşülmüş boy 57.55 m; genişlik 0,30+2x0,10 = 0,50 m — bu yapıya düşen pay 0.500000</t>
        </is>
      </c>
      <c r="D172" s="6" t="n"/>
      <c r="E172" s="28" t="n">
        <v>8</v>
      </c>
      <c r="F172" s="29" t="n">
        <v>0.5</v>
      </c>
      <c r="G172" s="29" t="n">
        <v>57.55</v>
      </c>
      <c r="H172" s="29" t="n">
        <v>0.1</v>
      </c>
      <c r="I172" s="24">
        <f>E172*F172*G172*H172*J172</f>
        <v/>
      </c>
      <c r="J172" s="30" t="n">
        <v>0.5</v>
      </c>
    </row>
    <row r="173">
      <c r="A173" s="22" t="n"/>
      <c r="B173" s="22" t="n"/>
      <c r="C173" s="25" t="inlineStr">
        <is>
          <t>M09 TOPLAMI</t>
        </is>
      </c>
      <c r="D173" s="26" t="inlineStr">
        <is>
          <t>m³</t>
        </is>
      </c>
      <c r="E173" s="22" t="n"/>
      <c r="F173" s="22" t="n"/>
      <c r="G173" s="22" t="n"/>
      <c r="H173" s="22" t="n"/>
      <c r="I173" s="22" t="n"/>
      <c r="J173" s="27">
        <f>SUM(I171:I172)</f>
        <v/>
      </c>
    </row>
    <row r="174" ht="22" customHeight="1">
      <c r="A174" s="19" t="n">
        <v>3</v>
      </c>
      <c r="B174" s="20" t="inlineStr">
        <is>
          <t>15.150.1005</t>
        </is>
      </c>
      <c r="C174" s="8" t="inlineStr">
        <is>
          <t>[M12]  C 25/30 hazır beton dökülmesi — kümes şerit temel ve bağ kirişleri</t>
        </is>
      </c>
      <c r="D174" s="21" t="inlineStr">
        <is>
          <t>m³</t>
        </is>
      </c>
      <c r="E174" s="22" t="n"/>
      <c r="F174" s="22" t="n"/>
      <c r="G174" s="22" t="n"/>
      <c r="H174" s="22" t="n"/>
      <c r="I174" s="22" t="n"/>
      <c r="J174" s="22" t="n"/>
    </row>
    <row r="175" ht="20" customHeight="1">
      <c r="A175" s="6" t="n"/>
      <c r="B175" s="6" t="n"/>
      <c r="C175" s="23" t="inlineStr">
        <is>
          <t>Şerit temel T1…T21 (50/60): 21 aks x 2 blok, aks boyu 13,55 m — bu yapıya düşen pay 0.500000</t>
        </is>
      </c>
      <c r="D175" s="6" t="n"/>
      <c r="E175" s="28" t="n">
        <v>42</v>
      </c>
      <c r="F175" s="29" t="n">
        <v>0.5</v>
      </c>
      <c r="G175" s="29" t="n">
        <v>13.55</v>
      </c>
      <c r="H175" s="29" t="n">
        <v>0.6</v>
      </c>
      <c r="I175" s="24">
        <f>E175*F175*G175*H175*J175</f>
        <v/>
      </c>
      <c r="J175" s="30" t="n">
        <v>0.5</v>
      </c>
    </row>
    <row r="176" ht="20" customHeight="1">
      <c r="A176" s="6" t="n"/>
      <c r="B176" s="6" t="n"/>
      <c r="C176" s="23" t="inlineStr">
        <is>
          <t>Bağ kirişi BK (30/30): 4 hat x 2 blok; şerit temellerle kesişen 21x0,50 m düşülmüş boy 78.55-10.50 = 68.05 m — bu yapıya düşen pay 0.500000</t>
        </is>
      </c>
      <c r="D176" s="6" t="n"/>
      <c r="E176" s="28" t="n">
        <v>8</v>
      </c>
      <c r="F176" s="29" t="n">
        <v>0.3</v>
      </c>
      <c r="G176" s="29" t="n">
        <v>68.05</v>
      </c>
      <c r="H176" s="29" t="n">
        <v>0.3</v>
      </c>
      <c r="I176" s="24">
        <f>E176*F176*G176*H176*J176</f>
        <v/>
      </c>
      <c r="J176" s="30" t="n">
        <v>0.5</v>
      </c>
    </row>
    <row r="177" ht="30" customHeight="1">
      <c r="A177" s="6" t="n"/>
      <c r="B177" s="6" t="n"/>
      <c r="C177" s="23" t="inlineStr">
        <is>
          <t>Kolon guseleri, temel taşmaları ve birleşim bölgeleri — betonarme proje METRAJ tablosuna tamamlama (115.71-109.863 = 5.847 m³/blok) — bu yapıya düşen pay 0.500000</t>
        </is>
      </c>
      <c r="D177" s="6" t="n"/>
      <c r="E177" s="28" t="n">
        <v>2</v>
      </c>
      <c r="F177" s="6" t="n"/>
      <c r="G177" s="29" t="n">
        <v>5.847</v>
      </c>
      <c r="H177" s="6" t="n"/>
      <c r="I177" s="24">
        <f>E177*G177*J177</f>
        <v/>
      </c>
      <c r="J177" s="30" t="n">
        <v>0.5</v>
      </c>
    </row>
    <row r="178">
      <c r="A178" s="22" t="n"/>
      <c r="B178" s="22" t="n"/>
      <c r="C178" s="25" t="inlineStr">
        <is>
          <t>M12 TOPLAMI</t>
        </is>
      </c>
      <c r="D178" s="26" t="inlineStr">
        <is>
          <t>m³</t>
        </is>
      </c>
      <c r="E178" s="22" t="n"/>
      <c r="F178" s="22" t="n"/>
      <c r="G178" s="22" t="n"/>
      <c r="H178" s="22" t="n"/>
      <c r="I178" s="22" t="n"/>
      <c r="J178" s="27">
        <f>SUM(I175:I177)</f>
        <v/>
      </c>
    </row>
    <row r="179" ht="22" customHeight="1">
      <c r="A179" s="19" t="n">
        <v>4</v>
      </c>
      <c r="B179" s="20" t="inlineStr">
        <is>
          <t>15.150.1005</t>
        </is>
      </c>
      <c r="C179" s="8" t="inlineStr">
        <is>
          <t>[M13]  C 25/30 hazır beton dökülmesi — kümes zemin döşemeleri (15 cm)</t>
        </is>
      </c>
      <c r="D179" s="21" t="inlineStr">
        <is>
          <t>m³</t>
        </is>
      </c>
      <c r="E179" s="22" t="n"/>
      <c r="F179" s="22" t="n"/>
      <c r="G179" s="22" t="n"/>
      <c r="H179" s="22" t="n"/>
      <c r="I179" s="22" t="n"/>
      <c r="J179" s="22" t="n"/>
    </row>
    <row r="180" ht="20" customHeight="1">
      <c r="A180" s="6" t="n"/>
      <c r="B180" s="6" t="n"/>
      <c r="C180" s="23" t="inlineStr">
        <is>
          <t>Kümes iç alanı 78.00x13,90 (servis bölümü hariç), kalınlık 0,15 m; 2 blok — bu yapıya düşen pay 0.500000</t>
        </is>
      </c>
      <c r="D180" s="6" t="n"/>
      <c r="E180" s="28" t="n">
        <v>2</v>
      </c>
      <c r="F180" s="29" t="n">
        <v>13.9</v>
      </c>
      <c r="G180" s="29" t="n">
        <v>78</v>
      </c>
      <c r="H180" s="29" t="n">
        <v>0.15</v>
      </c>
      <c r="I180" s="24">
        <f>E180*F180*G180*H180*J180</f>
        <v/>
      </c>
      <c r="J180" s="30" t="n">
        <v>0.5</v>
      </c>
    </row>
    <row r="181">
      <c r="A181" s="22" t="n"/>
      <c r="B181" s="22" t="n"/>
      <c r="C181" s="25" t="inlineStr">
        <is>
          <t>M13 TOPLAMI</t>
        </is>
      </c>
      <c r="D181" s="26" t="inlineStr">
        <is>
          <t>m³</t>
        </is>
      </c>
      <c r="E181" s="22" t="n"/>
      <c r="F181" s="22" t="n"/>
      <c r="G181" s="22" t="n"/>
      <c r="H181" s="22" t="n"/>
      <c r="I181" s="22" t="n"/>
      <c r="J181" s="27">
        <f>SUM(I180:I180)</f>
        <v/>
      </c>
    </row>
    <row r="182" ht="15" customHeight="1">
      <c r="A182" s="19" t="n">
        <v>5</v>
      </c>
      <c r="B182" s="20" t="inlineStr">
        <is>
          <t>15.180.1003</t>
        </is>
      </c>
      <c r="C182" s="8" t="inlineStr">
        <is>
          <t>[M18]  Plywood ile düz yüzeyli betonarme kalıbı — kümes temelleri</t>
        </is>
      </c>
      <c r="D182" s="21" t="inlineStr">
        <is>
          <t>m²</t>
        </is>
      </c>
      <c r="E182" s="22" t="n"/>
      <c r="F182" s="22" t="n"/>
      <c r="G182" s="22" t="n"/>
      <c r="H182" s="22" t="n"/>
      <c r="I182" s="22" t="n"/>
      <c r="J182" s="22" t="n"/>
    </row>
    <row r="183" ht="20" customHeight="1">
      <c r="A183" s="6" t="n"/>
      <c r="B183" s="6" t="n"/>
      <c r="C183" s="23" t="inlineStr">
        <is>
          <t>Şerit temel yan yüzleri: 21 aks x 2 yüz x 2 blok = 84; boy 13,55 m, yükseklik 0,60 m — bu yapıya düşen pay 0.500000</t>
        </is>
      </c>
      <c r="D183" s="6" t="n"/>
      <c r="E183" s="28" t="n">
        <v>84</v>
      </c>
      <c r="F183" s="6" t="n"/>
      <c r="G183" s="29" t="n">
        <v>13.55</v>
      </c>
      <c r="H183" s="29" t="n">
        <v>0.6</v>
      </c>
      <c r="I183" s="24">
        <f>E183*G183*H183*J183</f>
        <v/>
      </c>
      <c r="J183" s="30" t="n">
        <v>0.5</v>
      </c>
    </row>
    <row r="184" ht="20" customHeight="1">
      <c r="A184" s="6" t="n"/>
      <c r="B184" s="6" t="n"/>
      <c r="C184" s="23" t="inlineStr">
        <is>
          <t>Bağ kirişi yan yüzleri: 4 hat x 2 yüz x 2 blok = 16; kesişimler düşülmüş boy 68.05 m, yükseklik 0,30 m — bu yapıya düşen pay 0.500000</t>
        </is>
      </c>
      <c r="D184" s="6" t="n"/>
      <c r="E184" s="28" t="n">
        <v>16</v>
      </c>
      <c r="F184" s="6" t="n"/>
      <c r="G184" s="29" t="n">
        <v>68.05</v>
      </c>
      <c r="H184" s="29" t="n">
        <v>0.3</v>
      </c>
      <c r="I184" s="24">
        <f>E184*G184*H184*J184</f>
        <v/>
      </c>
      <c r="J184" s="30" t="n">
        <v>0.5</v>
      </c>
    </row>
    <row r="185" ht="30" customHeight="1">
      <c r="A185" s="6" t="n"/>
      <c r="B185" s="6" t="n"/>
      <c r="C185" s="23" t="inlineStr">
        <is>
          <t>Uç yüzeyler, gus ve birleşim bölgeleri — betonarme proje METRAJ tablosuna tamamlama (551.26-504.78 = 46.480 m²/blok) — bu yapıya düşen pay 0.500000</t>
        </is>
      </c>
      <c r="D185" s="6" t="n"/>
      <c r="E185" s="28" t="n">
        <v>2</v>
      </c>
      <c r="F185" s="6" t="n"/>
      <c r="G185" s="29" t="n">
        <v>46.48</v>
      </c>
      <c r="H185" s="6" t="n"/>
      <c r="I185" s="24">
        <f>E185*G185*J185</f>
        <v/>
      </c>
      <c r="J185" s="30" t="n">
        <v>0.5</v>
      </c>
    </row>
    <row r="186">
      <c r="A186" s="22" t="n"/>
      <c r="B186" s="22" t="n"/>
      <c r="C186" s="25" t="inlineStr">
        <is>
          <t>M18 TOPLAMI</t>
        </is>
      </c>
      <c r="D186" s="26" t="inlineStr">
        <is>
          <t>m²</t>
        </is>
      </c>
      <c r="E186" s="22" t="n"/>
      <c r="F186" s="22" t="n"/>
      <c r="G186" s="22" t="n"/>
      <c r="H186" s="22" t="n"/>
      <c r="I186" s="22" t="n"/>
      <c r="J186" s="27">
        <f>SUM(I183:I185)</f>
        <v/>
      </c>
    </row>
    <row r="187" ht="15" customHeight="1">
      <c r="A187" s="19" t="n">
        <v>6</v>
      </c>
      <c r="B187" s="20" t="inlineStr">
        <is>
          <t>15.160.1003</t>
        </is>
      </c>
      <c r="C187" s="8" t="inlineStr">
        <is>
          <t>[M22]  Ø8-Ø12 nervürlü beton çelik çubuğu — kümes temelleri</t>
        </is>
      </c>
      <c r="D187" s="21" t="inlineStr">
        <is>
          <t>ton</t>
        </is>
      </c>
      <c r="E187" s="22" t="n"/>
      <c r="F187" s="22" t="n"/>
      <c r="G187" s="22" t="n"/>
      <c r="H187" s="22" t="n"/>
      <c r="I187" s="22" t="n"/>
      <c r="J187" s="22" t="n"/>
    </row>
    <row r="188" ht="20" customHeight="1">
      <c r="A188" s="6" t="n"/>
      <c r="B188" s="6" t="n"/>
      <c r="C188" s="23" t="inlineStr">
        <is>
          <t>Betonarme proje METRAJ tablosu 4.159,89 kg/blok, boy oranı (1.000000) ile ölçeklenmiş: 4159.89 kg/blok; 2 blok — bu yapıya düşen pay 0.500000</t>
        </is>
      </c>
      <c r="D188" s="6" t="n"/>
      <c r="E188" s="28" t="n">
        <v>2</v>
      </c>
      <c r="F188" s="6" t="n"/>
      <c r="G188" s="6" t="n"/>
      <c r="H188" s="6" t="n"/>
      <c r="I188" s="24">
        <f>E188*J188</f>
        <v/>
      </c>
      <c r="J188" s="30" t="n">
        <v>2.079945</v>
      </c>
    </row>
    <row r="189">
      <c r="A189" s="22" t="n"/>
      <c r="B189" s="22" t="n"/>
      <c r="C189" s="25" t="inlineStr">
        <is>
          <t>M22 TOPLAMI</t>
        </is>
      </c>
      <c r="D189" s="26" t="inlineStr">
        <is>
          <t>ton</t>
        </is>
      </c>
      <c r="E189" s="22" t="n"/>
      <c r="F189" s="22" t="n"/>
      <c r="G189" s="22" t="n"/>
      <c r="H189" s="22" t="n"/>
      <c r="I189" s="22" t="n"/>
      <c r="J189" s="27">
        <f>SUM(I188:I188)</f>
        <v/>
      </c>
    </row>
    <row r="190" ht="15" customHeight="1">
      <c r="A190" s="19" t="n">
        <v>7</v>
      </c>
      <c r="B190" s="20" t="inlineStr">
        <is>
          <t>15.160.1004</t>
        </is>
      </c>
      <c r="C190" s="8" t="inlineStr">
        <is>
          <t>[M23]  Ø14-Ø28 nervürlü beton çelik çubuğu — kümes temelleri</t>
        </is>
      </c>
      <c r="D190" s="21" t="inlineStr">
        <is>
          <t>ton</t>
        </is>
      </c>
      <c r="E190" s="22" t="n"/>
      <c r="F190" s="22" t="n"/>
      <c r="G190" s="22" t="n"/>
      <c r="H190" s="22" t="n"/>
      <c r="I190" s="22" t="n"/>
      <c r="J190" s="22" t="n"/>
    </row>
    <row r="191" ht="20" customHeight="1">
      <c r="A191" s="6" t="n"/>
      <c r="B191" s="6" t="n"/>
      <c r="C191" s="23" t="inlineStr">
        <is>
          <t>Betonarme proje METRAJ tablosu 7.287,50 kg/blok, boy oranı (1.000000) ile ölçeklenmiş: 7287.50 kg/blok; 2 blok — bu yapıya düşen pay 0.500000</t>
        </is>
      </c>
      <c r="D191" s="6" t="n"/>
      <c r="E191" s="28" t="n">
        <v>2</v>
      </c>
      <c r="F191" s="6" t="n"/>
      <c r="G191" s="6" t="n"/>
      <c r="H191" s="6" t="n"/>
      <c r="I191" s="24">
        <f>E191*J191</f>
        <v/>
      </c>
      <c r="J191" s="30" t="n">
        <v>3.64375</v>
      </c>
    </row>
    <row r="192">
      <c r="A192" s="22" t="n"/>
      <c r="B192" s="22" t="n"/>
      <c r="C192" s="25" t="inlineStr">
        <is>
          <t>M23 TOPLAMI</t>
        </is>
      </c>
      <c r="D192" s="26" t="inlineStr">
        <is>
          <t>ton</t>
        </is>
      </c>
      <c r="E192" s="22" t="n"/>
      <c r="F192" s="22" t="n"/>
      <c r="G192" s="22" t="n"/>
      <c r="H192" s="22" t="n"/>
      <c r="I192" s="22" t="n"/>
      <c r="J192" s="27">
        <f>SUM(I191:I191)</f>
        <v/>
      </c>
    </row>
    <row r="193" ht="15" customHeight="1">
      <c r="A193" s="19" t="n">
        <v>8</v>
      </c>
      <c r="B193" s="20" t="inlineStr">
        <is>
          <t>15.160.1002</t>
        </is>
      </c>
      <c r="C193" s="8" t="inlineStr">
        <is>
          <t>[M27]  Nervürlü çelik hasırın yerine konulması — kümes döşemeleri</t>
        </is>
      </c>
      <c r="D193" s="21" t="inlineStr">
        <is>
          <t>ton</t>
        </is>
      </c>
      <c r="E193" s="22" t="n"/>
      <c r="F193" s="22" t="n"/>
      <c r="G193" s="22" t="n"/>
      <c r="H193" s="22" t="n"/>
      <c r="I193" s="22" t="n"/>
      <c r="J193" s="22" t="n"/>
    </row>
    <row r="194" ht="20" customHeight="1">
      <c r="A194" s="6" t="n"/>
      <c r="B194" s="6" t="n"/>
      <c r="C194" s="23" t="inlineStr">
        <is>
          <t>Kümes iç alanı 78.00x13,90 (2 blok); Q188 = 3,05 kg/m², %10 bindirme payı -&gt; 3,05x1,10/1000 = 0,003355 ton/m² — bu yapıya düşen pay 0.500000</t>
        </is>
      </c>
      <c r="D194" s="6" t="n"/>
      <c r="E194" s="28" t="n">
        <v>2</v>
      </c>
      <c r="F194" s="29" t="n">
        <v>13.9</v>
      </c>
      <c r="G194" s="29" t="n">
        <v>78</v>
      </c>
      <c r="H194" s="6" t="n"/>
      <c r="I194" s="24">
        <f>E194*F194*G194*J194</f>
        <v/>
      </c>
      <c r="J194" s="30" t="n">
        <v>0.0016775</v>
      </c>
    </row>
    <row r="195">
      <c r="A195" s="22" t="n"/>
      <c r="B195" s="22" t="n"/>
      <c r="C195" s="25" t="inlineStr">
        <is>
          <t>M27 TOPLAMI</t>
        </is>
      </c>
      <c r="D195" s="26" t="inlineStr">
        <is>
          <t>ton</t>
        </is>
      </c>
      <c r="E195" s="22" t="n"/>
      <c r="F195" s="22" t="n"/>
      <c r="G195" s="22" t="n"/>
      <c r="H195" s="22" t="n"/>
      <c r="I195" s="22" t="n"/>
      <c r="J195" s="27">
        <f>SUM(I194:I194)</f>
        <v/>
      </c>
    </row>
    <row r="196" ht="33" customHeight="1">
      <c r="A196" s="19" t="n">
        <v>9</v>
      </c>
      <c r="B196" s="20" t="inlineStr">
        <is>
          <t>15.165.1003</t>
        </is>
      </c>
      <c r="C196" s="8" t="inlineStr">
        <is>
          <t>[M31]  Her çeşit profil, çelik çubuk ve saclarla karkas (çerçeve) inşaat yapılması, yerine tespiti — kümes çelik taşıyıcı sistemi</t>
        </is>
      </c>
      <c r="D196" s="21" t="inlineStr">
        <is>
          <t>ton</t>
        </is>
      </c>
      <c r="E196" s="22" t="n"/>
      <c r="F196" s="22" t="n"/>
      <c r="G196" s="22" t="n"/>
      <c r="H196" s="22" t="n"/>
      <c r="I196" s="22" t="n"/>
      <c r="J196" s="22" t="n"/>
    </row>
    <row r="197" ht="20" customHeight="1">
      <c r="A197" s="6" t="n"/>
      <c r="B197" s="6" t="n"/>
      <c r="C197" s="23" t="inlineStr">
        <is>
          <t>SHS 150x150x6 kolon, ana kiriş ve boyuna kirişler: 802.09 m x 26,89 kg/m (2 blok) — bu yapıya düşen pay 0.500000</t>
        </is>
      </c>
      <c r="D197" s="6" t="n"/>
      <c r="E197" s="28" t="n">
        <v>2</v>
      </c>
      <c r="F197" s="6" t="n"/>
      <c r="G197" s="29" t="n">
        <v>802.09</v>
      </c>
      <c r="H197" s="6" t="n"/>
      <c r="I197" s="24">
        <f>E197*G197*J197</f>
        <v/>
      </c>
      <c r="J197" s="30" t="n">
        <v>0.013445</v>
      </c>
    </row>
    <row r="198" ht="20" customHeight="1">
      <c r="A198" s="6" t="n"/>
      <c r="B198" s="6" t="n"/>
      <c r="C198" s="23" t="inlineStr">
        <is>
          <t>RHS 100x50x3 çatı aşıkları, yan aşıklar ve kuşaklar: 2269.20 m x 6,72 kg/m (2 blok) — bu yapıya düşen pay 0.500000</t>
        </is>
      </c>
      <c r="D198" s="6" t="n"/>
      <c r="E198" s="28" t="n">
        <v>2</v>
      </c>
      <c r="F198" s="6" t="n"/>
      <c r="G198" s="29" t="n">
        <v>2269.2</v>
      </c>
      <c r="H198" s="6" t="n"/>
      <c r="I198" s="24">
        <f>E198*G198*J198</f>
        <v/>
      </c>
      <c r="J198" s="30" t="n">
        <v>0.00336</v>
      </c>
    </row>
    <row r="199" ht="20" customHeight="1">
      <c r="A199" s="6" t="n"/>
      <c r="B199" s="6" t="n"/>
      <c r="C199" s="23" t="inlineStr">
        <is>
          <t>SHS 100x100x4 çatı ve cephe çaprazları: 270.00 m x 11,95 kg/m (2 blok) — bu yapıya düşen pay 0.500000</t>
        </is>
      </c>
      <c r="D199" s="6" t="n"/>
      <c r="E199" s="28" t="n">
        <v>2</v>
      </c>
      <c r="F199" s="6" t="n"/>
      <c r="G199" s="29" t="n">
        <v>270</v>
      </c>
      <c r="H199" s="6" t="n"/>
      <c r="I199" s="24">
        <f>E199*G199*J199</f>
        <v/>
      </c>
      <c r="J199" s="30" t="n">
        <v>0.005975</v>
      </c>
    </row>
    <row r="200" ht="20" customHeight="1">
      <c r="A200" s="6" t="n"/>
      <c r="B200" s="6" t="n"/>
      <c r="C200" s="23" t="inlineStr">
        <is>
          <t>Gusse, alın levhası, taban plakası ve bulonlar — profil ağırlığının %10'u — bu yapıya düşen pay 0.500000</t>
        </is>
      </c>
      <c r="D200" s="6" t="n"/>
      <c r="E200" s="28" t="n">
        <v>2</v>
      </c>
      <c r="F200" s="6" t="n"/>
      <c r="G200" s="29" t="n">
        <v>40.0437</v>
      </c>
      <c r="H200" s="6" t="n"/>
      <c r="I200" s="24">
        <f>E200*G200*J200</f>
        <v/>
      </c>
      <c r="J200" s="30" t="n">
        <v>0.05</v>
      </c>
    </row>
    <row r="201">
      <c r="A201" s="22" t="n"/>
      <c r="B201" s="22" t="n"/>
      <c r="C201" s="25" t="inlineStr">
        <is>
          <t>M31 TOPLAMI</t>
        </is>
      </c>
      <c r="D201" s="26" t="inlineStr">
        <is>
          <t>ton</t>
        </is>
      </c>
      <c r="E201" s="22" t="n"/>
      <c r="F201" s="22" t="n"/>
      <c r="G201" s="22" t="n"/>
      <c r="H201" s="22" t="n"/>
      <c r="I201" s="22" t="n"/>
      <c r="J201" s="27">
        <f>SUM(I197:I200)</f>
        <v/>
      </c>
    </row>
    <row r="202" ht="33" customHeight="1">
      <c r="A202" s="19" t="n">
        <v>10</v>
      </c>
      <c r="B202" s="20" t="inlineStr">
        <is>
          <t>TKDK-0042</t>
        </is>
      </c>
      <c r="C202" s="8" t="inlineStr">
        <is>
          <t>[M32]  6 cm poliüretan dolgulu (üst min. 0,40 mm, alt min. 0,30 mm) boyalı galvanizli sac levhalar ile ısı yalıtımlı çatı kaplaması yapılması</t>
        </is>
      </c>
      <c r="D202" s="21" t="inlineStr">
        <is>
          <t>m²</t>
        </is>
      </c>
      <c r="E202" s="22" t="n"/>
      <c r="F202" s="22" t="n"/>
      <c r="G202" s="22" t="n"/>
      <c r="H202" s="22" t="n"/>
      <c r="I202" s="22" t="n"/>
      <c r="J202" s="22" t="n"/>
    </row>
    <row r="203" ht="30" customHeight="1">
      <c r="A203" s="6" t="n"/>
      <c r="B203" s="6" t="n"/>
      <c r="C203" s="23" t="inlineStr">
        <is>
          <t>Eğik çatı yüzeyi: gelişmiş genişlik 2x7,55 = 15,10 m (A-A kesitindeki 1510 ölçüsü); boy 79.00 + 2x0,40 saçak = 79.80 m; 2 blok — bu yapıya düşen pay 0.500000</t>
        </is>
      </c>
      <c r="D203" s="6" t="n"/>
      <c r="E203" s="28" t="n">
        <v>2</v>
      </c>
      <c r="F203" s="29" t="n">
        <v>15.1</v>
      </c>
      <c r="G203" s="29" t="n">
        <v>79.8</v>
      </c>
      <c r="H203" s="6" t="n"/>
      <c r="I203" s="24">
        <f>E203*F203*G203*J203</f>
        <v/>
      </c>
      <c r="J203" s="30" t="n">
        <v>0.5</v>
      </c>
    </row>
    <row r="204">
      <c r="A204" s="22" t="n"/>
      <c r="B204" s="22" t="n"/>
      <c r="C204" s="25" t="inlineStr">
        <is>
          <t>M32 TOPLAMI</t>
        </is>
      </c>
      <c r="D204" s="26" t="inlineStr">
        <is>
          <t>m²</t>
        </is>
      </c>
      <c r="E204" s="22" t="n"/>
      <c r="F204" s="22" t="n"/>
      <c r="G204" s="22" t="n"/>
      <c r="H204" s="22" t="n"/>
      <c r="I204" s="22" t="n"/>
      <c r="J204" s="27">
        <f>SUM(I203:I203)</f>
        <v/>
      </c>
    </row>
    <row r="205" ht="22" customHeight="1">
      <c r="A205" s="19" t="n">
        <v>11</v>
      </c>
      <c r="B205" s="20" t="inlineStr">
        <is>
          <t>15.225.1410</t>
        </is>
      </c>
      <c r="C205" s="8" t="inlineStr">
        <is>
          <t>[M33A]  20 cm kalınlığındaki teçhizatlı gazbeton lento temini ve yerine konulması — boşluk üstü lento ve yatay hatıl</t>
        </is>
      </c>
      <c r="D205" s="21" t="inlineStr">
        <is>
          <t>m²</t>
        </is>
      </c>
      <c r="E205" s="22" t="n"/>
      <c r="F205" s="22" t="n"/>
      <c r="G205" s="22" t="n"/>
      <c r="H205" s="22" t="n"/>
      <c r="I205" s="22" t="n"/>
      <c r="J205" s="22" t="n"/>
    </row>
    <row r="206" ht="20" customHeight="1">
      <c r="A206" s="6" t="n"/>
      <c r="B206" s="6" t="n"/>
      <c r="C206" s="23" t="inlineStr">
        <is>
          <t>Yükleme kapısı lentosu: açıklık 3,00 + 2x0,20 mesnet = 3,40 m; lento yüksekliği 0,25 m; 2 adet — bu yapıya düşen pay 0.500000</t>
        </is>
      </c>
      <c r="D206" s="6" t="n"/>
      <c r="E206" s="28" t="n">
        <v>2</v>
      </c>
      <c r="F206" s="6" t="n"/>
      <c r="G206" s="29" t="n">
        <v>3.4</v>
      </c>
      <c r="H206" s="29" t="n">
        <v>0.25</v>
      </c>
      <c r="I206" s="24">
        <f>E206*G206*H206*J206</f>
        <v/>
      </c>
      <c r="J206" s="30" t="n">
        <v>0.5</v>
      </c>
    </row>
    <row r="207" ht="20" customHeight="1">
      <c r="A207" s="6" t="n"/>
      <c r="B207" s="6" t="n"/>
      <c r="C207" s="23" t="inlineStr">
        <is>
          <t>Servis kapısı lentosu: açıklık 1,00 + 2x0,20 = 1,40 m; yükseklik 0,25 m; 4 adet — bu yapıya düşen pay 0.500000</t>
        </is>
      </c>
      <c r="D207" s="6" t="n"/>
      <c r="E207" s="28" t="n">
        <v>4</v>
      </c>
      <c r="F207" s="6" t="n"/>
      <c r="G207" s="29" t="n">
        <v>1.4</v>
      </c>
      <c r="H207" s="29" t="n">
        <v>0.25</v>
      </c>
      <c r="I207" s="24">
        <f>E207*G207*H207*J207</f>
        <v/>
      </c>
      <c r="J207" s="30" t="n">
        <v>0.5</v>
      </c>
    </row>
    <row r="208" ht="20" customHeight="1">
      <c r="A208" s="6" t="n"/>
      <c r="B208" s="6" t="n"/>
      <c r="C208" s="23" t="inlineStr">
        <is>
          <t>Tünel fan menfezi lentosu: açıklık 1,40 + 2x0,20 = 1,80 m; yükseklik 0,25 m; 8 adet — bu yapıya düşen pay 0.500000</t>
        </is>
      </c>
      <c r="D208" s="6" t="n"/>
      <c r="E208" s="28" t="n">
        <v>8</v>
      </c>
      <c r="F208" s="6" t="n"/>
      <c r="G208" s="29" t="n">
        <v>1.8</v>
      </c>
      <c r="H208" s="29" t="n">
        <v>0.25</v>
      </c>
      <c r="I208" s="24">
        <f>E208*G208*H208*J208</f>
        <v/>
      </c>
      <c r="J208" s="30" t="n">
        <v>0.5</v>
      </c>
    </row>
    <row r="209" ht="30" customHeight="1">
      <c r="A209" s="6" t="n"/>
      <c r="B209" s="6" t="n"/>
      <c r="C209" s="23" t="inlineStr">
        <is>
          <t>Uzun cephelerde +3,00 kotunda yatay hatıl (duvar yüksekliği 3,00 m &gt; 2,75 m): 2 cephe x 2 blok = 4; boy 79.00 m; yükseklik 0,25 m — bu yapıya düşen pay 0.500000</t>
        </is>
      </c>
      <c r="D209" s="6" t="n"/>
      <c r="E209" s="28" t="n">
        <v>4</v>
      </c>
      <c r="F209" s="6" t="n"/>
      <c r="G209" s="29" t="n">
        <v>79</v>
      </c>
      <c r="H209" s="29" t="n">
        <v>0.25</v>
      </c>
      <c r="I209" s="24">
        <f>E209*G209*H209*J209</f>
        <v/>
      </c>
      <c r="J209" s="30" t="n">
        <v>0.5</v>
      </c>
    </row>
    <row r="210" ht="20" customHeight="1">
      <c r="A210" s="6" t="n"/>
      <c r="B210" s="6" t="n"/>
      <c r="C210" s="23" t="inlineStr">
        <is>
          <t>Alınlık cephelerinde +3,00 kotunda yatay hatıl: 4; boy 14,00 m; yükseklik 0,25 m — bu yapıya düşen pay 0.500000</t>
        </is>
      </c>
      <c r="D210" s="6" t="n"/>
      <c r="E210" s="28" t="n">
        <v>4</v>
      </c>
      <c r="F210" s="6" t="n"/>
      <c r="G210" s="29" t="n">
        <v>14</v>
      </c>
      <c r="H210" s="29" t="n">
        <v>0.25</v>
      </c>
      <c r="I210" s="24">
        <f>E210*G210*H210*J210</f>
        <v/>
      </c>
      <c r="J210" s="30" t="n">
        <v>0.5</v>
      </c>
    </row>
    <row r="211">
      <c r="A211" s="22" t="n"/>
      <c r="B211" s="22" t="n"/>
      <c r="C211" s="25" t="inlineStr">
        <is>
          <t>M33A TOPLAMI</t>
        </is>
      </c>
      <c r="D211" s="26" t="inlineStr">
        <is>
          <t>m²</t>
        </is>
      </c>
      <c r="E211" s="22" t="n"/>
      <c r="F211" s="22" t="n"/>
      <c r="G211" s="22" t="n"/>
      <c r="H211" s="22" t="n"/>
      <c r="I211" s="22" t="n"/>
      <c r="J211" s="27">
        <f>SUM(I206:I210)</f>
        <v/>
      </c>
    </row>
    <row r="212" ht="22" customHeight="1">
      <c r="A212" s="19" t="n">
        <v>12</v>
      </c>
      <c r="B212" s="20" t="inlineStr">
        <is>
          <t>15.225.1010</t>
        </is>
      </c>
      <c r="C212" s="8" t="inlineStr">
        <is>
          <t>[M33]  20 cm kalınlığındaki teçhizatsız gazbeton duvar blokları ile duvar yapılması (gazbeton tutkalı ile) — cephe duvarı</t>
        </is>
      </c>
      <c r="D212" s="21" t="inlineStr">
        <is>
          <t>m²</t>
        </is>
      </c>
      <c r="E212" s="22" t="n"/>
      <c r="F212" s="22" t="n"/>
      <c r="G212" s="22" t="n"/>
      <c r="H212" s="22" t="n"/>
      <c r="I212" s="22" t="n"/>
      <c r="J212" s="22" t="n"/>
    </row>
    <row r="213" ht="20" customHeight="1">
      <c r="A213" s="6" t="n"/>
      <c r="B213" s="6" t="n"/>
      <c r="C213" s="23" t="inlineStr">
        <is>
          <t>Uzun cepheler: 2 cephe x 2 blok = 4; boy 79.00 m, saçak kotu 3,00 m — bu yapıya düşen pay 0.500000</t>
        </is>
      </c>
      <c r="D213" s="6" t="n"/>
      <c r="E213" s="28" t="n">
        <v>4</v>
      </c>
      <c r="F213" s="6" t="n"/>
      <c r="G213" s="29" t="n">
        <v>79</v>
      </c>
      <c r="H213" s="29" t="n">
        <v>3</v>
      </c>
      <c r="I213" s="24">
        <f>E213*G213*H213*J213</f>
        <v/>
      </c>
      <c r="J213" s="30" t="n">
        <v>0.5</v>
      </c>
    </row>
    <row r="214" ht="20" customHeight="1">
      <c r="A214" s="6" t="n"/>
      <c r="B214" s="6" t="n"/>
      <c r="C214" s="23" t="inlineStr">
        <is>
          <t>Alınlık cepheleri dikdörtgen kısmı: 2 cephe x 2 blok = 4; boy 14,00 m, yükseklik 3,00 m — bu yapıya düşen pay 0.500000</t>
        </is>
      </c>
      <c r="D214" s="6" t="n"/>
      <c r="E214" s="28" t="n">
        <v>4</v>
      </c>
      <c r="F214" s="6" t="n"/>
      <c r="G214" s="29" t="n">
        <v>14</v>
      </c>
      <c r="H214" s="29" t="n">
        <v>3</v>
      </c>
      <c r="I214" s="24">
        <f>E214*G214*H214*J214</f>
        <v/>
      </c>
      <c r="J214" s="30" t="n">
        <v>0.5</v>
      </c>
    </row>
    <row r="215" ht="20" customHeight="1">
      <c r="A215" s="6" t="n"/>
      <c r="B215" s="6" t="n"/>
      <c r="C215" s="23" t="inlineStr">
        <is>
          <t>Alınlık üçgeni: taban 14,00 m, yükseklik 4,50-3,00 = 1,50 m, üçgen çarpanı 0,50; 4 adet — bu yapıya düşen pay 0.500000</t>
        </is>
      </c>
      <c r="D215" s="6" t="n"/>
      <c r="E215" s="28" t="n">
        <v>4</v>
      </c>
      <c r="F215" s="6" t="n"/>
      <c r="G215" s="29" t="n">
        <v>14</v>
      </c>
      <c r="H215" s="29" t="n">
        <v>1.5</v>
      </c>
      <c r="I215" s="24">
        <f>E215*G215*H215*J215</f>
        <v/>
      </c>
      <c r="J215" s="30" t="n">
        <v>0.25</v>
      </c>
    </row>
    <row r="216" ht="12" customHeight="1">
      <c r="A216" s="6" t="n"/>
      <c r="B216" s="6" t="n"/>
      <c r="C216" s="23" t="inlineStr">
        <is>
          <t>Yükleme kapısı boşlukları (3,00x3,00), 2 adet — bu yapıya düşen pay 0.500000</t>
        </is>
      </c>
      <c r="D216" s="6" t="n"/>
      <c r="E216" s="28" t="n">
        <v>2</v>
      </c>
      <c r="F216" s="6" t="n"/>
      <c r="G216" s="29" t="n">
        <v>3</v>
      </c>
      <c r="H216" s="29" t="n">
        <v>3</v>
      </c>
      <c r="I216" s="24">
        <f>-E216*G216*H216*J216</f>
        <v/>
      </c>
      <c r="J216" s="30" t="n">
        <v>0.5</v>
      </c>
    </row>
    <row r="217" ht="12" customHeight="1">
      <c r="A217" s="6" t="n"/>
      <c r="B217" s="6" t="n"/>
      <c r="C217" s="23" t="inlineStr">
        <is>
          <t>Servis kapısı boşlukları (1,00x2,20), 4 adet — bu yapıya düşen pay 0.500000</t>
        </is>
      </c>
      <c r="D217" s="6" t="n"/>
      <c r="E217" s="28" t="n">
        <v>4</v>
      </c>
      <c r="F217" s="6" t="n"/>
      <c r="G217" s="29" t="n">
        <v>1</v>
      </c>
      <c r="H217" s="29" t="n">
        <v>2.2</v>
      </c>
      <c r="I217" s="24">
        <f>-E217*G217*H217*J217</f>
        <v/>
      </c>
      <c r="J217" s="30" t="n">
        <v>0.5</v>
      </c>
    </row>
    <row r="218" ht="12" customHeight="1">
      <c r="A218" s="6" t="n"/>
      <c r="B218" s="6" t="n"/>
      <c r="C218" s="23" t="inlineStr">
        <is>
          <t>Tünel fan boşlukları (1,40x1,40), 8 adet — bu yapıya düşen pay 0.500000</t>
        </is>
      </c>
      <c r="D218" s="6" t="n"/>
      <c r="E218" s="28" t="n">
        <v>8</v>
      </c>
      <c r="F218" s="6" t="n"/>
      <c r="G218" s="29" t="n">
        <v>1.4</v>
      </c>
      <c r="H218" s="29" t="n">
        <v>1.4</v>
      </c>
      <c r="I218" s="24">
        <f>-E218*G218*H218*J218</f>
        <v/>
      </c>
      <c r="J218" s="30" t="n">
        <v>0.5</v>
      </c>
    </row>
    <row r="219" ht="12" customHeight="1">
      <c r="A219" s="6" t="n"/>
      <c r="B219" s="6" t="n"/>
      <c r="C219" s="23" t="inlineStr">
        <is>
          <t>Lento ve yatay hatıl alanı düşülmüştür (M33A)</t>
        </is>
      </c>
      <c r="D219" s="6" t="n"/>
      <c r="E219" s="6" t="n"/>
      <c r="F219" s="6" t="n"/>
      <c r="G219" s="6" t="n"/>
      <c r="H219" s="6" t="n"/>
      <c r="I219" s="24">
        <f>-J211</f>
        <v/>
      </c>
      <c r="J219" s="6" t="n"/>
    </row>
    <row r="220">
      <c r="A220" s="22" t="n"/>
      <c r="B220" s="22" t="n"/>
      <c r="C220" s="25" t="inlineStr">
        <is>
          <t>M33 TOPLAMI</t>
        </is>
      </c>
      <c r="D220" s="26" t="inlineStr">
        <is>
          <t>m²</t>
        </is>
      </c>
      <c r="E220" s="22" t="n"/>
      <c r="F220" s="22" t="n"/>
      <c r="G220" s="22" t="n"/>
      <c r="H220" s="22" t="n"/>
      <c r="I220" s="22" t="n"/>
      <c r="J220" s="27">
        <f>SUM(I213:I219)</f>
        <v/>
      </c>
    </row>
    <row r="221" ht="22" customHeight="1">
      <c r="A221" s="19" t="n">
        <v>13</v>
      </c>
      <c r="B221" s="20" t="inlineStr">
        <is>
          <t>15.275.1116</t>
        </is>
      </c>
      <c r="C221" s="8" t="inlineStr">
        <is>
          <t>[M33B]  250 kg çimento dozlu harç ile kaba sıva yapılması — cephe duvarı dış yüzü</t>
        </is>
      </c>
      <c r="D221" s="21" t="inlineStr">
        <is>
          <t>m²</t>
        </is>
      </c>
      <c r="E221" s="22" t="n"/>
      <c r="F221" s="22" t="n"/>
      <c r="G221" s="22" t="n"/>
      <c r="H221" s="22" t="n"/>
      <c r="I221" s="22" t="n"/>
      <c r="J221" s="22" t="n"/>
    </row>
    <row r="222" ht="12" customHeight="1">
      <c r="A222" s="6" t="n"/>
      <c r="B222" s="6" t="n"/>
      <c r="C222" s="23" t="inlineStr">
        <is>
          <t>Gazbeton duvar dış yüzü (M33)</t>
        </is>
      </c>
      <c r="D222" s="6" t="n"/>
      <c r="E222" s="6" t="n"/>
      <c r="F222" s="6" t="n"/>
      <c r="G222" s="6" t="n"/>
      <c r="H222" s="6" t="n"/>
      <c r="I222" s="24">
        <f>J220</f>
        <v/>
      </c>
      <c r="J222" s="6" t="n"/>
    </row>
    <row r="223" ht="12" customHeight="1">
      <c r="A223" s="6" t="n"/>
      <c r="B223" s="6" t="n"/>
      <c r="C223" s="23" t="inlineStr">
        <is>
          <t>Lento ve yatay hatıl dış yüzü (M33A)</t>
        </is>
      </c>
      <c r="D223" s="6" t="n"/>
      <c r="E223" s="6" t="n"/>
      <c r="F223" s="6" t="n"/>
      <c r="G223" s="6" t="n"/>
      <c r="H223" s="6" t="n"/>
      <c r="I223" s="24">
        <f>J211</f>
        <v/>
      </c>
      <c r="J223" s="6" t="n"/>
    </row>
    <row r="224">
      <c r="A224" s="22" t="n"/>
      <c r="B224" s="22" t="n"/>
      <c r="C224" s="25" t="inlineStr">
        <is>
          <t>M33B TOPLAMI</t>
        </is>
      </c>
      <c r="D224" s="26" t="inlineStr">
        <is>
          <t>m²</t>
        </is>
      </c>
      <c r="E224" s="22" t="n"/>
      <c r="F224" s="22" t="n"/>
      <c r="G224" s="22" t="n"/>
      <c r="H224" s="22" t="n"/>
      <c r="I224" s="22" t="n"/>
      <c r="J224" s="27">
        <f>SUM(I222:I223)</f>
        <v/>
      </c>
    </row>
    <row r="225" ht="22" customHeight="1">
      <c r="A225" s="19" t="n">
        <v>14</v>
      </c>
      <c r="B225" s="20" t="inlineStr">
        <is>
          <t>15.275.1117</t>
        </is>
      </c>
      <c r="C225" s="8" t="inlineStr">
        <is>
          <t>[M33C]  200 kg çimento ve kireç karışımı harç ile kaba sıva yapılması (iç cephe) — cephe duvarı iç yüzü</t>
        </is>
      </c>
      <c r="D225" s="21" t="inlineStr">
        <is>
          <t>m²</t>
        </is>
      </c>
      <c r="E225" s="22" t="n"/>
      <c r="F225" s="22" t="n"/>
      <c r="G225" s="22" t="n"/>
      <c r="H225" s="22" t="n"/>
      <c r="I225" s="22" t="n"/>
      <c r="J225" s="22" t="n"/>
    </row>
    <row r="226" ht="12" customHeight="1">
      <c r="A226" s="6" t="n"/>
      <c r="B226" s="6" t="n"/>
      <c r="C226" s="23" t="inlineStr">
        <is>
          <t>Gazbeton duvar iç yüzü (M33)</t>
        </is>
      </c>
      <c r="D226" s="6" t="n"/>
      <c r="E226" s="6" t="n"/>
      <c r="F226" s="6" t="n"/>
      <c r="G226" s="6" t="n"/>
      <c r="H226" s="6" t="n"/>
      <c r="I226" s="24">
        <f>J220</f>
        <v/>
      </c>
      <c r="J226" s="6" t="n"/>
    </row>
    <row r="227" ht="12" customHeight="1">
      <c r="A227" s="6" t="n"/>
      <c r="B227" s="6" t="n"/>
      <c r="C227" s="23" t="inlineStr">
        <is>
          <t>Lento ve yatay hatıl iç yüzü (M33A)</t>
        </is>
      </c>
      <c r="D227" s="6" t="n"/>
      <c r="E227" s="6" t="n"/>
      <c r="F227" s="6" t="n"/>
      <c r="G227" s="6" t="n"/>
      <c r="H227" s="6" t="n"/>
      <c r="I227" s="24">
        <f>J211</f>
        <v/>
      </c>
      <c r="J227" s="6" t="n"/>
    </row>
    <row r="228">
      <c r="A228" s="22" t="n"/>
      <c r="B228" s="22" t="n"/>
      <c r="C228" s="25" t="inlineStr">
        <is>
          <t>M33C TOPLAMI</t>
        </is>
      </c>
      <c r="D228" s="26" t="inlineStr">
        <is>
          <t>m²</t>
        </is>
      </c>
      <c r="E228" s="22" t="n"/>
      <c r="F228" s="22" t="n"/>
      <c r="G228" s="22" t="n"/>
      <c r="H228" s="22" t="n"/>
      <c r="I228" s="22" t="n"/>
      <c r="J228" s="27">
        <f>SUM(I226:I227)</f>
        <v/>
      </c>
    </row>
    <row r="229" ht="22" customHeight="1">
      <c r="A229" s="19" t="n">
        <v>15</v>
      </c>
      <c r="B229" s="20" t="inlineStr">
        <is>
          <t>15.540.1606</t>
        </is>
      </c>
      <c r="C229" s="8" t="inlineStr">
        <is>
          <t>[M33D]  Brüt beton, sıvalı veya eski boyalı yüzeylere astar uygulanarak silikon esaslı su bazlı dış cephe boyası</t>
        </is>
      </c>
      <c r="D229" s="21" t="inlineStr">
        <is>
          <t>m²</t>
        </is>
      </c>
      <c r="E229" s="22" t="n"/>
      <c r="F229" s="22" t="n"/>
      <c r="G229" s="22" t="n"/>
      <c r="H229" s="22" t="n"/>
      <c r="I229" s="22" t="n"/>
      <c r="J229" s="22" t="n"/>
    </row>
    <row r="230" ht="12" customHeight="1">
      <c r="A230" s="6" t="n"/>
      <c r="B230" s="6" t="n"/>
      <c r="C230" s="23" t="inlineStr">
        <is>
          <t>Dış yüzde sıvalı alanın tamamı (M33B)</t>
        </is>
      </c>
      <c r="D230" s="6" t="n"/>
      <c r="E230" s="6" t="n"/>
      <c r="F230" s="6" t="n"/>
      <c r="G230" s="6" t="n"/>
      <c r="H230" s="6" t="n"/>
      <c r="I230" s="24">
        <f>J224</f>
        <v/>
      </c>
      <c r="J230" s="6" t="n"/>
    </row>
    <row r="231">
      <c r="A231" s="22" t="n"/>
      <c r="B231" s="22" t="n"/>
      <c r="C231" s="25" t="inlineStr">
        <is>
          <t>M33D TOPLAMI</t>
        </is>
      </c>
      <c r="D231" s="26" t="inlineStr">
        <is>
          <t>m²</t>
        </is>
      </c>
      <c r="E231" s="22" t="n"/>
      <c r="F231" s="22" t="n"/>
      <c r="G231" s="22" t="n"/>
      <c r="H231" s="22" t="n"/>
      <c r="I231" s="22" t="n"/>
      <c r="J231" s="27">
        <f>SUM(I230:I230)</f>
        <v/>
      </c>
    </row>
    <row r="232" ht="22" customHeight="1">
      <c r="A232" s="19" t="n">
        <v>16</v>
      </c>
      <c r="B232" s="20" t="inlineStr">
        <is>
          <t>15.540.1537</t>
        </is>
      </c>
      <c r="C232" s="8" t="inlineStr">
        <is>
          <t>[M33E]  Yeni sıva yüzeylere astar uygulanarak iki kat su bazlı plastik antibakteriyel iç cephe boyası</t>
        </is>
      </c>
      <c r="D232" s="21" t="inlineStr">
        <is>
          <t>m²</t>
        </is>
      </c>
      <c r="E232" s="22" t="n"/>
      <c r="F232" s="22" t="n"/>
      <c r="G232" s="22" t="n"/>
      <c r="H232" s="22" t="n"/>
      <c r="I232" s="22" t="n"/>
      <c r="J232" s="22" t="n"/>
    </row>
    <row r="233" ht="12" customHeight="1">
      <c r="A233" s="6" t="n"/>
      <c r="B233" s="6" t="n"/>
      <c r="C233" s="23" t="inlineStr">
        <is>
          <t>İç yüzde sıvalı alanın tamamı (M33C)</t>
        </is>
      </c>
      <c r="D233" s="6" t="n"/>
      <c r="E233" s="6" t="n"/>
      <c r="F233" s="6" t="n"/>
      <c r="G233" s="6" t="n"/>
      <c r="H233" s="6" t="n"/>
      <c r="I233" s="24">
        <f>J228</f>
        <v/>
      </c>
      <c r="J233" s="6" t="n"/>
    </row>
    <row r="234">
      <c r="A234" s="22" t="n"/>
      <c r="B234" s="22" t="n"/>
      <c r="C234" s="25" t="inlineStr">
        <is>
          <t>M33E TOPLAMI</t>
        </is>
      </c>
      <c r="D234" s="26" t="inlineStr">
        <is>
          <t>m²</t>
        </is>
      </c>
      <c r="E234" s="22" t="n"/>
      <c r="F234" s="22" t="n"/>
      <c r="G234" s="22" t="n"/>
      <c r="H234" s="22" t="n"/>
      <c r="I234" s="22" t="n"/>
      <c r="J234" s="27">
        <f>SUM(I233:I233)</f>
        <v/>
      </c>
    </row>
    <row r="235" ht="22" customHeight="1">
      <c r="A235" s="19" t="n">
        <v>17</v>
      </c>
      <c r="B235" s="20" t="inlineStr">
        <is>
          <t>15.550.1202</t>
        </is>
      </c>
      <c r="C235" s="8" t="inlineStr">
        <is>
          <t>[M34]  Lama ve profil demirlerden mahya, saçak ve köşe kapama profilleri</t>
        </is>
      </c>
      <c r="D235" s="21" t="inlineStr">
        <is>
          <t>kg</t>
        </is>
      </c>
      <c r="E235" s="22" t="n"/>
      <c r="F235" s="22" t="n"/>
      <c r="G235" s="22" t="n"/>
      <c r="H235" s="22" t="n"/>
      <c r="I235" s="22" t="n"/>
      <c r="J235" s="22" t="n"/>
    </row>
    <row r="236" ht="12" customHeight="1">
      <c r="A236" s="6" t="n"/>
      <c r="B236" s="6" t="n"/>
      <c r="C236" s="23" t="inlineStr">
        <is>
          <t>Mahya hattı (2 blok), 2,50 kg/m — bu yapıya düşen pay 0.500000</t>
        </is>
      </c>
      <c r="D236" s="6" t="n"/>
      <c r="E236" s="28" t="n">
        <v>2</v>
      </c>
      <c r="F236" s="6" t="n"/>
      <c r="G236" s="29" t="n">
        <v>79.8</v>
      </c>
      <c r="H236" s="6" t="n"/>
      <c r="I236" s="24">
        <f>E236*G236*J236</f>
        <v/>
      </c>
      <c r="J236" s="30" t="n">
        <v>1.25</v>
      </c>
    </row>
    <row r="237" ht="12" customHeight="1">
      <c r="A237" s="6" t="n"/>
      <c r="B237" s="6" t="n"/>
      <c r="C237" s="23" t="inlineStr">
        <is>
          <t>Saçak hattı: 2 kenar x 2 blok, 2,50 kg/m — bu yapıya düşen pay 0.500000</t>
        </is>
      </c>
      <c r="D237" s="6" t="n"/>
      <c r="E237" s="28" t="n">
        <v>4</v>
      </c>
      <c r="F237" s="6" t="n"/>
      <c r="G237" s="29" t="n">
        <v>79.8</v>
      </c>
      <c r="H237" s="6" t="n"/>
      <c r="I237" s="24">
        <f>E237*G237*J237</f>
        <v/>
      </c>
      <c r="J237" s="30" t="n">
        <v>1.25</v>
      </c>
    </row>
    <row r="238" ht="20" customHeight="1">
      <c r="A238" s="6" t="n"/>
      <c r="B238" s="6" t="n"/>
      <c r="C238" s="23" t="inlineStr">
        <is>
          <t>Alınlık eğim kapamaları: 2 alınlık x 2 eğim x 2 blok, eğik boy 7,55 m, 2,50 kg/m — bu yapıya düşen pay 0.500000</t>
        </is>
      </c>
      <c r="D238" s="6" t="n"/>
      <c r="E238" s="28" t="n">
        <v>8</v>
      </c>
      <c r="F238" s="6" t="n"/>
      <c r="G238" s="29" t="n">
        <v>7.55</v>
      </c>
      <c r="H238" s="6" t="n"/>
      <c r="I238" s="24">
        <f>E238*G238*J238</f>
        <v/>
      </c>
      <c r="J238" s="30" t="n">
        <v>1.25</v>
      </c>
    </row>
    <row r="239">
      <c r="A239" s="22" t="n"/>
      <c r="B239" s="22" t="n"/>
      <c r="C239" s="25" t="inlineStr">
        <is>
          <t>M34 TOPLAMI</t>
        </is>
      </c>
      <c r="D239" s="26" t="inlineStr">
        <is>
          <t>kg</t>
        </is>
      </c>
      <c r="E239" s="22" t="n"/>
      <c r="F239" s="22" t="n"/>
      <c r="G239" s="22" t="n"/>
      <c r="H239" s="22" t="n"/>
      <c r="I239" s="22" t="n"/>
      <c r="J239" s="27">
        <f>SUM(I236:I238)</f>
        <v/>
      </c>
    </row>
    <row r="240" ht="15" customHeight="1">
      <c r="A240" s="19" t="n">
        <v>18</v>
      </c>
      <c r="B240" s="20" t="inlineStr">
        <is>
          <t>TKDK-0115</t>
        </is>
      </c>
      <c r="C240" s="8" t="inlineStr">
        <is>
          <t>[M35]  Galvanizli düz sacdan yağmur oluğu yapılması — dere</t>
        </is>
      </c>
      <c r="D240" s="21" t="inlineStr">
        <is>
          <t>kg</t>
        </is>
      </c>
      <c r="E240" s="22" t="n"/>
      <c r="F240" s="22" t="n"/>
      <c r="G240" s="22" t="n"/>
      <c r="H240" s="22" t="n"/>
      <c r="I240" s="22" t="n"/>
      <c r="J240" s="22" t="n"/>
    </row>
    <row r="241" ht="40" customHeight="1">
      <c r="A241" s="6" t="n"/>
      <c r="B241" s="6" t="n"/>
      <c r="C241" s="23" t="inlineStr">
        <is>
          <t>Uzun cepheler boyunca: 2 kenar x 2 blok, saçaklı boy 79.80 m; gelişmiş genişlik 0,50 m, 0,50 mm galvanizli sac -&gt; 0,50 x 0,0005 x 7.850 = 1,96 kg/m, birleşim ve kenet payı ile 2,00 kg/m — bu yapıya düşen pay 0.500000</t>
        </is>
      </c>
      <c r="D241" s="6" t="n"/>
      <c r="E241" s="28" t="n">
        <v>4</v>
      </c>
      <c r="F241" s="6" t="n"/>
      <c r="G241" s="29" t="n">
        <v>79.8</v>
      </c>
      <c r="H241" s="6" t="n"/>
      <c r="I241" s="24">
        <f>E241*G241*J241</f>
        <v/>
      </c>
      <c r="J241" s="30" t="n">
        <v>1</v>
      </c>
    </row>
    <row r="242">
      <c r="A242" s="22" t="n"/>
      <c r="B242" s="22" t="n"/>
      <c r="C242" s="25" t="inlineStr">
        <is>
          <t>M35 TOPLAMI</t>
        </is>
      </c>
      <c r="D242" s="26" t="inlineStr">
        <is>
          <t>kg</t>
        </is>
      </c>
      <c r="E242" s="22" t="n"/>
      <c r="F242" s="22" t="n"/>
      <c r="G242" s="22" t="n"/>
      <c r="H242" s="22" t="n"/>
      <c r="I242" s="22" t="n"/>
      <c r="J242" s="27">
        <f>SUM(I241:I241)</f>
        <v/>
      </c>
    </row>
    <row r="243" ht="15" customHeight="1">
      <c r="A243" s="19" t="n">
        <v>19</v>
      </c>
      <c r="B243" s="20" t="inlineStr">
        <is>
          <t>TKDK-0115</t>
        </is>
      </c>
      <c r="C243" s="8" t="inlineStr">
        <is>
          <t>[M36]  Galvanizli düz sacdan iniş borusu yapılması — ø100</t>
        </is>
      </c>
      <c r="D243" s="21" t="inlineStr">
        <is>
          <t>kg</t>
        </is>
      </c>
      <c r="E243" s="22" t="n"/>
      <c r="F243" s="22" t="n"/>
      <c r="G243" s="22" t="n"/>
      <c r="H243" s="22" t="n"/>
      <c r="I243" s="22" t="n"/>
      <c r="J243" s="22" t="n"/>
    </row>
    <row r="244" ht="40" customHeight="1">
      <c r="A244" s="6" t="n"/>
      <c r="B244" s="6" t="n"/>
      <c r="C244" s="23" t="inlineStr">
        <is>
          <t>Blok başına 8 adet (yaklaşık 10 m aralıkla), 2 blok = 16 adet; boy 3,00 saçak kotu + 0,20 zemin altı = 3,20 m; gelişmiş genişlik 0,40 m, 0,50 mm sac -&gt; 0,40 x 0,0005 x 7.850 = 1,57 kg/m, kenet payı ile 1,60 kg/m — bu yapıya düşen pay 0.500000</t>
        </is>
      </c>
      <c r="D244" s="6" t="n"/>
      <c r="E244" s="28" t="n">
        <v>16</v>
      </c>
      <c r="F244" s="6" t="n"/>
      <c r="G244" s="29" t="n">
        <v>3.2</v>
      </c>
      <c r="H244" s="6" t="n"/>
      <c r="I244" s="24">
        <f>E244*G244*J244</f>
        <v/>
      </c>
      <c r="J244" s="30" t="n">
        <v>0.8</v>
      </c>
    </row>
    <row r="245">
      <c r="A245" s="22" t="n"/>
      <c r="B245" s="22" t="n"/>
      <c r="C245" s="25" t="inlineStr">
        <is>
          <t>M36 TOPLAMI</t>
        </is>
      </c>
      <c r="D245" s="26" t="inlineStr">
        <is>
          <t>kg</t>
        </is>
      </c>
      <c r="E245" s="22" t="n"/>
      <c r="F245" s="22" t="n"/>
      <c r="G245" s="22" t="n"/>
      <c r="H245" s="22" t="n"/>
      <c r="I245" s="22" t="n"/>
      <c r="J245" s="27">
        <f>SUM(I244:I244)</f>
        <v/>
      </c>
    </row>
    <row r="246" ht="22" customHeight="1">
      <c r="A246" s="19" t="n">
        <v>20</v>
      </c>
      <c r="B246" s="20" t="inlineStr">
        <is>
          <t>TKDK-0151</t>
        </is>
      </c>
      <c r="C246" s="8" t="inlineStr">
        <is>
          <t>[M39]  5 cm poliüretan dolgulu panel ile ısı yalıtımlı kapı yapılması — kümes servis kapısı 100/220</t>
        </is>
      </c>
      <c r="D246" s="21" t="inlineStr">
        <is>
          <t>m²</t>
        </is>
      </c>
      <c r="E246" s="22" t="n"/>
      <c r="F246" s="22" t="n"/>
      <c r="G246" s="22" t="n"/>
      <c r="H246" s="22" t="n"/>
      <c r="I246" s="22" t="n"/>
      <c r="J246" s="22" t="n"/>
    </row>
    <row r="247" ht="20" customHeight="1">
      <c r="A247" s="6" t="n"/>
      <c r="B247" s="6" t="n"/>
      <c r="C247" s="23" t="inlineStr">
        <is>
          <t>Blok başına 2 adet (her iki alınlıkta birer), 2 blok = 4 adet; 1,00 x 2,20 = 2,20 m²/adet — bu yapıya düşen pay 0.500000</t>
        </is>
      </c>
      <c r="D247" s="6" t="n"/>
      <c r="E247" s="28" t="n">
        <v>4</v>
      </c>
      <c r="F247" s="29" t="n">
        <v>2.2</v>
      </c>
      <c r="G247" s="29" t="n">
        <v>1</v>
      </c>
      <c r="H247" s="6" t="n"/>
      <c r="I247" s="24">
        <f>E247*F247*G247*J247</f>
        <v/>
      </c>
      <c r="J247" s="30" t="n">
        <v>0.5</v>
      </c>
    </row>
    <row r="248">
      <c r="A248" s="22" t="n"/>
      <c r="B248" s="22" t="n"/>
      <c r="C248" s="25" t="inlineStr">
        <is>
          <t>M39 TOPLAMI</t>
        </is>
      </c>
      <c r="D248" s="26" t="inlineStr">
        <is>
          <t>m²</t>
        </is>
      </c>
      <c r="E248" s="22" t="n"/>
      <c r="F248" s="22" t="n"/>
      <c r="G248" s="22" t="n"/>
      <c r="H248" s="22" t="n"/>
      <c r="I248" s="22" t="n"/>
      <c r="J248" s="27">
        <f>SUM(I247:I247)</f>
        <v/>
      </c>
    </row>
    <row r="249" ht="22" customHeight="1">
      <c r="A249" s="19" t="n">
        <v>21</v>
      </c>
      <c r="B249" s="20" t="inlineStr">
        <is>
          <t>TKDK-0151</t>
        </is>
      </c>
      <c r="C249" s="8" t="inlineStr">
        <is>
          <t>[M40]  5 cm poliüretan dolgulu panel ile ısı yalıtımlı kapı yapılması — yükleme/temizlik kapısı 300/300 sürgülü</t>
        </is>
      </c>
      <c r="D249" s="21" t="inlineStr">
        <is>
          <t>m²</t>
        </is>
      </c>
      <c r="E249" s="22" t="n"/>
      <c r="F249" s="22" t="n"/>
      <c r="G249" s="22" t="n"/>
      <c r="H249" s="22" t="n"/>
      <c r="I249" s="22" t="n"/>
      <c r="J249" s="22" t="n"/>
    </row>
    <row r="250" ht="20" customHeight="1">
      <c r="A250" s="6" t="n"/>
      <c r="B250" s="6" t="n"/>
      <c r="C250" s="23" t="inlineStr">
        <is>
          <t>Blok başına 1 adet, 2 blok = 2 adet; 3,00 x 3,00 = 9,00 m²/adet — bu yapıya düşen pay 0.500000</t>
        </is>
      </c>
      <c r="D250" s="6" t="n"/>
      <c r="E250" s="28" t="n">
        <v>2</v>
      </c>
      <c r="F250" s="29" t="n">
        <v>3</v>
      </c>
      <c r="G250" s="29" t="n">
        <v>3</v>
      </c>
      <c r="H250" s="6" t="n"/>
      <c r="I250" s="24">
        <f>E250*F250*G250*J250</f>
        <v/>
      </c>
      <c r="J250" s="30" t="n">
        <v>0.5</v>
      </c>
    </row>
    <row r="251">
      <c r="A251" s="22" t="n"/>
      <c r="B251" s="22" t="n"/>
      <c r="C251" s="25" t="inlineStr">
        <is>
          <t>M40 TOPLAMI</t>
        </is>
      </c>
      <c r="D251" s="26" t="inlineStr">
        <is>
          <t>m²</t>
        </is>
      </c>
      <c r="E251" s="22" t="n"/>
      <c r="F251" s="22" t="n"/>
      <c r="G251" s="22" t="n"/>
      <c r="H251" s="22" t="n"/>
      <c r="I251" s="22" t="n"/>
      <c r="J251" s="27">
        <f>SUM(I250:I250)</f>
        <v/>
      </c>
    </row>
    <row r="252" ht="22" customHeight="1">
      <c r="A252" s="19" t="n">
        <v>22</v>
      </c>
      <c r="B252" s="20" t="inlineStr">
        <is>
          <t>15.225.1004</t>
        </is>
      </c>
      <c r="C252" s="8" t="inlineStr">
        <is>
          <t>[M43A]  10 cm kalınlığındaki teçhizatsız gazbeton duvar blokları ile bölme duvar yapılması — servis bölümü</t>
        </is>
      </c>
      <c r="D252" s="21" t="inlineStr">
        <is>
          <t>m²</t>
        </is>
      </c>
      <c r="E252" s="22" t="n"/>
      <c r="F252" s="22" t="n"/>
      <c r="G252" s="22" t="n"/>
      <c r="H252" s="22" t="n"/>
      <c r="I252" s="22" t="n"/>
      <c r="J252" s="22" t="n"/>
    </row>
    <row r="253" ht="12" customHeight="1">
      <c r="A253" s="6" t="n"/>
      <c r="B253" s="6" t="n"/>
      <c r="C253" s="23" t="inlineStr">
        <is>
          <t>Bölme duvar boyu 15,00 m, kat yüksekliği 3,00 m; 2 blok — bu yapıya düşen pay 0.500000</t>
        </is>
      </c>
      <c r="D253" s="6" t="n"/>
      <c r="E253" s="28" t="n">
        <v>2</v>
      </c>
      <c r="F253" s="6" t="n"/>
      <c r="G253" s="29" t="n">
        <v>15</v>
      </c>
      <c r="H253" s="29" t="n">
        <v>3</v>
      </c>
      <c r="I253" s="24">
        <f>E253*G253*H253*J253</f>
        <v/>
      </c>
      <c r="J253" s="30" t="n">
        <v>0.5</v>
      </c>
    </row>
    <row r="254">
      <c r="A254" s="22" t="n"/>
      <c r="B254" s="22" t="n"/>
      <c r="C254" s="25" t="inlineStr">
        <is>
          <t>M43A TOPLAMI</t>
        </is>
      </c>
      <c r="D254" s="26" t="inlineStr">
        <is>
          <t>m²</t>
        </is>
      </c>
      <c r="E254" s="22" t="n"/>
      <c r="F254" s="22" t="n"/>
      <c r="G254" s="22" t="n"/>
      <c r="H254" s="22" t="n"/>
      <c r="I254" s="22" t="n"/>
      <c r="J254" s="27">
        <f>SUM(I253:I253)</f>
        <v/>
      </c>
    </row>
    <row r="255" ht="22" customHeight="1">
      <c r="A255" s="19" t="n">
        <v>23</v>
      </c>
      <c r="B255" s="20" t="inlineStr">
        <is>
          <t>15.275.1117</t>
        </is>
      </c>
      <c r="C255" s="8" t="inlineStr">
        <is>
          <t>[M43B]  200 kg çimento ve kireç karışımı harç ile kaba sıva yapılması — servis bölümü bölme duvarları</t>
        </is>
      </c>
      <c r="D255" s="21" t="inlineStr">
        <is>
          <t>m²</t>
        </is>
      </c>
      <c r="E255" s="22" t="n"/>
      <c r="F255" s="22" t="n"/>
      <c r="G255" s="22" t="n"/>
      <c r="H255" s="22" t="n"/>
      <c r="I255" s="22" t="n"/>
      <c r="J255" s="22" t="n"/>
    </row>
    <row r="256" ht="12" customHeight="1">
      <c r="A256" s="6" t="n"/>
      <c r="B256" s="6" t="n"/>
      <c r="C256" s="23" t="inlineStr">
        <is>
          <t>Bölme duvarların iki yüzü: 15,00 x 3,00 x 2 yüz; 2 blok — bu yapıya düşen pay 0.500000</t>
        </is>
      </c>
      <c r="D256" s="6" t="n"/>
      <c r="E256" s="28" t="n">
        <v>2</v>
      </c>
      <c r="F256" s="29" t="n">
        <v>2</v>
      </c>
      <c r="G256" s="29" t="n">
        <v>15</v>
      </c>
      <c r="H256" s="29" t="n">
        <v>3</v>
      </c>
      <c r="I256" s="24">
        <f>E256*F256*G256*H256*J256</f>
        <v/>
      </c>
      <c r="J256" s="30" t="n">
        <v>0.5</v>
      </c>
    </row>
    <row r="257">
      <c r="A257" s="22" t="n"/>
      <c r="B257" s="22" t="n"/>
      <c r="C257" s="25" t="inlineStr">
        <is>
          <t>M43B TOPLAMI</t>
        </is>
      </c>
      <c r="D257" s="26" t="inlineStr">
        <is>
          <t>m²</t>
        </is>
      </c>
      <c r="E257" s="22" t="n"/>
      <c r="F257" s="22" t="n"/>
      <c r="G257" s="22" t="n"/>
      <c r="H257" s="22" t="n"/>
      <c r="I257" s="22" t="n"/>
      <c r="J257" s="27">
        <f>SUM(I256:I256)</f>
        <v/>
      </c>
    </row>
    <row r="258" ht="22" customHeight="1">
      <c r="A258" s="19" t="n">
        <v>24</v>
      </c>
      <c r="B258" s="20" t="inlineStr">
        <is>
          <t>TKDK-0177</t>
        </is>
      </c>
      <c r="C258" s="8" t="inlineStr">
        <is>
          <t>[M43C]  Duvar karosu ile 3 mm derz aralıklı döşeme ve duvar kaplaması yapılması — servis bölümü</t>
        </is>
      </c>
      <c r="D258" s="21" t="inlineStr">
        <is>
          <t>m²</t>
        </is>
      </c>
      <c r="E258" s="22" t="n"/>
      <c r="F258" s="22" t="n"/>
      <c r="G258" s="22" t="n"/>
      <c r="H258" s="22" t="n"/>
      <c r="I258" s="22" t="n"/>
      <c r="J258" s="22" t="n"/>
    </row>
    <row r="259" ht="12" customHeight="1">
      <c r="A259" s="6" t="n"/>
      <c r="B259" s="6" t="n"/>
      <c r="C259" s="23" t="inlineStr">
        <is>
          <t>Zemin kaplaması: servis bölümü alanı 25,00 m²; 2 blok — bu yapıya düşen pay 0.500000</t>
        </is>
      </c>
      <c r="D259" s="6" t="n"/>
      <c r="E259" s="28" t="n">
        <v>2</v>
      </c>
      <c r="F259" s="6" t="n"/>
      <c r="G259" s="29" t="n">
        <v>25</v>
      </c>
      <c r="H259" s="6" t="n"/>
      <c r="I259" s="24">
        <f>E259*G259*J259</f>
        <v/>
      </c>
      <c r="J259" s="30" t="n">
        <v>0.5</v>
      </c>
    </row>
    <row r="260" ht="20" customHeight="1">
      <c r="A260" s="6" t="n"/>
      <c r="B260" s="6" t="n"/>
      <c r="C260" s="23" t="inlineStr">
        <is>
          <t>Duvar kaplaması: WC ve hijyen bölmesi çevresi 17,50 m, kaplama yüksekliği 2,00 m; 2 blok — bu yapıya düşen pay 0.500000</t>
        </is>
      </c>
      <c r="D260" s="6" t="n"/>
      <c r="E260" s="28" t="n">
        <v>2</v>
      </c>
      <c r="F260" s="6" t="n"/>
      <c r="G260" s="29" t="n">
        <v>17.5</v>
      </c>
      <c r="H260" s="29" t="n">
        <v>2</v>
      </c>
      <c r="I260" s="24">
        <f>E260*G260*H260*J260</f>
        <v/>
      </c>
      <c r="J260" s="30" t="n">
        <v>0.5</v>
      </c>
    </row>
    <row r="261">
      <c r="A261" s="22" t="n"/>
      <c r="B261" s="22" t="n"/>
      <c r="C261" s="25" t="inlineStr">
        <is>
          <t>M43C TOPLAMI</t>
        </is>
      </c>
      <c r="D261" s="26" t="inlineStr">
        <is>
          <t>m²</t>
        </is>
      </c>
      <c r="E261" s="22" t="n"/>
      <c r="F261" s="22" t="n"/>
      <c r="G261" s="22" t="n"/>
      <c r="H261" s="22" t="n"/>
      <c r="I261" s="22" t="n"/>
      <c r="J261" s="27">
        <f>SUM(I259:I260)</f>
        <v/>
      </c>
    </row>
    <row r="262" ht="22" customHeight="1">
      <c r="A262" s="19" t="n">
        <v>25</v>
      </c>
      <c r="B262" s="20" t="inlineStr">
        <is>
          <t>15.540.1537</t>
        </is>
      </c>
      <c r="C262" s="8" t="inlineStr">
        <is>
          <t>[M43D]  Yeni sıva yüzeylere astar uygulanarak iki kat su bazlı plastik antibakteriyel boya — servis bölümü</t>
        </is>
      </c>
      <c r="D262" s="21" t="inlineStr">
        <is>
          <t>m²</t>
        </is>
      </c>
      <c r="E262" s="22" t="n"/>
      <c r="F262" s="22" t="n"/>
      <c r="G262" s="22" t="n"/>
      <c r="H262" s="22" t="n"/>
      <c r="I262" s="22" t="n"/>
      <c r="J262" s="22" t="n"/>
    </row>
    <row r="263" ht="12" customHeight="1">
      <c r="A263" s="6" t="n"/>
      <c r="B263" s="6" t="n"/>
      <c r="C263" s="23" t="inlineStr">
        <is>
          <t>Sıvalı yüzeyin tamamı: 15,00 x 3,00 x 2 yüz; 2 blok — bu yapıya düşen pay 0.500000</t>
        </is>
      </c>
      <c r="D263" s="6" t="n"/>
      <c r="E263" s="28" t="n">
        <v>2</v>
      </c>
      <c r="F263" s="29" t="n">
        <v>2</v>
      </c>
      <c r="G263" s="29" t="n">
        <v>15</v>
      </c>
      <c r="H263" s="29" t="n">
        <v>3</v>
      </c>
      <c r="I263" s="24">
        <f>E263*F263*G263*H263*J263</f>
        <v/>
      </c>
      <c r="J263" s="30" t="n">
        <v>0.5</v>
      </c>
    </row>
    <row r="264" ht="20" customHeight="1">
      <c r="A264" s="6" t="n"/>
      <c r="B264" s="6" t="n"/>
      <c r="C264" s="23" t="inlineStr">
        <is>
          <t>Seramik kaplanan duvar yüzeyi düşülür: 17,50 x 2,00; 2 blok — bu yapıya düşen pay 0.500000</t>
        </is>
      </c>
      <c r="D264" s="6" t="n"/>
      <c r="E264" s="28" t="n">
        <v>2</v>
      </c>
      <c r="F264" s="6" t="n"/>
      <c r="G264" s="29" t="n">
        <v>17.5</v>
      </c>
      <c r="H264" s="29" t="n">
        <v>2</v>
      </c>
      <c r="I264" s="24">
        <f>-E264*G264*H264*J264</f>
        <v/>
      </c>
      <c r="J264" s="30" t="n">
        <v>0.5</v>
      </c>
    </row>
    <row r="265">
      <c r="A265" s="22" t="n"/>
      <c r="B265" s="22" t="n"/>
      <c r="C265" s="25" t="inlineStr">
        <is>
          <t>M43D TOPLAMI</t>
        </is>
      </c>
      <c r="D265" s="26" t="inlineStr">
        <is>
          <t>m²</t>
        </is>
      </c>
      <c r="E265" s="22" t="n"/>
      <c r="F265" s="22" t="n"/>
      <c r="G265" s="22" t="n"/>
      <c r="H265" s="22" t="n"/>
      <c r="I265" s="22" t="n"/>
      <c r="J265" s="27">
        <f>SUM(I263:I264)</f>
        <v/>
      </c>
    </row>
    <row r="266" ht="22" customHeight="1">
      <c r="A266" s="19" t="n">
        <v>26</v>
      </c>
      <c r="B266" s="20" t="inlineStr">
        <is>
          <t>TKDK-0175</t>
        </is>
      </c>
      <c r="C266" s="8" t="inlineStr">
        <is>
          <t>[M43E]  PVC kaplamalı MDF presli iç kapı kanadı yapılması, yerinde takılması — servis bölümü</t>
        </is>
      </c>
      <c r="D266" s="21" t="inlineStr">
        <is>
          <t>m²</t>
        </is>
      </c>
      <c r="E266" s="22" t="n"/>
      <c r="F266" s="22" t="n"/>
      <c r="G266" s="22" t="n"/>
      <c r="H266" s="22" t="n"/>
      <c r="I266" s="22" t="n"/>
      <c r="J266" s="22" t="n"/>
    </row>
    <row r="267" ht="20" customHeight="1">
      <c r="A267" s="6" t="n"/>
      <c r="B267" s="6" t="n"/>
      <c r="C267" s="23" t="inlineStr">
        <is>
          <t>Blok başına 3 adet (hijyen, ofis, WC); 0,90 x 2,10 = 1,89 m²/adet — bu yapıya düşen pay 0.500000</t>
        </is>
      </c>
      <c r="D267" s="6" t="n"/>
      <c r="E267" s="28" t="n">
        <v>6</v>
      </c>
      <c r="F267" s="29" t="n">
        <v>2.1</v>
      </c>
      <c r="G267" s="29" t="n">
        <v>0.9</v>
      </c>
      <c r="H267" s="6" t="n"/>
      <c r="I267" s="24">
        <f>E267*F267*G267*J267</f>
        <v/>
      </c>
      <c r="J267" s="30" t="n">
        <v>0.5</v>
      </c>
    </row>
    <row r="268">
      <c r="A268" s="22" t="n"/>
      <c r="B268" s="22" t="n"/>
      <c r="C268" s="25" t="inlineStr">
        <is>
          <t>M43E TOPLAMI</t>
        </is>
      </c>
      <c r="D268" s="26" t="inlineStr">
        <is>
          <t>m²</t>
        </is>
      </c>
      <c r="E268" s="22" t="n"/>
      <c r="F268" s="22" t="n"/>
      <c r="G268" s="22" t="n"/>
      <c r="H268" s="22" t="n"/>
      <c r="I268" s="22" t="n"/>
      <c r="J268" s="27">
        <f>SUM(I267:I267)</f>
        <v/>
      </c>
    </row>
    <row r="269" ht="22" customHeight="1">
      <c r="A269" s="19" t="n">
        <v>27</v>
      </c>
      <c r="B269" s="20" t="inlineStr">
        <is>
          <t>15.550.1002</t>
        </is>
      </c>
      <c r="C269" s="8" t="inlineStr">
        <is>
          <t>[M43F]  1,50 mm sacdan bükme kapı kasası yapılması ve yerine konulması — servis bölümü iç kapıları</t>
        </is>
      </c>
      <c r="D269" s="21" t="inlineStr">
        <is>
          <t>kg</t>
        </is>
      </c>
      <c r="E269" s="22" t="n"/>
      <c r="F269" s="22" t="n"/>
      <c r="G269" s="22" t="n"/>
      <c r="H269" s="22" t="n"/>
      <c r="I269" s="22" t="n"/>
      <c r="J269" s="22" t="n"/>
    </row>
    <row r="270" ht="20" customHeight="1">
      <c r="A270" s="6" t="n"/>
      <c r="B270" s="6" t="n"/>
      <c r="C270" s="23" t="inlineStr">
        <is>
          <t>Blok başına 3 adet; kasa çevresi 2x2,10+0,90 = 5,10 m, 1,50 mm sacdan bükme kasa 3,55 kg/m -&gt; 18,10 kg/adet — bu yapıya düşen pay 0.500000</t>
        </is>
      </c>
      <c r="D270" s="6" t="n"/>
      <c r="E270" s="28" t="n">
        <v>6</v>
      </c>
      <c r="F270" s="6" t="n"/>
      <c r="G270" s="29" t="n">
        <v>5.1</v>
      </c>
      <c r="H270" s="6" t="n"/>
      <c r="I270" s="24">
        <f>E270*G270*J270</f>
        <v/>
      </c>
      <c r="J270" s="30" t="n">
        <v>1.775</v>
      </c>
    </row>
    <row r="271">
      <c r="A271" s="22" t="n"/>
      <c r="B271" s="22" t="n"/>
      <c r="C271" s="25" t="inlineStr">
        <is>
          <t>M43F TOPLAMI</t>
        </is>
      </c>
      <c r="D271" s="26" t="inlineStr">
        <is>
          <t>kg</t>
        </is>
      </c>
      <c r="E271" s="22" t="n"/>
      <c r="F271" s="22" t="n"/>
      <c r="G271" s="22" t="n"/>
      <c r="H271" s="22" t="n"/>
      <c r="I271" s="22" t="n"/>
      <c r="J271" s="27">
        <f>SUM(I270:I270)</f>
        <v/>
      </c>
    </row>
    <row r="272" ht="22" customHeight="1">
      <c r="A272" s="19" t="n">
        <v>28</v>
      </c>
      <c r="B272" s="20" t="inlineStr">
        <is>
          <t>43.527.1001</t>
        </is>
      </c>
      <c r="C272" s="8" t="inlineStr">
        <is>
          <t>[M59]  ø150 HDPE koruge boru ile pissu hattı döşenmesi (SN 8, lastik conta ve boru bedeli dahil)</t>
        </is>
      </c>
      <c r="D272" s="21" t="inlineStr">
        <is>
          <t>m</t>
        </is>
      </c>
      <c r="E272" s="22" t="n"/>
      <c r="F272" s="22" t="n"/>
      <c r="G272" s="22" t="n"/>
      <c r="H272" s="22" t="n"/>
      <c r="I272" s="22" t="n"/>
      <c r="J272" s="22" t="n"/>
    </row>
    <row r="273" ht="12" customHeight="1">
      <c r="A273" s="6" t="n"/>
      <c r="B273" s="6" t="n"/>
      <c r="C273" s="23" t="inlineStr">
        <is>
          <t>Servis bölümleri iç hatları (2 blok) — bu yapıya düşen pay 0.500000</t>
        </is>
      </c>
      <c r="D273" s="6" t="n"/>
      <c r="E273" s="28" t="n">
        <v>2</v>
      </c>
      <c r="F273" s="6" t="n"/>
      <c r="G273" s="29" t="n">
        <v>25</v>
      </c>
      <c r="H273" s="6" t="n"/>
      <c r="I273" s="24">
        <f>E273*G273*J273</f>
        <v/>
      </c>
      <c r="J273" s="30" t="n">
        <v>0.5</v>
      </c>
    </row>
    <row r="274">
      <c r="A274" s="22" t="n"/>
      <c r="B274" s="22" t="n"/>
      <c r="C274" s="25" t="inlineStr">
        <is>
          <t>M59 TOPLAMI</t>
        </is>
      </c>
      <c r="D274" s="26" t="inlineStr">
        <is>
          <t>m</t>
        </is>
      </c>
      <c r="E274" s="22" t="n"/>
      <c r="F274" s="22" t="n"/>
      <c r="G274" s="22" t="n"/>
      <c r="H274" s="22" t="n"/>
      <c r="I274" s="22" t="n"/>
      <c r="J274" s="27">
        <f>SUM(I273:I273)</f>
        <v/>
      </c>
    </row>
    <row r="275" ht="22" customHeight="1">
      <c r="A275" s="19" t="n">
        <v>29</v>
      </c>
      <c r="B275" s="20" t="inlineStr">
        <is>
          <t>30.100.2105</t>
        </is>
      </c>
      <c r="C275" s="8" t="inlineStr">
        <is>
          <t>[M67]  Kümes dağıtım panosu (sıva üstü galvanizli sac tablo, 0,40-0,50 m²)</t>
        </is>
      </c>
      <c r="D275" s="21" t="inlineStr">
        <is>
          <t>ad</t>
        </is>
      </c>
      <c r="E275" s="22" t="n"/>
      <c r="F275" s="22" t="n"/>
      <c r="G275" s="22" t="n"/>
      <c r="H275" s="22" t="n"/>
      <c r="I275" s="22" t="n"/>
      <c r="J275" s="22" t="n"/>
    </row>
    <row r="276" ht="12" customHeight="1">
      <c r="A276" s="6" t="n"/>
      <c r="B276" s="6" t="n"/>
      <c r="C276" s="23" t="inlineStr">
        <is>
          <t>Blok başına 1 adet, 2 blok — bu yapıya düşen pay 0.500000</t>
        </is>
      </c>
      <c r="D276" s="6" t="n"/>
      <c r="E276" s="28" t="n">
        <v>1</v>
      </c>
      <c r="F276" s="6" t="n"/>
      <c r="G276" s="6" t="n"/>
      <c r="H276" s="6" t="n"/>
      <c r="I276" s="24">
        <f>E276*J276</f>
        <v/>
      </c>
      <c r="J276" s="30" t="n">
        <v>1</v>
      </c>
    </row>
    <row r="277">
      <c r="A277" s="22" t="n"/>
      <c r="B277" s="22" t="n"/>
      <c r="C277" s="25" t="inlineStr">
        <is>
          <t>M67 TOPLAMI</t>
        </is>
      </c>
      <c r="D277" s="26" t="inlineStr">
        <is>
          <t>ad</t>
        </is>
      </c>
      <c r="E277" s="22" t="n"/>
      <c r="F277" s="22" t="n"/>
      <c r="G277" s="22" t="n"/>
      <c r="H277" s="22" t="n"/>
      <c r="I277" s="22" t="n"/>
      <c r="J277" s="27">
        <f>SUM(I276:I276)</f>
        <v/>
      </c>
    </row>
    <row r="278" ht="22" customHeight="1">
      <c r="A278" s="19" t="n">
        <v>30</v>
      </c>
      <c r="B278" s="20" t="inlineStr">
        <is>
          <t>30.110.1102</t>
        </is>
      </c>
      <c r="C278" s="8" t="inlineStr">
        <is>
          <t>[M68]  Termik-manyetik kompakt şalter 3x100 A, Icu 35 kA — kümes besleme</t>
        </is>
      </c>
      <c r="D278" s="21" t="inlineStr">
        <is>
          <t>ad</t>
        </is>
      </c>
      <c r="E278" s="22" t="n"/>
      <c r="F278" s="22" t="n"/>
      <c r="G278" s="22" t="n"/>
      <c r="H278" s="22" t="n"/>
      <c r="I278" s="22" t="n"/>
      <c r="J278" s="22" t="n"/>
    </row>
    <row r="279" ht="12" customHeight="1">
      <c r="A279" s="6" t="n"/>
      <c r="B279" s="6" t="n"/>
      <c r="C279" s="23" t="inlineStr">
        <is>
          <t>Blok başına 1 adet, 2 blok — bu yapıya düşen pay 0.500000</t>
        </is>
      </c>
      <c r="D279" s="6" t="n"/>
      <c r="E279" s="28" t="n">
        <v>1</v>
      </c>
      <c r="F279" s="6" t="n"/>
      <c r="G279" s="6" t="n"/>
      <c r="H279" s="6" t="n"/>
      <c r="I279" s="24">
        <f>E279*J279</f>
        <v/>
      </c>
      <c r="J279" s="30" t="n">
        <v>1</v>
      </c>
    </row>
    <row r="280">
      <c r="A280" s="22" t="n"/>
      <c r="B280" s="22" t="n"/>
      <c r="C280" s="25" t="inlineStr">
        <is>
          <t>M68 TOPLAMI</t>
        </is>
      </c>
      <c r="D280" s="26" t="inlineStr">
        <is>
          <t>ad</t>
        </is>
      </c>
      <c r="E280" s="22" t="n"/>
      <c r="F280" s="22" t="n"/>
      <c r="G280" s="22" t="n"/>
      <c r="H280" s="22" t="n"/>
      <c r="I280" s="22" t="n"/>
      <c r="J280" s="27">
        <f>SUM(I279:I279)</f>
        <v/>
      </c>
    </row>
    <row r="281" ht="15" customHeight="1">
      <c r="A281" s="19" t="n">
        <v>31</v>
      </c>
      <c r="B281" s="20" t="inlineStr">
        <is>
          <t>30.115.1003</t>
        </is>
      </c>
      <c r="C281" s="8" t="inlineStr">
        <is>
          <t>[M69]  Kaçak akım koruma şalteri 2x63 A, 30 mA</t>
        </is>
      </c>
      <c r="D281" s="21" t="inlineStr">
        <is>
          <t>ad</t>
        </is>
      </c>
      <c r="E281" s="22" t="n"/>
      <c r="F281" s="22" t="n"/>
      <c r="G281" s="22" t="n"/>
      <c r="H281" s="22" t="n"/>
      <c r="I281" s="22" t="n"/>
      <c r="J281" s="22" t="n"/>
    </row>
    <row r="282" ht="12" customHeight="1">
      <c r="A282" s="6" t="n"/>
      <c r="B282" s="6" t="n"/>
      <c r="C282" s="23" t="inlineStr">
        <is>
          <t>Kümes panolarında blok başına 2 adet — bu yapıya düşen pay 0.500000</t>
        </is>
      </c>
      <c r="D282" s="6" t="n"/>
      <c r="E282" s="28" t="n">
        <v>1</v>
      </c>
      <c r="F282" s="6" t="n"/>
      <c r="G282" s="6" t="n"/>
      <c r="H282" s="6" t="n"/>
      <c r="I282" s="24">
        <f>E282*J282</f>
        <v/>
      </c>
      <c r="J282" s="30" t="n">
        <v>2</v>
      </c>
    </row>
    <row r="283">
      <c r="A283" s="22" t="n"/>
      <c r="B283" s="22" t="n"/>
      <c r="C283" s="25" t="inlineStr">
        <is>
          <t>M69 TOPLAMI</t>
        </is>
      </c>
      <c r="D283" s="26" t="inlineStr">
        <is>
          <t>ad</t>
        </is>
      </c>
      <c r="E283" s="22" t="n"/>
      <c r="F283" s="22" t="n"/>
      <c r="G283" s="22" t="n"/>
      <c r="H283" s="22" t="n"/>
      <c r="I283" s="22" t="n"/>
      <c r="J283" s="27">
        <f>SUM(I282:I282)</f>
        <v/>
      </c>
    </row>
    <row r="284" ht="22" customHeight="1">
      <c r="A284" s="19" t="n">
        <v>32</v>
      </c>
      <c r="B284" s="20" t="inlineStr">
        <is>
          <t>30.140.3104</t>
        </is>
      </c>
      <c r="C284" s="8" t="inlineStr">
        <is>
          <t>[M71]  YVV (NYY) 1 kV yeraltı kablosu ile kolon hattı tesisi — 1x25 mm²</t>
        </is>
      </c>
      <c r="D284" s="21" t="inlineStr">
        <is>
          <t>m</t>
        </is>
      </c>
      <c r="E284" s="22" t="n"/>
      <c r="F284" s="22" t="n"/>
      <c r="G284" s="22" t="n"/>
      <c r="H284" s="22" t="n"/>
      <c r="I284" s="22" t="n"/>
      <c r="J284" s="22" t="n"/>
    </row>
    <row r="285" ht="12" customHeight="1">
      <c r="A285" s="6" t="n"/>
      <c r="B285" s="6" t="n"/>
      <c r="C285" s="23" t="inlineStr">
        <is>
          <t>Ana pano - kümes A blok panosu, 60 m x 4 damar — bu yapıya düşen pay 0.500000</t>
        </is>
      </c>
      <c r="D285" s="6" t="n"/>
      <c r="E285" s="28" t="n">
        <v>1</v>
      </c>
      <c r="F285" s="6" t="n"/>
      <c r="G285" s="6" t="n"/>
      <c r="H285" s="6" t="n"/>
      <c r="I285" s="24">
        <f>E285*J285</f>
        <v/>
      </c>
      <c r="J285" s="30" t="n">
        <v>120</v>
      </c>
    </row>
    <row r="286" ht="12" customHeight="1">
      <c r="A286" s="6" t="n"/>
      <c r="B286" s="6" t="n"/>
      <c r="C286" s="23" t="inlineStr">
        <is>
          <t>Ana pano - kümes B blok panosu, 90 m x 4 damar — bu yapıya düşen pay 0.500000</t>
        </is>
      </c>
      <c r="D286" s="6" t="n"/>
      <c r="E286" s="28" t="n">
        <v>1</v>
      </c>
      <c r="F286" s="6" t="n"/>
      <c r="G286" s="6" t="n"/>
      <c r="H286" s="6" t="n"/>
      <c r="I286" s="24">
        <f>E286*J286</f>
        <v/>
      </c>
      <c r="J286" s="30" t="n">
        <v>180</v>
      </c>
    </row>
    <row r="287">
      <c r="A287" s="22" t="n"/>
      <c r="B287" s="22" t="n"/>
      <c r="C287" s="25" t="inlineStr">
        <is>
          <t>M71 TOPLAMI</t>
        </is>
      </c>
      <c r="D287" s="26" t="inlineStr">
        <is>
          <t>m</t>
        </is>
      </c>
      <c r="E287" s="22" t="n"/>
      <c r="F287" s="22" t="n"/>
      <c r="G287" s="22" t="n"/>
      <c r="H287" s="22" t="n"/>
      <c r="I287" s="22" t="n"/>
      <c r="J287" s="27">
        <f>SUM(I285:I286)</f>
        <v/>
      </c>
    </row>
    <row r="288" ht="22" customHeight="1">
      <c r="A288" s="19" t="n">
        <v>33</v>
      </c>
      <c r="B288" s="20" t="inlineStr">
        <is>
          <t>30.170.1602</t>
        </is>
      </c>
      <c r="C288" s="8" t="inlineStr">
        <is>
          <t>[M73]  LED sıva üstü etanj armatür (polikarbon gövdeli), ışık akısı en az 2700 lm — kümes genel aydınlatması</t>
        </is>
      </c>
      <c r="D288" s="21" t="inlineStr">
        <is>
          <t>ad</t>
        </is>
      </c>
      <c r="E288" s="22" t="n"/>
      <c r="F288" s="22" t="n"/>
      <c r="G288" s="22" t="n"/>
      <c r="H288" s="22" t="n"/>
      <c r="I288" s="22" t="n"/>
      <c r="J288" s="22" t="n"/>
    </row>
    <row r="289" ht="12" customHeight="1">
      <c r="A289" s="6" t="n"/>
      <c r="B289" s="6" t="n"/>
      <c r="C289" s="23" t="inlineStr">
        <is>
          <t>Blok başına 3 sıra x 10 adet = 30 adet, 2 blok — bu yapıya düşen pay 0.500000</t>
        </is>
      </c>
      <c r="D289" s="6" t="n"/>
      <c r="E289" s="28" t="n">
        <v>1</v>
      </c>
      <c r="F289" s="6" t="n"/>
      <c r="G289" s="6" t="n"/>
      <c r="H289" s="6" t="n"/>
      <c r="I289" s="24">
        <f>E289*J289</f>
        <v/>
      </c>
      <c r="J289" s="30" t="n">
        <v>30</v>
      </c>
    </row>
    <row r="290">
      <c r="A290" s="22" t="n"/>
      <c r="B290" s="22" t="n"/>
      <c r="C290" s="25" t="inlineStr">
        <is>
          <t>M73 TOPLAMI</t>
        </is>
      </c>
      <c r="D290" s="26" t="inlineStr">
        <is>
          <t>ad</t>
        </is>
      </c>
      <c r="E290" s="22" t="n"/>
      <c r="F290" s="22" t="n"/>
      <c r="G290" s="22" t="n"/>
      <c r="H290" s="22" t="n"/>
      <c r="I290" s="22" t="n"/>
      <c r="J290" s="27">
        <f>SUM(I289:I289)</f>
        <v/>
      </c>
    </row>
    <row r="291" ht="22" customHeight="1">
      <c r="A291" s="19" t="n">
        <v>34</v>
      </c>
      <c r="B291" s="20" t="inlineStr">
        <is>
          <t>30.170.1601</t>
        </is>
      </c>
      <c r="C291" s="8" t="inlineStr">
        <is>
          <t>[M74]  LED sıva üstü etanj armatür (polikarbon gövdeli), ışık akısı en az 1800 lm — servis bölümü</t>
        </is>
      </c>
      <c r="D291" s="21" t="inlineStr">
        <is>
          <t>ad</t>
        </is>
      </c>
      <c r="E291" s="22" t="n"/>
      <c r="F291" s="22" t="n"/>
      <c r="G291" s="22" t="n"/>
      <c r="H291" s="22" t="n"/>
      <c r="I291" s="22" t="n"/>
      <c r="J291" s="22" t="n"/>
    </row>
    <row r="292" ht="12" customHeight="1">
      <c r="A292" s="6" t="n"/>
      <c r="B292" s="6" t="n"/>
      <c r="C292" s="23" t="inlineStr">
        <is>
          <t>Blok başına 2 adet, 2 blok — bu yapıya düşen pay 0.500000</t>
        </is>
      </c>
      <c r="D292" s="6" t="n"/>
      <c r="E292" s="28" t="n">
        <v>1</v>
      </c>
      <c r="F292" s="6" t="n"/>
      <c r="G292" s="6" t="n"/>
      <c r="H292" s="6" t="n"/>
      <c r="I292" s="24">
        <f>E292*J292</f>
        <v/>
      </c>
      <c r="J292" s="30" t="n">
        <v>2</v>
      </c>
    </row>
    <row r="293">
      <c r="A293" s="22" t="n"/>
      <c r="B293" s="22" t="n"/>
      <c r="C293" s="25" t="inlineStr">
        <is>
          <t>M74 TOPLAMI</t>
        </is>
      </c>
      <c r="D293" s="26" t="inlineStr">
        <is>
          <t>ad</t>
        </is>
      </c>
      <c r="E293" s="22" t="n"/>
      <c r="F293" s="22" t="n"/>
      <c r="G293" s="22" t="n"/>
      <c r="H293" s="22" t="n"/>
      <c r="I293" s="22" t="n"/>
      <c r="J293" s="27">
        <f>SUM(I292:I292)</f>
        <v/>
      </c>
    </row>
    <row r="294" ht="15" customHeight="1">
      <c r="A294" s="19" t="n">
        <v>35</v>
      </c>
      <c r="B294" s="20" t="inlineStr">
        <is>
          <t>30.160.6102</t>
        </is>
      </c>
      <c r="C294" s="8" t="inlineStr">
        <is>
          <t>[M75]  Boş boru döşemesi — 25-32 mm PVC boru</t>
        </is>
      </c>
      <c r="D294" s="21" t="inlineStr">
        <is>
          <t>m</t>
        </is>
      </c>
      <c r="E294" s="22" t="n"/>
      <c r="F294" s="22" t="n"/>
      <c r="G294" s="22" t="n"/>
      <c r="H294" s="22" t="n"/>
      <c r="I294" s="22" t="n"/>
      <c r="J294" s="22" t="n"/>
    </row>
    <row r="295" ht="12" customHeight="1">
      <c r="A295" s="6" t="n"/>
      <c r="B295" s="6" t="n"/>
      <c r="C295" s="23" t="inlineStr">
        <is>
          <t>Kümes içi aydınlatma ve priz tesisatı, blok başına 500 m — bu yapıya düşen pay 0.500000</t>
        </is>
      </c>
      <c r="D295" s="6" t="n"/>
      <c r="E295" s="28" t="n">
        <v>1</v>
      </c>
      <c r="F295" s="6" t="n"/>
      <c r="G295" s="6" t="n"/>
      <c r="H295" s="6" t="n"/>
      <c r="I295" s="24">
        <f>E295*J295</f>
        <v/>
      </c>
      <c r="J295" s="30" t="n">
        <v>500</v>
      </c>
    </row>
    <row r="296">
      <c r="A296" s="22" t="n"/>
      <c r="B296" s="22" t="n"/>
      <c r="C296" s="25" t="inlineStr">
        <is>
          <t>M75 TOPLAMI</t>
        </is>
      </c>
      <c r="D296" s="26" t="inlineStr">
        <is>
          <t>m</t>
        </is>
      </c>
      <c r="E296" s="22" t="n"/>
      <c r="F296" s="22" t="n"/>
      <c r="G296" s="22" t="n"/>
      <c r="H296" s="22" t="n"/>
      <c r="I296" s="22" t="n"/>
      <c r="J296" s="27">
        <f>SUM(I295:I295)</f>
        <v/>
      </c>
    </row>
    <row r="297" ht="15" customHeight="1">
      <c r="A297" s="19" t="n">
        <v>36</v>
      </c>
      <c r="B297" s="20" t="inlineStr">
        <is>
          <t>30.150.1402</t>
        </is>
      </c>
      <c r="C297" s="8" t="inlineStr">
        <is>
          <t>[M76]  Halojensiz H07Z tipi iletken 1x2,5 mm² ile tesisat</t>
        </is>
      </c>
      <c r="D297" s="21" t="inlineStr">
        <is>
          <t>m</t>
        </is>
      </c>
      <c r="E297" s="22" t="n"/>
      <c r="F297" s="22" t="n"/>
      <c r="G297" s="22" t="n"/>
      <c r="H297" s="22" t="n"/>
      <c r="I297" s="22" t="n"/>
      <c r="J297" s="22" t="n"/>
    </row>
    <row r="298" ht="12" customHeight="1">
      <c r="A298" s="6" t="n"/>
      <c r="B298" s="6" t="n"/>
      <c r="C298" s="23" t="inlineStr">
        <is>
          <t>Aydınlatma ve priz hatları, blok başına 2.000 m; 2 blok — bu yapıya düşen pay 0.500000</t>
        </is>
      </c>
      <c r="D298" s="6" t="n"/>
      <c r="E298" s="28" t="n">
        <v>2</v>
      </c>
      <c r="F298" s="6" t="n"/>
      <c r="G298" s="6" t="n"/>
      <c r="H298" s="6" t="n"/>
      <c r="I298" s="24">
        <f>E298*J298</f>
        <v/>
      </c>
      <c r="J298" s="30" t="n">
        <v>1000</v>
      </c>
    </row>
    <row r="299">
      <c r="A299" s="22" t="n"/>
      <c r="B299" s="22" t="n"/>
      <c r="C299" s="25" t="inlineStr">
        <is>
          <t>M76 TOPLAMI</t>
        </is>
      </c>
      <c r="D299" s="26" t="inlineStr">
        <is>
          <t>m</t>
        </is>
      </c>
      <c r="E299" s="22" t="n"/>
      <c r="F299" s="22" t="n"/>
      <c r="G299" s="22" t="n"/>
      <c r="H299" s="22" t="n"/>
      <c r="I299" s="22" t="n"/>
      <c r="J299" s="27">
        <f>SUM(I298:I298)</f>
        <v/>
      </c>
    </row>
    <row r="300" ht="15" customHeight="1">
      <c r="A300" s="19" t="n">
        <v>37</v>
      </c>
      <c r="B300" s="20" t="inlineStr">
        <is>
          <t>30.150.1401</t>
        </is>
      </c>
      <c r="C300" s="8" t="inlineStr">
        <is>
          <t>[M77]  Halojensiz H07Z tipi iletken 1x1,5 mm² ile kumanda tesisatı</t>
        </is>
      </c>
      <c r="D300" s="21" t="inlineStr">
        <is>
          <t>m</t>
        </is>
      </c>
      <c r="E300" s="22" t="n"/>
      <c r="F300" s="22" t="n"/>
      <c r="G300" s="22" t="n"/>
      <c r="H300" s="22" t="n"/>
      <c r="I300" s="22" t="n"/>
      <c r="J300" s="22" t="n"/>
    </row>
    <row r="301" ht="12" customHeight="1">
      <c r="A301" s="6" t="n"/>
      <c r="B301" s="6" t="n"/>
      <c r="C301" s="23" t="inlineStr">
        <is>
          <t>Kumanda ve dimmer hatları, blok başına 600 m — bu yapıya düşen pay 0.500000</t>
        </is>
      </c>
      <c r="D301" s="6" t="n"/>
      <c r="E301" s="28" t="n">
        <v>1</v>
      </c>
      <c r="F301" s="6" t="n"/>
      <c r="G301" s="6" t="n"/>
      <c r="H301" s="6" t="n"/>
      <c r="I301" s="24">
        <f>E301*J301</f>
        <v/>
      </c>
      <c r="J301" s="30" t="n">
        <v>600</v>
      </c>
    </row>
    <row r="302">
      <c r="A302" s="22" t="n"/>
      <c r="B302" s="22" t="n"/>
      <c r="C302" s="25" t="inlineStr">
        <is>
          <t>M77 TOPLAMI</t>
        </is>
      </c>
      <c r="D302" s="26" t="inlineStr">
        <is>
          <t>m</t>
        </is>
      </c>
      <c r="E302" s="22" t="n"/>
      <c r="F302" s="22" t="n"/>
      <c r="G302" s="22" t="n"/>
      <c r="H302" s="22" t="n"/>
      <c r="I302" s="22" t="n"/>
      <c r="J302" s="27">
        <f>SUM(I301:I301)</f>
        <v/>
      </c>
    </row>
    <row r="303" ht="22" customHeight="1">
      <c r="A303" s="19" t="n">
        <v>38</v>
      </c>
      <c r="B303" s="20" t="inlineStr">
        <is>
          <t>30.140.1105</t>
        </is>
      </c>
      <c r="C303" s="8" t="inlineStr">
        <is>
          <t>[M78]  Çıplak bakır tel 25 mm² — eşpotansiyel bara ve topraklama iletkeni</t>
        </is>
      </c>
      <c r="D303" s="21" t="inlineStr">
        <is>
          <t>m</t>
        </is>
      </c>
      <c r="E303" s="22" t="n"/>
      <c r="F303" s="22" t="n"/>
      <c r="G303" s="22" t="n"/>
      <c r="H303" s="22" t="n"/>
      <c r="I303" s="22" t="n"/>
      <c r="J303" s="22" t="n"/>
    </row>
    <row r="304" ht="12" customHeight="1">
      <c r="A304" s="6" t="n"/>
      <c r="B304" s="6" t="n"/>
      <c r="C304" s="23" t="inlineStr">
        <is>
          <t>Blok başına 100 m, 2 blok — bu yapıya düşen pay 0.500000</t>
        </is>
      </c>
      <c r="D304" s="6" t="n"/>
      <c r="E304" s="28" t="n">
        <v>1</v>
      </c>
      <c r="F304" s="6" t="n"/>
      <c r="G304" s="6" t="n"/>
      <c r="H304" s="6" t="n"/>
      <c r="I304" s="24">
        <f>E304*J304</f>
        <v/>
      </c>
      <c r="J304" s="30" t="n">
        <v>100</v>
      </c>
    </row>
    <row r="305">
      <c r="A305" s="22" t="n"/>
      <c r="B305" s="22" t="n"/>
      <c r="C305" s="25" t="inlineStr">
        <is>
          <t>M78 TOPLAMI</t>
        </is>
      </c>
      <c r="D305" s="26" t="inlineStr">
        <is>
          <t>m</t>
        </is>
      </c>
      <c r="E305" s="22" t="n"/>
      <c r="F305" s="22" t="n"/>
      <c r="G305" s="22" t="n"/>
      <c r="H305" s="22" t="n"/>
      <c r="I305" s="22" t="n"/>
      <c r="J305" s="27">
        <f>SUM(I304:I304)</f>
        <v/>
      </c>
    </row>
    <row r="306" ht="22" customHeight="1">
      <c r="A306" s="19" t="n">
        <v>39</v>
      </c>
      <c r="B306" s="20" t="inlineStr">
        <is>
          <t>30.750.3002</t>
        </is>
      </c>
      <c r="C306" s="8" t="inlineStr">
        <is>
          <t>[M79]  Bina ihata iletkeni tesisatı — 30x3,5 mm galvanizli çelik lama (temel topraklaması)</t>
        </is>
      </c>
      <c r="D306" s="21" t="inlineStr">
        <is>
          <t>m</t>
        </is>
      </c>
      <c r="E306" s="22" t="n"/>
      <c r="F306" s="22" t="n"/>
      <c r="G306" s="22" t="n"/>
      <c r="H306" s="22" t="n"/>
      <c r="I306" s="22" t="n"/>
      <c r="J306" s="22" t="n"/>
    </row>
    <row r="307" ht="12" customHeight="1">
      <c r="A307" s="6" t="n"/>
      <c r="B307" s="6" t="n"/>
      <c r="C307" s="23" t="inlineStr">
        <is>
          <t>Kümes çevresi 2x(14,00+79,00) = 186,00 m, 2 blok — bu yapıya düşen pay 0.500000</t>
        </is>
      </c>
      <c r="D307" s="6" t="n"/>
      <c r="E307" s="28" t="n">
        <v>1</v>
      </c>
      <c r="F307" s="6" t="n"/>
      <c r="G307" s="6" t="n"/>
      <c r="H307" s="6" t="n"/>
      <c r="I307" s="24">
        <f>E307*J307</f>
        <v/>
      </c>
      <c r="J307" s="30" t="n">
        <v>186</v>
      </c>
    </row>
    <row r="308">
      <c r="A308" s="22" t="n"/>
      <c r="B308" s="22" t="n"/>
      <c r="C308" s="25" t="inlineStr">
        <is>
          <t>M79 TOPLAMI</t>
        </is>
      </c>
      <c r="D308" s="26" t="inlineStr">
        <is>
          <t>m</t>
        </is>
      </c>
      <c r="E308" s="22" t="n"/>
      <c r="F308" s="22" t="n"/>
      <c r="G308" s="22" t="n"/>
      <c r="H308" s="22" t="n"/>
      <c r="I308" s="22" t="n"/>
      <c r="J308" s="27">
        <f>SUM(I307:I307)</f>
        <v/>
      </c>
    </row>
    <row r="309" ht="15" customHeight="1">
      <c r="A309" s="19" t="n">
        <v>40</v>
      </c>
      <c r="B309" s="20" t="inlineStr">
        <is>
          <t>30.750.1502</t>
        </is>
      </c>
      <c r="C309" s="8" t="inlineStr">
        <is>
          <t>[M80]  Aktif yakalama ucu, ortalama uyarım yolu DL = 30-40 m</t>
        </is>
      </c>
      <c r="D309" s="21" t="inlineStr">
        <is>
          <t>ad</t>
        </is>
      </c>
      <c r="E309" s="22" t="n"/>
      <c r="F309" s="22" t="n"/>
      <c r="G309" s="22" t="n"/>
      <c r="H309" s="22" t="n"/>
      <c r="I309" s="22" t="n"/>
      <c r="J309" s="22" t="n"/>
    </row>
    <row r="310" ht="12" customHeight="1">
      <c r="A310" s="6" t="n"/>
      <c r="B310" s="6" t="n"/>
      <c r="C310" s="23" t="inlineStr">
        <is>
          <t>Blok başına 1 adet, 2 blok — bu yapıya düşen pay 0.500000</t>
        </is>
      </c>
      <c r="D310" s="6" t="n"/>
      <c r="E310" s="28" t="n">
        <v>1</v>
      </c>
      <c r="F310" s="6" t="n"/>
      <c r="G310" s="6" t="n"/>
      <c r="H310" s="6" t="n"/>
      <c r="I310" s="24">
        <f>E310*J310</f>
        <v/>
      </c>
      <c r="J310" s="30" t="n">
        <v>1</v>
      </c>
    </row>
    <row r="311">
      <c r="A311" s="22" t="n"/>
      <c r="B311" s="22" t="n"/>
      <c r="C311" s="25" t="inlineStr">
        <is>
          <t>M80 TOPLAMI</t>
        </is>
      </c>
      <c r="D311" s="26" t="inlineStr">
        <is>
          <t>ad</t>
        </is>
      </c>
      <c r="E311" s="22" t="n"/>
      <c r="F311" s="22" t="n"/>
      <c r="G311" s="22" t="n"/>
      <c r="H311" s="22" t="n"/>
      <c r="I311" s="22" t="n"/>
      <c r="J311" s="27">
        <f>SUM(I310:I310)</f>
        <v/>
      </c>
    </row>
    <row r="312" ht="22" customHeight="1">
      <c r="A312" s="19" t="n">
        <v>41</v>
      </c>
      <c r="B312" s="20" t="inlineStr">
        <is>
          <t>30.750.2001</t>
        </is>
      </c>
      <c r="C312" s="8" t="inlineStr">
        <is>
          <t>[M81]  Çatı ihata ve indirme iletkeni tesisatı — 50 mm² elektrolitik bakır tel</t>
        </is>
      </c>
      <c r="D312" s="21" t="inlineStr">
        <is>
          <t>m</t>
        </is>
      </c>
      <c r="E312" s="22" t="n"/>
      <c r="F312" s="22" t="n"/>
      <c r="G312" s="22" t="n"/>
      <c r="H312" s="22" t="n"/>
      <c r="I312" s="22" t="n"/>
      <c r="J312" s="22" t="n"/>
    </row>
    <row r="313" ht="12" customHeight="1">
      <c r="A313" s="6" t="n"/>
      <c r="B313" s="6" t="n"/>
      <c r="C313" s="23" t="inlineStr">
        <is>
          <t>Blok başına 2 iniş x 8,00 m, 2 blok — bu yapıya düşen pay 0.500000</t>
        </is>
      </c>
      <c r="D313" s="6" t="n"/>
      <c r="E313" s="28" t="n">
        <v>1</v>
      </c>
      <c r="F313" s="6" t="n"/>
      <c r="G313" s="6" t="n"/>
      <c r="H313" s="6" t="n"/>
      <c r="I313" s="24">
        <f>E313*J313</f>
        <v/>
      </c>
      <c r="J313" s="30" t="n">
        <v>16</v>
      </c>
    </row>
    <row r="314">
      <c r="A314" s="22" t="n"/>
      <c r="B314" s="22" t="n"/>
      <c r="C314" s="25" t="inlineStr">
        <is>
          <t>M81 TOPLAMI</t>
        </is>
      </c>
      <c r="D314" s="26" t="inlineStr">
        <is>
          <t>m</t>
        </is>
      </c>
      <c r="E314" s="22" t="n"/>
      <c r="F314" s="22" t="n"/>
      <c r="G314" s="22" t="n"/>
      <c r="H314" s="22" t="n"/>
      <c r="I314" s="22" t="n"/>
      <c r="J314" s="27">
        <f>SUM(I313:I313)</f>
        <v/>
      </c>
    </row>
    <row r="315" ht="22" customHeight="1">
      <c r="A315" s="19" t="n">
        <v>42</v>
      </c>
      <c r="B315" s="20" t="inlineStr">
        <is>
          <t>30.740.1106</t>
        </is>
      </c>
      <c r="C315" s="8" t="inlineStr">
        <is>
          <t>[M84]  Dizel elektrojen grubu (jeneratör) 63 kVA / 50 kW — dizel motoru su veya hava ile soğuyan cinsten, 1500 d/dak</t>
        </is>
      </c>
      <c r="D315" s="21" t="inlineStr">
        <is>
          <t>ad</t>
        </is>
      </c>
      <c r="E315" s="22" t="n"/>
      <c r="F315" s="22" t="n"/>
      <c r="G315" s="22" t="n"/>
      <c r="H315" s="22" t="n"/>
      <c r="I315" s="22" t="n"/>
      <c r="J315" s="22" t="n"/>
    </row>
    <row r="316" ht="12" customHeight="1">
      <c r="A316" s="6" t="n"/>
      <c r="B316" s="6" t="n"/>
      <c r="C316" s="23" t="inlineStr">
        <is>
          <t>Kümes A ve B blok — her bloğa 1 adet — bu yapıya düşen pay 0.500000</t>
        </is>
      </c>
      <c r="D316" s="6" t="n"/>
      <c r="E316" s="28" t="n">
        <v>2</v>
      </c>
      <c r="F316" s="6" t="n"/>
      <c r="G316" s="6" t="n"/>
      <c r="H316" s="6" t="n"/>
      <c r="I316" s="24">
        <f>E316*J316</f>
        <v/>
      </c>
      <c r="J316" s="30" t="n">
        <v>0.5</v>
      </c>
    </row>
    <row r="317">
      <c r="A317" s="22" t="n"/>
      <c r="B317" s="22" t="n"/>
      <c r="C317" s="25" t="inlineStr">
        <is>
          <t>M84 TOPLAMI</t>
        </is>
      </c>
      <c r="D317" s="26" t="inlineStr">
        <is>
          <t>ad</t>
        </is>
      </c>
      <c r="E317" s="22" t="n"/>
      <c r="F317" s="22" t="n"/>
      <c r="G317" s="22" t="n"/>
      <c r="H317" s="22" t="n"/>
      <c r="I317" s="22" t="n"/>
      <c r="J317" s="27">
        <f>SUM(I316:I316)</f>
        <v/>
      </c>
    </row>
    <row r="318" ht="15" customHeight="1">
      <c r="A318" s="19" t="n">
        <v>43</v>
      </c>
      <c r="B318" s="20" t="inlineStr">
        <is>
          <t>30.740.5406</t>
        </is>
      </c>
      <c r="C318" s="8" t="inlineStr">
        <is>
          <t>[M85]  Jeneratör ses izolasyon kabini — 63 kVA</t>
        </is>
      </c>
      <c r="D318" s="21" t="inlineStr">
        <is>
          <t>ad</t>
        </is>
      </c>
      <c r="E318" s="22" t="n"/>
      <c r="F318" s="22" t="n"/>
      <c r="G318" s="22" t="n"/>
      <c r="H318" s="22" t="n"/>
      <c r="I318" s="22" t="n"/>
      <c r="J318" s="22" t="n"/>
    </row>
    <row r="319" ht="12" customHeight="1">
      <c r="A319" s="6" t="n"/>
      <c r="B319" s="6" t="n"/>
      <c r="C319" s="23" t="inlineStr">
        <is>
          <t>Her jeneratör için 1 adet — bu yapıya düşen pay 0.500000</t>
        </is>
      </c>
      <c r="D319" s="6" t="n"/>
      <c r="E319" s="28" t="n">
        <v>2</v>
      </c>
      <c r="F319" s="6" t="n"/>
      <c r="G319" s="6" t="n"/>
      <c r="H319" s="6" t="n"/>
      <c r="I319" s="24">
        <f>E319*J319</f>
        <v/>
      </c>
      <c r="J319" s="30" t="n">
        <v>0.5</v>
      </c>
    </row>
    <row r="320">
      <c r="A320" s="22" t="n"/>
      <c r="B320" s="22" t="n"/>
      <c r="C320" s="25" t="inlineStr">
        <is>
          <t>M85 TOPLAMI</t>
        </is>
      </c>
      <c r="D320" s="26" t="inlineStr">
        <is>
          <t>ad</t>
        </is>
      </c>
      <c r="E320" s="22" t="n"/>
      <c r="F320" s="22" t="n"/>
      <c r="G320" s="22" t="n"/>
      <c r="H320" s="22" t="n"/>
      <c r="I320" s="22" t="n"/>
      <c r="J320" s="27">
        <f>SUM(I319:I319)</f>
        <v/>
      </c>
    </row>
    <row r="321" ht="22" customHeight="1">
      <c r="A321" s="19" t="n">
        <v>44</v>
      </c>
      <c r="B321" s="20" t="inlineStr">
        <is>
          <t>30.120.2016</t>
        </is>
      </c>
      <c r="C321" s="8" t="inlineStr">
        <is>
          <t>[M86]  Otomatik transfer şalteri 4 x 200 A — şebeke/jeneratör geçişi</t>
        </is>
      </c>
      <c r="D321" s="21" t="inlineStr">
        <is>
          <t>ad</t>
        </is>
      </c>
      <c r="E321" s="22" t="n"/>
      <c r="F321" s="22" t="n"/>
      <c r="G321" s="22" t="n"/>
      <c r="H321" s="22" t="n"/>
      <c r="I321" s="22" t="n"/>
      <c r="J321" s="22" t="n"/>
    </row>
    <row r="322" ht="12" customHeight="1">
      <c r="A322" s="6" t="n"/>
      <c r="B322" s="6" t="n"/>
      <c r="C322" s="23" t="inlineStr">
        <is>
          <t>Her jeneratör için 1 adet — bu yapıya düşen pay 0.500000</t>
        </is>
      </c>
      <c r="D322" s="6" t="n"/>
      <c r="E322" s="28" t="n">
        <v>2</v>
      </c>
      <c r="F322" s="6" t="n"/>
      <c r="G322" s="6" t="n"/>
      <c r="H322" s="6" t="n"/>
      <c r="I322" s="24">
        <f>E322*J322</f>
        <v/>
      </c>
      <c r="J322" s="30" t="n">
        <v>0.5</v>
      </c>
    </row>
    <row r="323">
      <c r="A323" s="22" t="n"/>
      <c r="B323" s="22" t="n"/>
      <c r="C323" s="25" t="inlineStr">
        <is>
          <t>M86 TOPLAMI</t>
        </is>
      </c>
      <c r="D323" s="26" t="inlineStr">
        <is>
          <t>ad</t>
        </is>
      </c>
      <c r="E323" s="22" t="n"/>
      <c r="F323" s="22" t="n"/>
      <c r="G323" s="22" t="n"/>
      <c r="H323" s="22" t="n"/>
      <c r="I323" s="22" t="n"/>
      <c r="J323" s="27">
        <f>SUM(I322:I322)</f>
        <v/>
      </c>
    </row>
    <row r="324"/>
    <row r="325" ht="20" customHeight="1">
      <c r="A325" s="18" t="inlineStr">
        <is>
          <t>Yapı/Bina Adı: GÜBRE ÇUKURU</t>
        </is>
      </c>
    </row>
    <row r="326" ht="28" customHeight="1">
      <c r="A326" s="7" t="inlineStr">
        <is>
          <t>No</t>
        </is>
      </c>
      <c r="B326" s="7" t="inlineStr">
        <is>
          <t>Poz No</t>
        </is>
      </c>
      <c r="C326" s="7" t="inlineStr">
        <is>
          <t>Tanımı / Ölçünün Alındığı Yer</t>
        </is>
      </c>
      <c r="D326" s="7" t="inlineStr">
        <is>
          <t>Birimi</t>
        </is>
      </c>
      <c r="E326" s="7" t="inlineStr">
        <is>
          <t>Adet</t>
        </is>
      </c>
      <c r="F326" s="7" t="inlineStr">
        <is>
          <t>En (m)</t>
        </is>
      </c>
      <c r="G326" s="7" t="inlineStr">
        <is>
          <t>Boy (m)</t>
        </is>
      </c>
      <c r="H326" s="7" t="inlineStr">
        <is>
          <t>Yükseklik (m)</t>
        </is>
      </c>
      <c r="I326" s="7" t="inlineStr">
        <is>
          <t>Miktar</t>
        </is>
      </c>
      <c r="J326" s="7" t="inlineStr">
        <is>
          <t>Toplam Miktar</t>
        </is>
      </c>
    </row>
    <row r="327" ht="15" customHeight="1">
      <c r="A327" s="19" t="n">
        <v>1</v>
      </c>
      <c r="B327" s="20" t="inlineStr">
        <is>
          <t>15.120.1101</t>
        </is>
      </c>
      <c r="C327" s="8" t="inlineStr">
        <is>
          <t>[M04]  Makine ile dar ve derin sandık kazı — gübre çukuru</t>
        </is>
      </c>
      <c r="D327" s="21" t="inlineStr">
        <is>
          <t>m³</t>
        </is>
      </c>
      <c r="E327" s="22" t="n"/>
      <c r="F327" s="22" t="n"/>
      <c r="G327" s="22" t="n"/>
      <c r="H327" s="22" t="n"/>
      <c r="I327" s="22" t="n"/>
      <c r="J327" s="22" t="n"/>
    </row>
    <row r="328" ht="30" customHeight="1">
      <c r="A328" s="6" t="n"/>
      <c r="B328" s="6" t="n"/>
      <c r="C328" s="23" t="inlineStr">
        <is>
          <t>Yapı dış ölçüsü 11.50x10.00; her yönde 1,00 m çalışma payı -&gt; 13.50x12.00. Derinlik: 2,70 iç yükseklik + 0,15 döşeme + 0,40 radye + 0,10 grobeton = 3,35 m</t>
        </is>
      </c>
      <c r="D328" s="6" t="n"/>
      <c r="E328" s="28" t="n">
        <v>1</v>
      </c>
      <c r="F328" s="29" t="n">
        <v>12</v>
      </c>
      <c r="G328" s="29" t="n">
        <v>13.5</v>
      </c>
      <c r="H328" s="29" t="n">
        <v>3.35</v>
      </c>
      <c r="I328" s="24">
        <f>E328*F328*G328*H328</f>
        <v/>
      </c>
      <c r="J328" s="6" t="n"/>
    </row>
    <row r="329">
      <c r="A329" s="22" t="n"/>
      <c r="B329" s="22" t="n"/>
      <c r="C329" s="25" t="inlineStr">
        <is>
          <t>M04 TOPLAMI</t>
        </is>
      </c>
      <c r="D329" s="26" t="inlineStr">
        <is>
          <t>m³</t>
        </is>
      </c>
      <c r="E329" s="22" t="n"/>
      <c r="F329" s="22" t="n"/>
      <c r="G329" s="22" t="n"/>
      <c r="H329" s="22" t="n"/>
      <c r="I329" s="22" t="n"/>
      <c r="J329" s="27">
        <f>SUM(I328:I328)</f>
        <v/>
      </c>
    </row>
    <row r="330" ht="22" customHeight="1">
      <c r="A330" s="19" t="n">
        <v>2</v>
      </c>
      <c r="B330" s="20" t="inlineStr">
        <is>
          <t>15.150.1003</t>
        </is>
      </c>
      <c r="C330" s="8" t="inlineStr">
        <is>
          <t>[M10]  C 16/20 hazır beton dökülmesi — gübre çukuru radye altı grobeton</t>
        </is>
      </c>
      <c r="D330" s="21" t="inlineStr">
        <is>
          <t>m³</t>
        </is>
      </c>
      <c r="E330" s="22" t="n"/>
      <c r="F330" s="22" t="n"/>
      <c r="G330" s="22" t="n"/>
      <c r="H330" s="22" t="n"/>
      <c r="I330" s="22" t="n"/>
      <c r="J330" s="22" t="n"/>
    </row>
    <row r="331" ht="20" customHeight="1">
      <c r="A331" s="6" t="n"/>
      <c r="B331" s="6" t="n"/>
      <c r="C331" s="23" t="inlineStr">
        <is>
          <t>Radye dış ölçüsü 11.50x10.00 + her yönde 0,10 taşma -&gt; 11.70x10.20</t>
        </is>
      </c>
      <c r="D331" s="6" t="n"/>
      <c r="E331" s="28" t="n">
        <v>1</v>
      </c>
      <c r="F331" s="29" t="n">
        <v>10.2</v>
      </c>
      <c r="G331" s="29" t="n">
        <v>11.7</v>
      </c>
      <c r="H331" s="29" t="n">
        <v>0.1</v>
      </c>
      <c r="I331" s="24">
        <f>E331*F331*G331*H331</f>
        <v/>
      </c>
      <c r="J331" s="6" t="n"/>
    </row>
    <row r="332">
      <c r="A332" s="22" t="n"/>
      <c r="B332" s="22" t="n"/>
      <c r="C332" s="25" t="inlineStr">
        <is>
          <t>M10 TOPLAMI</t>
        </is>
      </c>
      <c r="D332" s="26" t="inlineStr">
        <is>
          <t>m³</t>
        </is>
      </c>
      <c r="E332" s="22" t="n"/>
      <c r="F332" s="22" t="n"/>
      <c r="G332" s="22" t="n"/>
      <c r="H332" s="22" t="n"/>
      <c r="I332" s="22" t="n"/>
      <c r="J332" s="27">
        <f>SUM(I331:I331)</f>
        <v/>
      </c>
    </row>
    <row r="333" ht="15" customHeight="1">
      <c r="A333" s="19" t="n">
        <v>3</v>
      </c>
      <c r="B333" s="20" t="inlineStr">
        <is>
          <t>15.150.1005</t>
        </is>
      </c>
      <c r="C333" s="8" t="inlineStr">
        <is>
          <t>[M14]  C 25/30 hazır beton dökülmesi — gübre çukuru radye temeli</t>
        </is>
      </c>
      <c r="D333" s="21" t="inlineStr">
        <is>
          <t>m³</t>
        </is>
      </c>
      <c r="E333" s="22" t="n"/>
      <c r="F333" s="22" t="n"/>
      <c r="G333" s="22" t="n"/>
      <c r="H333" s="22" t="n"/>
      <c r="I333" s="22" t="n"/>
      <c r="J333" s="22" t="n"/>
    </row>
    <row r="334" ht="20" customHeight="1">
      <c r="A334" s="6" t="n"/>
      <c r="B334" s="6" t="n"/>
      <c r="C334" s="23" t="inlineStr">
        <is>
          <t>Aks açıklığı 11.50x10.00 + her yönde 0,25 taşma -&gt; 11.50x10.00; A-A temel kesitinden radye kalınlığı 0,40 m</t>
        </is>
      </c>
      <c r="D334" s="6" t="n"/>
      <c r="E334" s="28" t="n">
        <v>1</v>
      </c>
      <c r="F334" s="29" t="n">
        <v>10</v>
      </c>
      <c r="G334" s="29" t="n">
        <v>11.5</v>
      </c>
      <c r="H334" s="29" t="n">
        <v>0.4</v>
      </c>
      <c r="I334" s="24">
        <f>E334*F334*G334*H334</f>
        <v/>
      </c>
      <c r="J334" s="6" t="n"/>
    </row>
    <row r="335">
      <c r="A335" s="22" t="n"/>
      <c r="B335" s="22" t="n"/>
      <c r="C335" s="25" t="inlineStr">
        <is>
          <t>M14 TOPLAMI</t>
        </is>
      </c>
      <c r="D335" s="26" t="inlineStr">
        <is>
          <t>m³</t>
        </is>
      </c>
      <c r="E335" s="22" t="n"/>
      <c r="F335" s="22" t="n"/>
      <c r="G335" s="22" t="n"/>
      <c r="H335" s="22" t="n"/>
      <c r="I335" s="22" t="n"/>
      <c r="J335" s="27">
        <f>SUM(I334:I334)</f>
        <v/>
      </c>
    </row>
    <row r="336" ht="22" customHeight="1">
      <c r="A336" s="19" t="n">
        <v>4</v>
      </c>
      <c r="B336" s="20" t="inlineStr">
        <is>
          <t>15.150.1005</t>
        </is>
      </c>
      <c r="C336" s="8" t="inlineStr">
        <is>
          <t>[M15]  C 25/30 hazır beton dökülmesi — gübre çukuru perde, kolon ve üst döşemesi</t>
        </is>
      </c>
      <c r="D336" s="21" t="inlineStr">
        <is>
          <t>m³</t>
        </is>
      </c>
      <c r="E336" s="22" t="n"/>
      <c r="F336" s="22" t="n"/>
      <c r="G336" s="22" t="n"/>
      <c r="H336" s="22" t="n"/>
      <c r="I336" s="22" t="n"/>
      <c r="J336" s="22" t="n"/>
    </row>
    <row r="337" ht="20" customHeight="1">
      <c r="A337" s="6" t="n"/>
      <c r="B337" s="6" t="n"/>
      <c r="C337" s="23" t="inlineStr">
        <is>
          <t>Perde duvarlar: orta çevre 2x(11.25+9.75) = 42.00 m; kalınlık 0,25 m; yükseklik 2,70 m</t>
        </is>
      </c>
      <c r="D337" s="6" t="n"/>
      <c r="E337" s="28" t="n">
        <v>1</v>
      </c>
      <c r="F337" s="29" t="n">
        <v>0.25</v>
      </c>
      <c r="G337" s="29" t="n">
        <v>42</v>
      </c>
      <c r="H337" s="29" t="n">
        <v>2.7</v>
      </c>
      <c r="I337" s="24">
        <f>E337*F337*G337*H337</f>
        <v/>
      </c>
      <c r="J337" s="6" t="n"/>
    </row>
    <row r="338" ht="12" customHeight="1">
      <c r="A338" s="6" t="n"/>
      <c r="B338" s="6" t="n"/>
      <c r="C338" s="23" t="inlineStr">
        <is>
          <t>Üst döşeme 15 cm (11.50x10.00)</t>
        </is>
      </c>
      <c r="D338" s="6" t="n"/>
      <c r="E338" s="28" t="n">
        <v>1</v>
      </c>
      <c r="F338" s="29" t="n">
        <v>10</v>
      </c>
      <c r="G338" s="29" t="n">
        <v>11.5</v>
      </c>
      <c r="H338" s="29" t="n">
        <v>0.15</v>
      </c>
      <c r="I338" s="24">
        <f>E338*F338*G338*H338</f>
        <v/>
      </c>
      <c r="J338" s="6" t="n"/>
    </row>
    <row r="339" ht="20" customHeight="1">
      <c r="A339" s="6" t="n"/>
      <c r="B339" s="6" t="n"/>
      <c r="C339" s="23" t="inlineStr">
        <is>
          <t>Kolonlar (SB05 30/30, SB06-SB08 40/40) ve kirişler — betonarme proje METRAJ tablosuna tamamlama</t>
        </is>
      </c>
      <c r="D339" s="6" t="n"/>
      <c r="E339" s="28" t="n">
        <v>1</v>
      </c>
      <c r="F339" s="6" t="n"/>
      <c r="G339" s="29" t="n">
        <v>1.59</v>
      </c>
      <c r="H339" s="6" t="n"/>
      <c r="I339" s="24">
        <f>E339*G339</f>
        <v/>
      </c>
      <c r="J339" s="6" t="n"/>
    </row>
    <row r="340">
      <c r="A340" s="22" t="n"/>
      <c r="B340" s="22" t="n"/>
      <c r="C340" s="25" t="inlineStr">
        <is>
          <t>M15 TOPLAMI</t>
        </is>
      </c>
      <c r="D340" s="26" t="inlineStr">
        <is>
          <t>m³</t>
        </is>
      </c>
      <c r="E340" s="22" t="n"/>
      <c r="F340" s="22" t="n"/>
      <c r="G340" s="22" t="n"/>
      <c r="H340" s="22" t="n"/>
      <c r="I340" s="22" t="n"/>
      <c r="J340" s="27">
        <f>SUM(I337:I339)</f>
        <v/>
      </c>
    </row>
    <row r="341" ht="15" customHeight="1">
      <c r="A341" s="19" t="n">
        <v>5</v>
      </c>
      <c r="B341" s="20" t="inlineStr">
        <is>
          <t>15.180.1003</t>
        </is>
      </c>
      <c r="C341" s="8" t="inlineStr">
        <is>
          <t>[M19]  Plywood ile düz yüzeyli betonarme kalıbı — gübre çukuru</t>
        </is>
      </c>
      <c r="D341" s="21" t="inlineStr">
        <is>
          <t>m²</t>
        </is>
      </c>
      <c r="E341" s="22" t="n"/>
      <c r="F341" s="22" t="n"/>
      <c r="G341" s="22" t="n"/>
      <c r="H341" s="22" t="n"/>
      <c r="I341" s="22" t="n"/>
      <c r="J341" s="22" t="n"/>
    </row>
    <row r="342" ht="20" customHeight="1">
      <c r="A342" s="6" t="n"/>
      <c r="B342" s="6" t="n"/>
      <c r="C342" s="23" t="inlineStr">
        <is>
          <t>Radye çevre kalıbı: çevre 2x(11.50+10.00) = 43.00 m, yükseklik 0,40 m</t>
        </is>
      </c>
      <c r="D342" s="6" t="n"/>
      <c r="E342" s="28" t="n">
        <v>1</v>
      </c>
      <c r="F342" s="6" t="n"/>
      <c r="G342" s="29" t="n">
        <v>43</v>
      </c>
      <c r="H342" s="29" t="n">
        <v>0.4</v>
      </c>
      <c r="I342" s="24">
        <f>E342*G342*H342</f>
        <v/>
      </c>
      <c r="J342" s="6" t="n"/>
    </row>
    <row r="343" ht="20" customHeight="1">
      <c r="A343" s="6" t="n"/>
      <c r="B343" s="6" t="n"/>
      <c r="C343" s="23" t="inlineStr">
        <is>
          <t>Perde iç ve dış yüzleri: orta çevre 42.00 m x 2 yüz, yükseklik 2,70 m</t>
        </is>
      </c>
      <c r="D343" s="6" t="n"/>
      <c r="E343" s="28" t="n">
        <v>2</v>
      </c>
      <c r="F343" s="6" t="n"/>
      <c r="G343" s="29" t="n">
        <v>42</v>
      </c>
      <c r="H343" s="29" t="n">
        <v>2.7</v>
      </c>
      <c r="I343" s="24">
        <f>E343*G343*H343</f>
        <v/>
      </c>
      <c r="J343" s="6" t="n"/>
    </row>
    <row r="344" ht="12" customHeight="1">
      <c r="A344" s="6" t="n"/>
      <c r="B344" s="6" t="n"/>
      <c r="C344" s="23" t="inlineStr">
        <is>
          <t>Üst döşeme tavan kalıbı (11.50x10.00)</t>
        </is>
      </c>
      <c r="D344" s="6" t="n"/>
      <c r="E344" s="28" t="n">
        <v>1</v>
      </c>
      <c r="F344" s="29" t="n">
        <v>10</v>
      </c>
      <c r="G344" s="29" t="n">
        <v>11.5</v>
      </c>
      <c r="H344" s="6" t="n"/>
      <c r="I344" s="24">
        <f>E344*F344*G344</f>
        <v/>
      </c>
      <c r="J344" s="6" t="n"/>
    </row>
    <row r="345" ht="12" customHeight="1">
      <c r="A345" s="6" t="n"/>
      <c r="B345" s="6" t="n"/>
      <c r="C345" s="23" t="inlineStr">
        <is>
          <t>Kiriş yan yüzleri — proje metrajına tamamlama</t>
        </is>
      </c>
      <c r="D345" s="6" t="n"/>
      <c r="E345" s="28" t="n">
        <v>1</v>
      </c>
      <c r="F345" s="6" t="n"/>
      <c r="G345" s="29" t="n">
        <v>4.26</v>
      </c>
      <c r="H345" s="6" t="n"/>
      <c r="I345" s="24">
        <f>E345*G345</f>
        <v/>
      </c>
      <c r="J345" s="6" t="n"/>
    </row>
    <row r="346">
      <c r="A346" s="22" t="n"/>
      <c r="B346" s="22" t="n"/>
      <c r="C346" s="25" t="inlineStr">
        <is>
          <t>M19 TOPLAMI</t>
        </is>
      </c>
      <c r="D346" s="26" t="inlineStr">
        <is>
          <t>m²</t>
        </is>
      </c>
      <c r="E346" s="22" t="n"/>
      <c r="F346" s="22" t="n"/>
      <c r="G346" s="22" t="n"/>
      <c r="H346" s="22" t="n"/>
      <c r="I346" s="22" t="n"/>
      <c r="J346" s="27">
        <f>SUM(I342:I345)</f>
        <v/>
      </c>
    </row>
    <row r="347" ht="15" customHeight="1">
      <c r="A347" s="19" t="n">
        <v>6</v>
      </c>
      <c r="B347" s="20" t="inlineStr">
        <is>
          <t>15.160.1003</t>
        </is>
      </c>
      <c r="C347" s="8" t="inlineStr">
        <is>
          <t>[M24]  Ø8-Ø12 nervürlü beton çelik çubuğu — gübre çukuru</t>
        </is>
      </c>
      <c r="D347" s="21" t="inlineStr">
        <is>
          <t>ton</t>
        </is>
      </c>
      <c r="E347" s="22" t="n"/>
      <c r="F347" s="22" t="n"/>
      <c r="G347" s="22" t="n"/>
      <c r="H347" s="22" t="n"/>
      <c r="I347" s="22" t="n"/>
      <c r="J347" s="22" t="n"/>
    </row>
    <row r="348" ht="20" customHeight="1">
      <c r="A348" s="6" t="n"/>
      <c r="B348" s="6" t="n"/>
      <c r="C348" s="23" t="inlineStr">
        <is>
          <t>Radye donatısı: 11.50x10.00x0,40 m³ hacim, 110 kg/m³ = 0,110 ton/m³</t>
        </is>
      </c>
      <c r="D348" s="6" t="n"/>
      <c r="E348" s="28" t="n">
        <v>1</v>
      </c>
      <c r="F348" s="29" t="n">
        <v>10</v>
      </c>
      <c r="G348" s="29" t="n">
        <v>11.5</v>
      </c>
      <c r="H348" s="29" t="n">
        <v>0.4</v>
      </c>
      <c r="I348" s="24">
        <f>E348*F348*G348*H348*J348</f>
        <v/>
      </c>
      <c r="J348" s="30" t="n">
        <v>0.11</v>
      </c>
    </row>
    <row r="349" ht="20" customHeight="1">
      <c r="A349" s="6" t="n"/>
      <c r="B349" s="6" t="n"/>
      <c r="C349" s="23" t="inlineStr">
        <is>
          <t>Üst döşeme donatısı — proje METRAJ tablosu 577,60 kg, alan oranı (1.000000) ile ölçeklenmiş</t>
        </is>
      </c>
      <c r="D349" s="6" t="n"/>
      <c r="E349" s="28" t="n">
        <v>1</v>
      </c>
      <c r="F349" s="6" t="n"/>
      <c r="G349" s="6" t="n"/>
      <c r="H349" s="6" t="n"/>
      <c r="I349" s="24">
        <f>E349*J349</f>
        <v/>
      </c>
      <c r="J349" s="30" t="n">
        <v>0.5776</v>
      </c>
    </row>
    <row r="350" ht="20" customHeight="1">
      <c r="A350" s="6" t="n"/>
      <c r="B350" s="6" t="n"/>
      <c r="C350" s="23" t="inlineStr">
        <is>
          <t>Perde ve kolon donatısı — proje METRAJ tablosu 1.961,69 kg, alan oranı ile ölçeklenmiş</t>
        </is>
      </c>
      <c r="D350" s="6" t="n"/>
      <c r="E350" s="28" t="n">
        <v>1</v>
      </c>
      <c r="F350" s="6" t="n"/>
      <c r="G350" s="6" t="n"/>
      <c r="H350" s="6" t="n"/>
      <c r="I350" s="24">
        <f>E350*J350</f>
        <v/>
      </c>
      <c r="J350" s="30" t="n">
        <v>1.96169</v>
      </c>
    </row>
    <row r="351">
      <c r="A351" s="22" t="n"/>
      <c r="B351" s="22" t="n"/>
      <c r="C351" s="25" t="inlineStr">
        <is>
          <t>M24 TOPLAMI</t>
        </is>
      </c>
      <c r="D351" s="26" t="inlineStr">
        <is>
          <t>ton</t>
        </is>
      </c>
      <c r="E351" s="22" t="n"/>
      <c r="F351" s="22" t="n"/>
      <c r="G351" s="22" t="n"/>
      <c r="H351" s="22" t="n"/>
      <c r="I351" s="22" t="n"/>
      <c r="J351" s="27">
        <f>SUM(I348:I350)</f>
        <v/>
      </c>
    </row>
    <row r="352" ht="22" customHeight="1">
      <c r="A352" s="19" t="n">
        <v>7</v>
      </c>
      <c r="B352" s="20" t="inlineStr">
        <is>
          <t>15.160.1004</t>
        </is>
      </c>
      <c r="C352" s="8" t="inlineStr">
        <is>
          <t>[M25]  Ø14-Ø28 nervürlü beton çelik çubuğu — gübre çukuru ve yağmur suyu deposu</t>
        </is>
      </c>
      <c r="D352" s="21" t="inlineStr">
        <is>
          <t>ton</t>
        </is>
      </c>
      <c r="E352" s="22" t="n"/>
      <c r="F352" s="22" t="n"/>
      <c r="G352" s="22" t="n"/>
      <c r="H352" s="22" t="n"/>
      <c r="I352" s="22" t="n"/>
      <c r="J352" s="22" t="n"/>
    </row>
    <row r="353" ht="20" customHeight="1">
      <c r="A353" s="6" t="n"/>
      <c r="B353" s="6" t="n"/>
      <c r="C353" s="23" t="inlineStr">
        <is>
          <t>Gübre çukuru — proje METRAJ tablosu 564,10 kg, alan oranı (1.000000) ile ölçeklenmiş</t>
        </is>
      </c>
      <c r="D353" s="6" t="n"/>
      <c r="E353" s="28" t="n">
        <v>1</v>
      </c>
      <c r="F353" s="6" t="n"/>
      <c r="G353" s="6" t="n"/>
      <c r="H353" s="6" t="n"/>
      <c r="I353" s="24">
        <f>E353*J353</f>
        <v/>
      </c>
      <c r="J353" s="30" t="n">
        <v>0.5641</v>
      </c>
    </row>
    <row r="354">
      <c r="A354" s="22" t="n"/>
      <c r="B354" s="22" t="n"/>
      <c r="C354" s="25" t="inlineStr">
        <is>
          <t>M25 TOPLAMI</t>
        </is>
      </c>
      <c r="D354" s="26" t="inlineStr">
        <is>
          <t>ton</t>
        </is>
      </c>
      <c r="E354" s="22" t="n"/>
      <c r="F354" s="22" t="n"/>
      <c r="G354" s="22" t="n"/>
      <c r="H354" s="22" t="n"/>
      <c r="I354" s="22" t="n"/>
      <c r="J354" s="27">
        <f>SUM(I353:I353)</f>
        <v/>
      </c>
    </row>
    <row r="355"/>
    <row r="356" ht="20" customHeight="1">
      <c r="A356" s="18" t="inlineStr">
        <is>
          <t>Yapı/Bina Adı: ÖLÜ ATMA ÇUKURU</t>
        </is>
      </c>
    </row>
    <row r="357" ht="28" customHeight="1">
      <c r="A357" s="7" t="inlineStr">
        <is>
          <t>No</t>
        </is>
      </c>
      <c r="B357" s="7" t="inlineStr">
        <is>
          <t>Poz No</t>
        </is>
      </c>
      <c r="C357" s="7" t="inlineStr">
        <is>
          <t>Tanımı / Ölçünün Alındığı Yer</t>
        </is>
      </c>
      <c r="D357" s="7" t="inlineStr">
        <is>
          <t>Birimi</t>
        </is>
      </c>
      <c r="E357" s="7" t="inlineStr">
        <is>
          <t>Adet</t>
        </is>
      </c>
      <c r="F357" s="7" t="inlineStr">
        <is>
          <t>En (m)</t>
        </is>
      </c>
      <c r="G357" s="7" t="inlineStr">
        <is>
          <t>Boy (m)</t>
        </is>
      </c>
      <c r="H357" s="7" t="inlineStr">
        <is>
          <t>Yükseklik (m)</t>
        </is>
      </c>
      <c r="I357" s="7" t="inlineStr">
        <is>
          <t>Miktar</t>
        </is>
      </c>
      <c r="J357" s="7" t="inlineStr">
        <is>
          <t>Toplam Miktar</t>
        </is>
      </c>
    </row>
    <row r="358" ht="22" customHeight="1">
      <c r="A358" s="19" t="n">
        <v>1</v>
      </c>
      <c r="B358" s="20" t="inlineStr">
        <is>
          <t>15.120.1101</t>
        </is>
      </c>
      <c r="C358" s="8" t="inlineStr">
        <is>
          <t>[M05]  Makine ile dar ve derin sandık kazı — ölü atma çukuru, depolar, foseptik ve silo kaideleri</t>
        </is>
      </c>
      <c r="D358" s="21" t="inlineStr">
        <is>
          <t>m³</t>
        </is>
      </c>
      <c r="E358" s="22" t="n"/>
      <c r="F358" s="22" t="n"/>
      <c r="G358" s="22" t="n"/>
      <c r="H358" s="22" t="n"/>
      <c r="I358" s="22" t="n"/>
      <c r="J358" s="22" t="n"/>
    </row>
    <row r="359" ht="20" customHeight="1">
      <c r="A359" s="6" t="n"/>
      <c r="B359" s="6" t="n"/>
      <c r="C359" s="23" t="inlineStr">
        <is>
          <t>Ölü atma çukuru: dış 6.00x3.00; her yönde 1,00 m çalışma payı -&gt; 8.00x5.00; derinlik 3.00+0,15+0,30+0,10 = 3.55 m</t>
        </is>
      </c>
      <c r="D359" s="6" t="n"/>
      <c r="E359" s="28" t="n">
        <v>1</v>
      </c>
      <c r="F359" s="29" t="n">
        <v>5</v>
      </c>
      <c r="G359" s="29" t="n">
        <v>8</v>
      </c>
      <c r="H359" s="29" t="n">
        <v>3.55</v>
      </c>
      <c r="I359" s="24">
        <f>E359*F359*G359*H359</f>
        <v/>
      </c>
      <c r="J359" s="6" t="n"/>
    </row>
    <row r="360">
      <c r="A360" s="22" t="n"/>
      <c r="B360" s="22" t="n"/>
      <c r="C360" s="25" t="inlineStr">
        <is>
          <t>M05 TOPLAMI</t>
        </is>
      </c>
      <c r="D360" s="26" t="inlineStr">
        <is>
          <t>m³</t>
        </is>
      </c>
      <c r="E360" s="22" t="n"/>
      <c r="F360" s="22" t="n"/>
      <c r="G360" s="22" t="n"/>
      <c r="H360" s="22" t="n"/>
      <c r="I360" s="22" t="n"/>
      <c r="J360" s="27">
        <f>SUM(I359:I359)</f>
        <v/>
      </c>
    </row>
    <row r="361" ht="22" customHeight="1">
      <c r="A361" s="19" t="n">
        <v>2</v>
      </c>
      <c r="B361" s="20" t="inlineStr">
        <is>
          <t>15.150.1003</t>
        </is>
      </c>
      <c r="C361" s="8" t="inlineStr">
        <is>
          <t>[M11]  C 16/20 hazır beton dökülmesi — çukur, depo, foseptik ve silo kaideleri altı grobeton</t>
        </is>
      </c>
      <c r="D361" s="21" t="inlineStr">
        <is>
          <t>m³</t>
        </is>
      </c>
      <c r="E361" s="22" t="n"/>
      <c r="F361" s="22" t="n"/>
      <c r="G361" s="22" t="n"/>
      <c r="H361" s="22" t="n"/>
      <c r="I361" s="22" t="n"/>
      <c r="J361" s="22" t="n"/>
    </row>
    <row r="362" ht="12" customHeight="1">
      <c r="A362" s="6" t="n"/>
      <c r="B362" s="6" t="n"/>
      <c r="C362" s="23" t="inlineStr">
        <is>
          <t>Ölü atma çukuru (6.00x3.00 + 0,10 taşma)</t>
        </is>
      </c>
      <c r="D362" s="6" t="n"/>
      <c r="E362" s="28" t="n">
        <v>1</v>
      </c>
      <c r="F362" s="29" t="n">
        <v>3.2</v>
      </c>
      <c r="G362" s="29" t="n">
        <v>6.2</v>
      </c>
      <c r="H362" s="29" t="n">
        <v>0.1</v>
      </c>
      <c r="I362" s="24">
        <f>E362*F362*G362*H362</f>
        <v/>
      </c>
      <c r="J362" s="6" t="n"/>
    </row>
    <row r="363">
      <c r="A363" s="22" t="n"/>
      <c r="B363" s="22" t="n"/>
      <c r="C363" s="25" t="inlineStr">
        <is>
          <t>M11 TOPLAMI</t>
        </is>
      </c>
      <c r="D363" s="26" t="inlineStr">
        <is>
          <t>m³</t>
        </is>
      </c>
      <c r="E363" s="22" t="n"/>
      <c r="F363" s="22" t="n"/>
      <c r="G363" s="22" t="n"/>
      <c r="H363" s="22" t="n"/>
      <c r="I363" s="22" t="n"/>
      <c r="J363" s="27">
        <f>SUM(I362:I362)</f>
        <v/>
      </c>
    </row>
    <row r="364" ht="22" customHeight="1">
      <c r="A364" s="19" t="n">
        <v>3</v>
      </c>
      <c r="B364" s="20" t="inlineStr">
        <is>
          <t>15.150.1005</t>
        </is>
      </c>
      <c r="C364" s="8" t="inlineStr">
        <is>
          <t>[M16]  C 25/30 hazır beton dökülmesi — ölü atma çukuru, su ve yağmur suyu depoları</t>
        </is>
      </c>
      <c r="D364" s="21" t="inlineStr">
        <is>
          <t>m³</t>
        </is>
      </c>
      <c r="E364" s="22" t="n"/>
      <c r="F364" s="22" t="n"/>
      <c r="G364" s="22" t="n"/>
      <c r="H364" s="22" t="n"/>
      <c r="I364" s="22" t="n"/>
      <c r="J364" s="22" t="n"/>
    </row>
    <row r="365" ht="12" customHeight="1">
      <c r="A365" s="6" t="n"/>
      <c r="B365" s="6" t="n"/>
      <c r="C365" s="23" t="inlineStr">
        <is>
          <t>Ölü atma çukuru radye 30 cm (dış 6.00x3.00)</t>
        </is>
      </c>
      <c r="D365" s="6" t="n"/>
      <c r="E365" s="28" t="n">
        <v>1</v>
      </c>
      <c r="F365" s="29" t="n">
        <v>3</v>
      </c>
      <c r="G365" s="29" t="n">
        <v>6</v>
      </c>
      <c r="H365" s="29" t="n">
        <v>0.3</v>
      </c>
      <c r="I365" s="24">
        <f>E365*F365*G365*H365</f>
        <v/>
      </c>
      <c r="J365" s="6" t="n"/>
    </row>
    <row r="366" ht="20" customHeight="1">
      <c r="A366" s="6" t="n"/>
      <c r="B366" s="6" t="n"/>
      <c r="C366" s="23" t="inlineStr">
        <is>
          <t>Ölü atma çukuru perdeleri: orta çevre 2x(5.75+2.75) = 17.00 m, kalınlık 0,25, yükseklik 3.00</t>
        </is>
      </c>
      <c r="D366" s="6" t="n"/>
      <c r="E366" s="28" t="n">
        <v>1</v>
      </c>
      <c r="F366" s="29" t="n">
        <v>0.25</v>
      </c>
      <c r="G366" s="29" t="n">
        <v>17</v>
      </c>
      <c r="H366" s="29" t="n">
        <v>3</v>
      </c>
      <c r="I366" s="24">
        <f>E366*F366*G366*H366</f>
        <v/>
      </c>
      <c r="J366" s="6" t="n"/>
    </row>
    <row r="367" ht="12" customHeight="1">
      <c r="A367" s="6" t="n"/>
      <c r="B367" s="6" t="n"/>
      <c r="C367" s="23" t="inlineStr">
        <is>
          <t>Ölü atma çukuru üst döşemesi 15 cm</t>
        </is>
      </c>
      <c r="D367" s="6" t="n"/>
      <c r="E367" s="28" t="n">
        <v>1</v>
      </c>
      <c r="F367" s="29" t="n">
        <v>3</v>
      </c>
      <c r="G367" s="29" t="n">
        <v>6</v>
      </c>
      <c r="H367" s="29" t="n">
        <v>0.15</v>
      </c>
      <c r="I367" s="24">
        <f>E367*F367*G367*H367</f>
        <v/>
      </c>
      <c r="J367" s="6" t="n"/>
    </row>
    <row r="368">
      <c r="A368" s="22" t="n"/>
      <c r="B368" s="22" t="n"/>
      <c r="C368" s="25" t="inlineStr">
        <is>
          <t>M16 TOPLAMI</t>
        </is>
      </c>
      <c r="D368" s="26" t="inlineStr">
        <is>
          <t>m³</t>
        </is>
      </c>
      <c r="E368" s="22" t="n"/>
      <c r="F368" s="22" t="n"/>
      <c r="G368" s="22" t="n"/>
      <c r="H368" s="22" t="n"/>
      <c r="I368" s="22" t="n"/>
      <c r="J368" s="27">
        <f>SUM(I365:I367)</f>
        <v/>
      </c>
    </row>
    <row r="369" ht="15" customHeight="1">
      <c r="A369" s="19" t="n">
        <v>4</v>
      </c>
      <c r="B369" s="20" t="inlineStr">
        <is>
          <t>15.180.1003</t>
        </is>
      </c>
      <c r="C369" s="8" t="inlineStr">
        <is>
          <t>[M20]  Plywood ile düz yüzeyli betonarme kalıbı — çukur ve depolar</t>
        </is>
      </c>
      <c r="D369" s="21" t="inlineStr">
        <is>
          <t>m²</t>
        </is>
      </c>
      <c r="E369" s="22" t="n"/>
      <c r="F369" s="22" t="n"/>
      <c r="G369" s="22" t="n"/>
      <c r="H369" s="22" t="n"/>
      <c r="I369" s="22" t="n"/>
      <c r="J369" s="22" t="n"/>
    </row>
    <row r="370" ht="20" customHeight="1">
      <c r="A370" s="6" t="n"/>
      <c r="B370" s="6" t="n"/>
      <c r="C370" s="23" t="inlineStr">
        <is>
          <t>Ölü atma çukuru radye çevresi 2x(6.00+3.00) = 18.00 m x 0,40</t>
        </is>
      </c>
      <c r="D370" s="6" t="n"/>
      <c r="E370" s="28" t="n">
        <v>1</v>
      </c>
      <c r="F370" s="6" t="n"/>
      <c r="G370" s="29" t="n">
        <v>18</v>
      </c>
      <c r="H370" s="29" t="n">
        <v>0.4</v>
      </c>
      <c r="I370" s="24">
        <f>E370*G370*H370</f>
        <v/>
      </c>
      <c r="J370" s="6" t="n"/>
    </row>
    <row r="371" ht="12" customHeight="1">
      <c r="A371" s="6" t="n"/>
      <c r="B371" s="6" t="n"/>
      <c r="C371" s="23" t="inlineStr">
        <is>
          <t>Ölü atma çukuru perde iki yüz (17.00 m x 3.00 m)</t>
        </is>
      </c>
      <c r="D371" s="6" t="n"/>
      <c r="E371" s="28" t="n">
        <v>2</v>
      </c>
      <c r="F371" s="6" t="n"/>
      <c r="G371" s="29" t="n">
        <v>17</v>
      </c>
      <c r="H371" s="29" t="n">
        <v>3</v>
      </c>
      <c r="I371" s="24">
        <f>E371*G371*H371</f>
        <v/>
      </c>
      <c r="J371" s="6" t="n"/>
    </row>
    <row r="372" ht="12" customHeight="1">
      <c r="A372" s="6" t="n"/>
      <c r="B372" s="6" t="n"/>
      <c r="C372" s="23" t="inlineStr">
        <is>
          <t>Ölü atma çukuru tavan kalıbı</t>
        </is>
      </c>
      <c r="D372" s="6" t="n"/>
      <c r="E372" s="28" t="n">
        <v>1</v>
      </c>
      <c r="F372" s="29" t="n">
        <v>3</v>
      </c>
      <c r="G372" s="29" t="n">
        <v>6</v>
      </c>
      <c r="H372" s="6" t="n"/>
      <c r="I372" s="24">
        <f>E372*F372*G372</f>
        <v/>
      </c>
      <c r="J372" s="6" t="n"/>
    </row>
    <row r="373">
      <c r="A373" s="22" t="n"/>
      <c r="B373" s="22" t="n"/>
      <c r="C373" s="25" t="inlineStr">
        <is>
          <t>M20 TOPLAMI</t>
        </is>
      </c>
      <c r="D373" s="26" t="inlineStr">
        <is>
          <t>m²</t>
        </is>
      </c>
      <c r="E373" s="22" t="n"/>
      <c r="F373" s="22" t="n"/>
      <c r="G373" s="22" t="n"/>
      <c r="H373" s="22" t="n"/>
      <c r="I373" s="22" t="n"/>
      <c r="J373" s="27">
        <f>SUM(I370:I372)</f>
        <v/>
      </c>
    </row>
    <row r="374" ht="22" customHeight="1">
      <c r="A374" s="19" t="n">
        <v>5</v>
      </c>
      <c r="B374" s="20" t="inlineStr">
        <is>
          <t>15.160.1003</t>
        </is>
      </c>
      <c r="C374" s="8" t="inlineStr">
        <is>
          <t>[M26]  Ø8-Ø12 nervürlü beton çelik çubuğu — çukur, depo, foseptik ve silo kaideleri</t>
        </is>
      </c>
      <c r="D374" s="21" t="inlineStr">
        <is>
          <t>ton</t>
        </is>
      </c>
      <c r="E374" s="22" t="n"/>
      <c r="F374" s="22" t="n"/>
      <c r="G374" s="22" t="n"/>
      <c r="H374" s="22" t="n"/>
      <c r="I374" s="22" t="n"/>
      <c r="J374" s="22" t="n"/>
    </row>
    <row r="375" ht="20" customHeight="1">
      <c r="A375" s="6" t="n"/>
      <c r="B375" s="6" t="n"/>
      <c r="C375" s="23" t="inlineStr">
        <is>
          <t>Ölü atma çukuru radye ve döşeme — proje metrajı 335,40+46,70 = 382,10 kg</t>
        </is>
      </c>
      <c r="D375" s="6" t="n"/>
      <c r="E375" s="28" t="n">
        <v>1</v>
      </c>
      <c r="F375" s="6" t="n"/>
      <c r="G375" s="6" t="n"/>
      <c r="H375" s="6" t="n"/>
      <c r="I375" s="24">
        <f>E375*J375</f>
        <v/>
      </c>
      <c r="J375" s="30" t="n">
        <v>0.3821</v>
      </c>
    </row>
    <row r="376" ht="12" customHeight="1">
      <c r="A376" s="6" t="n"/>
      <c r="B376" s="6" t="n"/>
      <c r="C376" s="23" t="inlineStr">
        <is>
          <t>Ölü atma çukuru perdeleri: 17.00x0,25x3.00 m³, 100 kg/m³</t>
        </is>
      </c>
      <c r="D376" s="6" t="n"/>
      <c r="E376" s="28" t="n">
        <v>1</v>
      </c>
      <c r="F376" s="29" t="n">
        <v>0.25</v>
      </c>
      <c r="G376" s="29" t="n">
        <v>17</v>
      </c>
      <c r="H376" s="29" t="n">
        <v>3</v>
      </c>
      <c r="I376" s="24">
        <f>E376*F376*G376*H376*J376</f>
        <v/>
      </c>
      <c r="J376" s="30" t="n">
        <v>0.1</v>
      </c>
    </row>
    <row r="377">
      <c r="A377" s="22" t="n"/>
      <c r="B377" s="22" t="n"/>
      <c r="C377" s="25" t="inlineStr">
        <is>
          <t>M26 TOPLAMI</t>
        </is>
      </c>
      <c r="D377" s="26" t="inlineStr">
        <is>
          <t>ton</t>
        </is>
      </c>
      <c r="E377" s="22" t="n"/>
      <c r="F377" s="22" t="n"/>
      <c r="G377" s="22" t="n"/>
      <c r="H377" s="22" t="n"/>
      <c r="I377" s="22" t="n"/>
      <c r="J377" s="27">
        <f>SUM(I375:I376)</f>
        <v/>
      </c>
    </row>
    <row r="378"/>
    <row r="379" ht="20" customHeight="1">
      <c r="A379" s="18" t="inlineStr">
        <is>
          <t>Yapı/Bina Adı: FOSEPTIK</t>
        </is>
      </c>
    </row>
    <row r="380" ht="28" customHeight="1">
      <c r="A380" s="7" t="inlineStr">
        <is>
          <t>No</t>
        </is>
      </c>
      <c r="B380" s="7" t="inlineStr">
        <is>
          <t>Poz No</t>
        </is>
      </c>
      <c r="C380" s="7" t="inlineStr">
        <is>
          <t>Tanımı / Ölçünün Alındığı Yer</t>
        </is>
      </c>
      <c r="D380" s="7" t="inlineStr">
        <is>
          <t>Birimi</t>
        </is>
      </c>
      <c r="E380" s="7" t="inlineStr">
        <is>
          <t>Adet</t>
        </is>
      </c>
      <c r="F380" s="7" t="inlineStr">
        <is>
          <t>En (m)</t>
        </is>
      </c>
      <c r="G380" s="7" t="inlineStr">
        <is>
          <t>Boy (m)</t>
        </is>
      </c>
      <c r="H380" s="7" t="inlineStr">
        <is>
          <t>Yükseklik (m)</t>
        </is>
      </c>
      <c r="I380" s="7" t="inlineStr">
        <is>
          <t>Miktar</t>
        </is>
      </c>
      <c r="J380" s="7" t="inlineStr">
        <is>
          <t>Toplam Miktar</t>
        </is>
      </c>
    </row>
    <row r="381" ht="22" customHeight="1">
      <c r="A381" s="19" t="n">
        <v>1</v>
      </c>
      <c r="B381" s="20" t="inlineStr">
        <is>
          <t>15.120.1101</t>
        </is>
      </c>
      <c r="C381" s="8" t="inlineStr">
        <is>
          <t>[M05]  Makine ile dar ve derin sandık kazı — ölü atma çukuru, depolar, foseptik ve silo kaideleri</t>
        </is>
      </c>
      <c r="D381" s="21" t="inlineStr">
        <is>
          <t>m³</t>
        </is>
      </c>
      <c r="E381" s="22" t="n"/>
      <c r="F381" s="22" t="n"/>
      <c r="G381" s="22" t="n"/>
      <c r="H381" s="22" t="n"/>
      <c r="I381" s="22" t="n"/>
      <c r="J381" s="22" t="n"/>
    </row>
    <row r="382" ht="20" customHeight="1">
      <c r="A382" s="6" t="n"/>
      <c r="B382" s="6" t="n"/>
      <c r="C382" s="23" t="inlineStr">
        <is>
          <t>Foseptik: dış 2.00x2.00; 1,00 m çalışma payı -&gt; 4.00x4.00; derinlik 2.50+0,15+0,30+0,10 = 3.05 m</t>
        </is>
      </c>
      <c r="D382" s="6" t="n"/>
      <c r="E382" s="28" t="n">
        <v>1</v>
      </c>
      <c r="F382" s="29" t="n">
        <v>4</v>
      </c>
      <c r="G382" s="29" t="n">
        <v>4</v>
      </c>
      <c r="H382" s="29" t="n">
        <v>3.05</v>
      </c>
      <c r="I382" s="24">
        <f>E382*F382*G382*H382</f>
        <v/>
      </c>
      <c r="J382" s="6" t="n"/>
    </row>
    <row r="383">
      <c r="A383" s="22" t="n"/>
      <c r="B383" s="22" t="n"/>
      <c r="C383" s="25" t="inlineStr">
        <is>
          <t>M05 TOPLAMI</t>
        </is>
      </c>
      <c r="D383" s="26" t="inlineStr">
        <is>
          <t>m³</t>
        </is>
      </c>
      <c r="E383" s="22" t="n"/>
      <c r="F383" s="22" t="n"/>
      <c r="G383" s="22" t="n"/>
      <c r="H383" s="22" t="n"/>
      <c r="I383" s="22" t="n"/>
      <c r="J383" s="27">
        <f>SUM(I382:I382)</f>
        <v/>
      </c>
    </row>
    <row r="384" ht="22" customHeight="1">
      <c r="A384" s="19" t="n">
        <v>2</v>
      </c>
      <c r="B384" s="20" t="inlineStr">
        <is>
          <t>15.150.1003</t>
        </is>
      </c>
      <c r="C384" s="8" t="inlineStr">
        <is>
          <t>[M11]  C 16/20 hazır beton dökülmesi — çukur, depo, foseptik ve silo kaideleri altı grobeton</t>
        </is>
      </c>
      <c r="D384" s="21" t="inlineStr">
        <is>
          <t>m³</t>
        </is>
      </c>
      <c r="E384" s="22" t="n"/>
      <c r="F384" s="22" t="n"/>
      <c r="G384" s="22" t="n"/>
      <c r="H384" s="22" t="n"/>
      <c r="I384" s="22" t="n"/>
      <c r="J384" s="22" t="n"/>
    </row>
    <row r="385" ht="12" customHeight="1">
      <c r="A385" s="6" t="n"/>
      <c r="B385" s="6" t="n"/>
      <c r="C385" s="23" t="inlineStr">
        <is>
          <t>Foseptik (2.00x2.00 + 0,10 taşma)</t>
        </is>
      </c>
      <c r="D385" s="6" t="n"/>
      <c r="E385" s="28" t="n">
        <v>1</v>
      </c>
      <c r="F385" s="29" t="n">
        <v>2.2</v>
      </c>
      <c r="G385" s="29" t="n">
        <v>2.2</v>
      </c>
      <c r="H385" s="29" t="n">
        <v>0.1</v>
      </c>
      <c r="I385" s="24">
        <f>E385*F385*G385*H385</f>
        <v/>
      </c>
      <c r="J385" s="6" t="n"/>
    </row>
    <row r="386">
      <c r="A386" s="22" t="n"/>
      <c r="B386" s="22" t="n"/>
      <c r="C386" s="25" t="inlineStr">
        <is>
          <t>M11 TOPLAMI</t>
        </is>
      </c>
      <c r="D386" s="26" t="inlineStr">
        <is>
          <t>m³</t>
        </is>
      </c>
      <c r="E386" s="22" t="n"/>
      <c r="F386" s="22" t="n"/>
      <c r="G386" s="22" t="n"/>
      <c r="H386" s="22" t="n"/>
      <c r="I386" s="22" t="n"/>
      <c r="J386" s="27">
        <f>SUM(I385:I385)</f>
        <v/>
      </c>
    </row>
    <row r="387" ht="15" customHeight="1">
      <c r="A387" s="19" t="n">
        <v>3</v>
      </c>
      <c r="B387" s="20" t="inlineStr">
        <is>
          <t>15.150.1005</t>
        </is>
      </c>
      <c r="C387" s="8" t="inlineStr">
        <is>
          <t>[M17]  C 25/30 hazır beton dökülmesi — foseptik ve silo kaideleri</t>
        </is>
      </c>
      <c r="D387" s="21" t="inlineStr">
        <is>
          <t>m³</t>
        </is>
      </c>
      <c r="E387" s="22" t="n"/>
      <c r="F387" s="22" t="n"/>
      <c r="G387" s="22" t="n"/>
      <c r="H387" s="22" t="n"/>
      <c r="I387" s="22" t="n"/>
      <c r="J387" s="22" t="n"/>
    </row>
    <row r="388" ht="12" customHeight="1">
      <c r="A388" s="6" t="n"/>
      <c r="B388" s="6" t="n"/>
      <c r="C388" s="23" t="inlineStr">
        <is>
          <t>Foseptik radye 30 cm (dış 2.00x2.00)</t>
        </is>
      </c>
      <c r="D388" s="6" t="n"/>
      <c r="E388" s="28" t="n">
        <v>1</v>
      </c>
      <c r="F388" s="29" t="n">
        <v>2</v>
      </c>
      <c r="G388" s="29" t="n">
        <v>2</v>
      </c>
      <c r="H388" s="29" t="n">
        <v>0.3</v>
      </c>
      <c r="I388" s="24">
        <f>E388*F388*G388*H388</f>
        <v/>
      </c>
      <c r="J388" s="6" t="n"/>
    </row>
    <row r="389" ht="20" customHeight="1">
      <c r="A389" s="6" t="n"/>
      <c r="B389" s="6" t="n"/>
      <c r="C389" s="23" t="inlineStr">
        <is>
          <t>Foseptik perdeleri: orta çevre 2x(1.75+1.75) = 7.00 m, kalınlık 0,25, yükseklik 2.50</t>
        </is>
      </c>
      <c r="D389" s="6" t="n"/>
      <c r="E389" s="28" t="n">
        <v>1</v>
      </c>
      <c r="F389" s="29" t="n">
        <v>0.25</v>
      </c>
      <c r="G389" s="29" t="n">
        <v>7</v>
      </c>
      <c r="H389" s="29" t="n">
        <v>2.5</v>
      </c>
      <c r="I389" s="24">
        <f>E389*F389*G389*H389</f>
        <v/>
      </c>
      <c r="J389" s="6" t="n"/>
    </row>
    <row r="390" ht="12" customHeight="1">
      <c r="A390" s="6" t="n"/>
      <c r="B390" s="6" t="n"/>
      <c r="C390" s="23" t="inlineStr">
        <is>
          <t>Foseptik üst döşemesi 15 cm</t>
        </is>
      </c>
      <c r="D390" s="6" t="n"/>
      <c r="E390" s="28" t="n">
        <v>1</v>
      </c>
      <c r="F390" s="29" t="n">
        <v>2</v>
      </c>
      <c r="G390" s="29" t="n">
        <v>2</v>
      </c>
      <c r="H390" s="29" t="n">
        <v>0.15</v>
      </c>
      <c r="I390" s="24">
        <f>E390*F390*G390*H390</f>
        <v/>
      </c>
      <c r="J390" s="6" t="n"/>
    </row>
    <row r="391">
      <c r="A391" s="22" t="n"/>
      <c r="B391" s="22" t="n"/>
      <c r="C391" s="25" t="inlineStr">
        <is>
          <t>M17 TOPLAMI</t>
        </is>
      </c>
      <c r="D391" s="26" t="inlineStr">
        <is>
          <t>m³</t>
        </is>
      </c>
      <c r="E391" s="22" t="n"/>
      <c r="F391" s="22" t="n"/>
      <c r="G391" s="22" t="n"/>
      <c r="H391" s="22" t="n"/>
      <c r="I391" s="22" t="n"/>
      <c r="J391" s="27">
        <f>SUM(I388:I390)</f>
        <v/>
      </c>
    </row>
    <row r="392" ht="22" customHeight="1">
      <c r="A392" s="19" t="n">
        <v>4</v>
      </c>
      <c r="B392" s="20" t="inlineStr">
        <is>
          <t>15.180.1003</t>
        </is>
      </c>
      <c r="C392" s="8" t="inlineStr">
        <is>
          <t>[M21]  Plywood ile düz yüzeyli betonarme kalıbı — foseptik ve silo kaideleri</t>
        </is>
      </c>
      <c r="D392" s="21" t="inlineStr">
        <is>
          <t>m²</t>
        </is>
      </c>
      <c r="E392" s="22" t="n"/>
      <c r="F392" s="22" t="n"/>
      <c r="G392" s="22" t="n"/>
      <c r="H392" s="22" t="n"/>
      <c r="I392" s="22" t="n"/>
      <c r="J392" s="22" t="n"/>
    </row>
    <row r="393" ht="12" customHeight="1">
      <c r="A393" s="6" t="n"/>
      <c r="B393" s="6" t="n"/>
      <c r="C393" s="23" t="inlineStr">
        <is>
          <t>Foseptik radye çevresi 2x(2.00+2.00) = 8.00 m x 0,30</t>
        </is>
      </c>
      <c r="D393" s="6" t="n"/>
      <c r="E393" s="28" t="n">
        <v>1</v>
      </c>
      <c r="F393" s="6" t="n"/>
      <c r="G393" s="29" t="n">
        <v>8</v>
      </c>
      <c r="H393" s="29" t="n">
        <v>0.3</v>
      </c>
      <c r="I393" s="24">
        <f>E393*G393*H393</f>
        <v/>
      </c>
      <c r="J393" s="6" t="n"/>
    </row>
    <row r="394" ht="12" customHeight="1">
      <c r="A394" s="6" t="n"/>
      <c r="B394" s="6" t="n"/>
      <c r="C394" s="23" t="inlineStr">
        <is>
          <t>Foseptik perde iki yüz (7.00 m x 2.50 m)</t>
        </is>
      </c>
      <c r="D394" s="6" t="n"/>
      <c r="E394" s="28" t="n">
        <v>2</v>
      </c>
      <c r="F394" s="6" t="n"/>
      <c r="G394" s="29" t="n">
        <v>7</v>
      </c>
      <c r="H394" s="29" t="n">
        <v>2.5</v>
      </c>
      <c r="I394" s="24">
        <f>E394*G394*H394</f>
        <v/>
      </c>
      <c r="J394" s="6" t="n"/>
    </row>
    <row r="395" ht="12" customHeight="1">
      <c r="A395" s="6" t="n"/>
      <c r="B395" s="6" t="n"/>
      <c r="C395" s="23" t="inlineStr">
        <is>
          <t>Foseptik tavan kalıbı</t>
        </is>
      </c>
      <c r="D395" s="6" t="n"/>
      <c r="E395" s="28" t="n">
        <v>1</v>
      </c>
      <c r="F395" s="29" t="n">
        <v>2</v>
      </c>
      <c r="G395" s="29" t="n">
        <v>2</v>
      </c>
      <c r="H395" s="6" t="n"/>
      <c r="I395" s="24">
        <f>E395*F395*G395</f>
        <v/>
      </c>
      <c r="J395" s="6" t="n"/>
    </row>
    <row r="396">
      <c r="A396" s="22" t="n"/>
      <c r="B396" s="22" t="n"/>
      <c r="C396" s="25" t="inlineStr">
        <is>
          <t>M21 TOPLAMI</t>
        </is>
      </c>
      <c r="D396" s="26" t="inlineStr">
        <is>
          <t>m²</t>
        </is>
      </c>
      <c r="E396" s="22" t="n"/>
      <c r="F396" s="22" t="n"/>
      <c r="G396" s="22" t="n"/>
      <c r="H396" s="22" t="n"/>
      <c r="I396" s="22" t="n"/>
      <c r="J396" s="27">
        <f>SUM(I393:I395)</f>
        <v/>
      </c>
    </row>
    <row r="397" ht="22" customHeight="1">
      <c r="A397" s="19" t="n">
        <v>5</v>
      </c>
      <c r="B397" s="20" t="inlineStr">
        <is>
          <t>15.160.1003</t>
        </is>
      </c>
      <c r="C397" s="8" t="inlineStr">
        <is>
          <t>[M26]  Ø8-Ø12 nervürlü beton çelik çubuğu — çukur, depo, foseptik ve silo kaideleri</t>
        </is>
      </c>
      <c r="D397" s="21" t="inlineStr">
        <is>
          <t>ton</t>
        </is>
      </c>
      <c r="E397" s="22" t="n"/>
      <c r="F397" s="22" t="n"/>
      <c r="G397" s="22" t="n"/>
      <c r="H397" s="22" t="n"/>
      <c r="I397" s="22" t="n"/>
      <c r="J397" s="22" t="n"/>
    </row>
    <row r="398" ht="12" customHeight="1">
      <c r="A398" s="6" t="n"/>
      <c r="B398" s="6" t="n"/>
      <c r="C398" s="23" t="inlineStr">
        <is>
          <t>Foseptik radyesi: 2.00x2.00x0,30 m³, 95 kg/m³</t>
        </is>
      </c>
      <c r="D398" s="6" t="n"/>
      <c r="E398" s="28" t="n">
        <v>1</v>
      </c>
      <c r="F398" s="29" t="n">
        <v>2</v>
      </c>
      <c r="G398" s="29" t="n">
        <v>2</v>
      </c>
      <c r="H398" s="29" t="n">
        <v>0.3</v>
      </c>
      <c r="I398" s="24">
        <f>E398*F398*G398*H398*J398</f>
        <v/>
      </c>
      <c r="J398" s="30" t="n">
        <v>0.095</v>
      </c>
    </row>
    <row r="399" ht="12" customHeight="1">
      <c r="A399" s="6" t="n"/>
      <c r="B399" s="6" t="n"/>
      <c r="C399" s="23" t="inlineStr">
        <is>
          <t>Foseptik perdeleri: 7.00x0,25x2.50 m³, 95 kg/m³</t>
        </is>
      </c>
      <c r="D399" s="6" t="n"/>
      <c r="E399" s="28" t="n">
        <v>1</v>
      </c>
      <c r="F399" s="29" t="n">
        <v>0.25</v>
      </c>
      <c r="G399" s="29" t="n">
        <v>7</v>
      </c>
      <c r="H399" s="29" t="n">
        <v>2.5</v>
      </c>
      <c r="I399" s="24">
        <f>E399*F399*G399*H399*J399</f>
        <v/>
      </c>
      <c r="J399" s="30" t="n">
        <v>0.095</v>
      </c>
    </row>
    <row r="400" ht="12" customHeight="1">
      <c r="A400" s="6" t="n"/>
      <c r="B400" s="6" t="n"/>
      <c r="C400" s="23" t="inlineStr">
        <is>
          <t>Foseptik döşemesi: 2.00x2.00x0,15 m³, 95 kg/m³</t>
        </is>
      </c>
      <c r="D400" s="6" t="n"/>
      <c r="E400" s="28" t="n">
        <v>1</v>
      </c>
      <c r="F400" s="29" t="n">
        <v>2</v>
      </c>
      <c r="G400" s="29" t="n">
        <v>2</v>
      </c>
      <c r="H400" s="29" t="n">
        <v>0.15</v>
      </c>
      <c r="I400" s="24">
        <f>E400*F400*G400*H400*J400</f>
        <v/>
      </c>
      <c r="J400" s="30" t="n">
        <v>0.095</v>
      </c>
    </row>
    <row r="401">
      <c r="A401" s="22" t="n"/>
      <c r="B401" s="22" t="n"/>
      <c r="C401" s="25" t="inlineStr">
        <is>
          <t>M26 TOPLAMI</t>
        </is>
      </c>
      <c r="D401" s="26" t="inlineStr">
        <is>
          <t>ton</t>
        </is>
      </c>
      <c r="E401" s="22" t="n"/>
      <c r="F401" s="22" t="n"/>
      <c r="G401" s="22" t="n"/>
      <c r="H401" s="22" t="n"/>
      <c r="I401" s="22" t="n"/>
      <c r="J401" s="27">
        <f>SUM(I398:I400)</f>
        <v/>
      </c>
    </row>
    <row r="402"/>
    <row r="403" ht="20" customHeight="1">
      <c r="A403" s="18" t="inlineStr">
        <is>
          <t>Yapı/Bina Adı: YEM SILOSU BETONARME KAIDELERI</t>
        </is>
      </c>
    </row>
    <row r="404" ht="28" customHeight="1">
      <c r="A404" s="7" t="inlineStr">
        <is>
          <t>No</t>
        </is>
      </c>
      <c r="B404" s="7" t="inlineStr">
        <is>
          <t>Poz No</t>
        </is>
      </c>
      <c r="C404" s="7" t="inlineStr">
        <is>
          <t>Tanımı / Ölçünün Alındığı Yer</t>
        </is>
      </c>
      <c r="D404" s="7" t="inlineStr">
        <is>
          <t>Birimi</t>
        </is>
      </c>
      <c r="E404" s="7" t="inlineStr">
        <is>
          <t>Adet</t>
        </is>
      </c>
      <c r="F404" s="7" t="inlineStr">
        <is>
          <t>En (m)</t>
        </is>
      </c>
      <c r="G404" s="7" t="inlineStr">
        <is>
          <t>Boy (m)</t>
        </is>
      </c>
      <c r="H404" s="7" t="inlineStr">
        <is>
          <t>Yükseklik (m)</t>
        </is>
      </c>
      <c r="I404" s="7" t="inlineStr">
        <is>
          <t>Miktar</t>
        </is>
      </c>
      <c r="J404" s="7" t="inlineStr">
        <is>
          <t>Toplam Miktar</t>
        </is>
      </c>
    </row>
    <row r="405" ht="22" customHeight="1">
      <c r="A405" s="19" t="n">
        <v>1</v>
      </c>
      <c r="B405" s="20" t="inlineStr">
        <is>
          <t>15.120.1101</t>
        </is>
      </c>
      <c r="C405" s="8" t="inlineStr">
        <is>
          <t>[M05]  Makine ile dar ve derin sandık kazı — ölü atma çukuru, depolar, foseptik ve silo kaideleri</t>
        </is>
      </c>
      <c r="D405" s="21" t="inlineStr">
        <is>
          <t>m³</t>
        </is>
      </c>
      <c r="E405" s="22" t="n"/>
      <c r="F405" s="22" t="n"/>
      <c r="G405" s="22" t="n"/>
      <c r="H405" s="22" t="n"/>
      <c r="I405" s="22" t="n"/>
      <c r="J405" s="22" t="n"/>
    </row>
    <row r="406" ht="20" customHeight="1">
      <c r="A406" s="6" t="n"/>
      <c r="B406" s="6" t="n"/>
      <c r="C406" s="23" t="inlineStr">
        <is>
          <t>Silo kaideleri: 2.90x2.90 kaide; 1,00 m çalışma payı -&gt; 4.90x4.90; derinlik 1,00 m</t>
        </is>
      </c>
      <c r="D406" s="6" t="n"/>
      <c r="E406" s="28" t="n">
        <v>2</v>
      </c>
      <c r="F406" s="29" t="n">
        <v>4.9</v>
      </c>
      <c r="G406" s="29" t="n">
        <v>4.9</v>
      </c>
      <c r="H406" s="29" t="n">
        <v>1</v>
      </c>
      <c r="I406" s="24">
        <f>E406*F406*G406*H406</f>
        <v/>
      </c>
      <c r="J406" s="6" t="n"/>
    </row>
    <row r="407">
      <c r="A407" s="22" t="n"/>
      <c r="B407" s="22" t="n"/>
      <c r="C407" s="25" t="inlineStr">
        <is>
          <t>M05 TOPLAMI</t>
        </is>
      </c>
      <c r="D407" s="26" t="inlineStr">
        <is>
          <t>m³</t>
        </is>
      </c>
      <c r="E407" s="22" t="n"/>
      <c r="F407" s="22" t="n"/>
      <c r="G407" s="22" t="n"/>
      <c r="H407" s="22" t="n"/>
      <c r="I407" s="22" t="n"/>
      <c r="J407" s="27">
        <f>SUM(I406:I406)</f>
        <v/>
      </c>
    </row>
    <row r="408" ht="22" customHeight="1">
      <c r="A408" s="19" t="n">
        <v>2</v>
      </c>
      <c r="B408" s="20" t="inlineStr">
        <is>
          <t>15.150.1003</t>
        </is>
      </c>
      <c r="C408" s="8" t="inlineStr">
        <is>
          <t>[M11]  C 16/20 hazır beton dökülmesi — çukur, depo, foseptik ve silo kaideleri altı grobeton</t>
        </is>
      </c>
      <c r="D408" s="21" t="inlineStr">
        <is>
          <t>m³</t>
        </is>
      </c>
      <c r="E408" s="22" t="n"/>
      <c r="F408" s="22" t="n"/>
      <c r="G408" s="22" t="n"/>
      <c r="H408" s="22" t="n"/>
      <c r="I408" s="22" t="n"/>
      <c r="J408" s="22" t="n"/>
    </row>
    <row r="409" ht="12" customHeight="1">
      <c r="A409" s="6" t="n"/>
      <c r="B409" s="6" t="n"/>
      <c r="C409" s="23" t="inlineStr">
        <is>
          <t>Silo kaideleri (2.90x2.90 + 0,10 taşma), 2 adet</t>
        </is>
      </c>
      <c r="D409" s="6" t="n"/>
      <c r="E409" s="28" t="n">
        <v>2</v>
      </c>
      <c r="F409" s="29" t="n">
        <v>3.1</v>
      </c>
      <c r="G409" s="29" t="n">
        <v>3.1</v>
      </c>
      <c r="H409" s="29" t="n">
        <v>0.1</v>
      </c>
      <c r="I409" s="24">
        <f>E409*F409*G409*H409</f>
        <v/>
      </c>
      <c r="J409" s="6" t="n"/>
    </row>
    <row r="410">
      <c r="A410" s="22" t="n"/>
      <c r="B410" s="22" t="n"/>
      <c r="C410" s="25" t="inlineStr">
        <is>
          <t>M11 TOPLAMI</t>
        </is>
      </c>
      <c r="D410" s="26" t="inlineStr">
        <is>
          <t>m³</t>
        </is>
      </c>
      <c r="E410" s="22" t="n"/>
      <c r="F410" s="22" t="n"/>
      <c r="G410" s="22" t="n"/>
      <c r="H410" s="22" t="n"/>
      <c r="I410" s="22" t="n"/>
      <c r="J410" s="27">
        <f>SUM(I409:I409)</f>
        <v/>
      </c>
    </row>
    <row r="411" ht="15" customHeight="1">
      <c r="A411" s="19" t="n">
        <v>3</v>
      </c>
      <c r="B411" s="20" t="inlineStr">
        <is>
          <t>15.150.1005</t>
        </is>
      </c>
      <c r="C411" s="8" t="inlineStr">
        <is>
          <t>[M17]  C 25/30 hazır beton dökülmesi — foseptik ve silo kaideleri</t>
        </is>
      </c>
      <c r="D411" s="21" t="inlineStr">
        <is>
          <t>m³</t>
        </is>
      </c>
      <c r="E411" s="22" t="n"/>
      <c r="F411" s="22" t="n"/>
      <c r="G411" s="22" t="n"/>
      <c r="H411" s="22" t="n"/>
      <c r="I411" s="22" t="n"/>
      <c r="J411" s="22" t="n"/>
    </row>
    <row r="412" ht="12" customHeight="1">
      <c r="A412" s="6" t="n"/>
      <c r="B412" s="6" t="n"/>
      <c r="C412" s="23" t="inlineStr">
        <is>
          <t>Silo betonarme kaidesi (2 adet)</t>
        </is>
      </c>
      <c r="D412" s="6" t="n"/>
      <c r="E412" s="28" t="n">
        <v>2</v>
      </c>
      <c r="F412" s="29" t="n">
        <v>2.9</v>
      </c>
      <c r="G412" s="29" t="n">
        <v>2.9</v>
      </c>
      <c r="H412" s="29" t="n">
        <v>0.5</v>
      </c>
      <c r="I412" s="24">
        <f>E412*F412*G412*H412</f>
        <v/>
      </c>
      <c r="J412" s="6" t="n"/>
    </row>
    <row r="413">
      <c r="A413" s="22" t="n"/>
      <c r="B413" s="22" t="n"/>
      <c r="C413" s="25" t="inlineStr">
        <is>
          <t>M17 TOPLAMI</t>
        </is>
      </c>
      <c r="D413" s="26" t="inlineStr">
        <is>
          <t>m³</t>
        </is>
      </c>
      <c r="E413" s="22" t="n"/>
      <c r="F413" s="22" t="n"/>
      <c r="G413" s="22" t="n"/>
      <c r="H413" s="22" t="n"/>
      <c r="I413" s="22" t="n"/>
      <c r="J413" s="27">
        <f>SUM(I412:I412)</f>
        <v/>
      </c>
    </row>
    <row r="414" ht="22" customHeight="1">
      <c r="A414" s="19" t="n">
        <v>4</v>
      </c>
      <c r="B414" s="20" t="inlineStr">
        <is>
          <t>15.180.1003</t>
        </is>
      </c>
      <c r="C414" s="8" t="inlineStr">
        <is>
          <t>[M21]  Plywood ile düz yüzeyli betonarme kalıbı — foseptik ve silo kaideleri</t>
        </is>
      </c>
      <c r="D414" s="21" t="inlineStr">
        <is>
          <t>m²</t>
        </is>
      </c>
      <c r="E414" s="22" t="n"/>
      <c r="F414" s="22" t="n"/>
      <c r="G414" s="22" t="n"/>
      <c r="H414" s="22" t="n"/>
      <c r="I414" s="22" t="n"/>
      <c r="J414" s="22" t="n"/>
    </row>
    <row r="415" ht="20" customHeight="1">
      <c r="A415" s="6" t="n"/>
      <c r="B415" s="6" t="n"/>
      <c r="C415" s="23" t="inlineStr">
        <is>
          <t>Silo kaidesi yan yüzleri: 4 yüz x 2 adet, boy 2.90, yükseklik 0.50</t>
        </is>
      </c>
      <c r="D415" s="6" t="n"/>
      <c r="E415" s="28" t="n">
        <v>8</v>
      </c>
      <c r="F415" s="6" t="n"/>
      <c r="G415" s="29" t="n">
        <v>2.9</v>
      </c>
      <c r="H415" s="29" t="n">
        <v>0.5</v>
      </c>
      <c r="I415" s="24">
        <f>E415*G415*H415</f>
        <v/>
      </c>
      <c r="J415" s="6" t="n"/>
    </row>
    <row r="416">
      <c r="A416" s="22" t="n"/>
      <c r="B416" s="22" t="n"/>
      <c r="C416" s="25" t="inlineStr">
        <is>
          <t>M21 TOPLAMI</t>
        </is>
      </c>
      <c r="D416" s="26" t="inlineStr">
        <is>
          <t>m²</t>
        </is>
      </c>
      <c r="E416" s="22" t="n"/>
      <c r="F416" s="22" t="n"/>
      <c r="G416" s="22" t="n"/>
      <c r="H416" s="22" t="n"/>
      <c r="I416" s="22" t="n"/>
      <c r="J416" s="27">
        <f>SUM(I415:I415)</f>
        <v/>
      </c>
    </row>
    <row r="417" ht="22" customHeight="1">
      <c r="A417" s="19" t="n">
        <v>5</v>
      </c>
      <c r="B417" s="20" t="inlineStr">
        <is>
          <t>15.160.1003</t>
        </is>
      </c>
      <c r="C417" s="8" t="inlineStr">
        <is>
          <t>[M26]  Ø8-Ø12 nervürlü beton çelik çubuğu — çukur, depo, foseptik ve silo kaideleri</t>
        </is>
      </c>
      <c r="D417" s="21" t="inlineStr">
        <is>
          <t>ton</t>
        </is>
      </c>
      <c r="E417" s="22" t="n"/>
      <c r="F417" s="22" t="n"/>
      <c r="G417" s="22" t="n"/>
      <c r="H417" s="22" t="n"/>
      <c r="I417" s="22" t="n"/>
      <c r="J417" s="22" t="n"/>
    </row>
    <row r="418" ht="12" customHeight="1">
      <c r="A418" s="6" t="n"/>
      <c r="B418" s="6" t="n"/>
      <c r="C418" s="23" t="inlineStr">
        <is>
          <t>Silo kaideleri: 2.90x2.90x0.50 m³ x 2, 90 kg/m³</t>
        </is>
      </c>
      <c r="D418" s="6" t="n"/>
      <c r="E418" s="28" t="n">
        <v>2</v>
      </c>
      <c r="F418" s="29" t="n">
        <v>2.9</v>
      </c>
      <c r="G418" s="29" t="n">
        <v>2.9</v>
      </c>
      <c r="H418" s="29" t="n">
        <v>0.5</v>
      </c>
      <c r="I418" s="24">
        <f>E418*F418*G418*H418*J418</f>
        <v/>
      </c>
      <c r="J418" s="30" t="n">
        <v>0.09</v>
      </c>
    </row>
    <row r="419">
      <c r="A419" s="22" t="n"/>
      <c r="B419" s="22" t="n"/>
      <c r="C419" s="25" t="inlineStr">
        <is>
          <t>M26 TOPLAMI</t>
        </is>
      </c>
      <c r="D419" s="26" t="inlineStr">
        <is>
          <t>ton</t>
        </is>
      </c>
      <c r="E419" s="22" t="n"/>
      <c r="F419" s="22" t="n"/>
      <c r="G419" s="22" t="n"/>
      <c r="H419" s="22" t="n"/>
      <c r="I419" s="22" t="n"/>
      <c r="J419" s="27">
        <f>SUM(I418:I418)</f>
        <v/>
      </c>
    </row>
    <row r="420"/>
    <row r="421" ht="20" customHeight="1">
      <c r="A421" s="18" t="inlineStr">
        <is>
          <t>Yapı/Bina Adı: SU DEPOSU</t>
        </is>
      </c>
    </row>
    <row r="422" ht="28" customHeight="1">
      <c r="A422" s="7" t="inlineStr">
        <is>
          <t>No</t>
        </is>
      </c>
      <c r="B422" s="7" t="inlineStr">
        <is>
          <t>Poz No</t>
        </is>
      </c>
      <c r="C422" s="7" t="inlineStr">
        <is>
          <t>Tanımı / Ölçünün Alındığı Yer</t>
        </is>
      </c>
      <c r="D422" s="7" t="inlineStr">
        <is>
          <t>Birimi</t>
        </is>
      </c>
      <c r="E422" s="7" t="inlineStr">
        <is>
          <t>Adet</t>
        </is>
      </c>
      <c r="F422" s="7" t="inlineStr">
        <is>
          <t>En (m)</t>
        </is>
      </c>
      <c r="G422" s="7" t="inlineStr">
        <is>
          <t>Boy (m)</t>
        </is>
      </c>
      <c r="H422" s="7" t="inlineStr">
        <is>
          <t>Yükseklik (m)</t>
        </is>
      </c>
      <c r="I422" s="7" t="inlineStr">
        <is>
          <t>Miktar</t>
        </is>
      </c>
      <c r="J422" s="7" t="inlineStr">
        <is>
          <t>Toplam Miktar</t>
        </is>
      </c>
    </row>
    <row r="423" ht="22" customHeight="1">
      <c r="A423" s="19" t="n">
        <v>1</v>
      </c>
      <c r="B423" s="20" t="inlineStr">
        <is>
          <t>15.120.1101</t>
        </is>
      </c>
      <c r="C423" s="8" t="inlineStr">
        <is>
          <t>[M05]  Makine ile dar ve derin sandık kazı — ölü atma çukuru, depolar, foseptik ve silo kaideleri</t>
        </is>
      </c>
      <c r="D423" s="21" t="inlineStr">
        <is>
          <t>m³</t>
        </is>
      </c>
      <c r="E423" s="22" t="n"/>
      <c r="F423" s="22" t="n"/>
      <c r="G423" s="22" t="n"/>
      <c r="H423" s="22" t="n"/>
      <c r="I423" s="22" t="n"/>
      <c r="J423" s="22" t="n"/>
    </row>
    <row r="424" ht="20" customHeight="1">
      <c r="A424" s="6" t="n"/>
      <c r="B424" s="6" t="n"/>
      <c r="C424" s="23" t="inlineStr">
        <is>
          <t>Su deposu: dış 4.00x3.00; 1,00 m çalışma payı -&gt; 6.00x5.00; derinlik 3.55 m</t>
        </is>
      </c>
      <c r="D424" s="6" t="n"/>
      <c r="E424" s="28" t="n">
        <v>1</v>
      </c>
      <c r="F424" s="29" t="n">
        <v>5</v>
      </c>
      <c r="G424" s="29" t="n">
        <v>6</v>
      </c>
      <c r="H424" s="29" t="n">
        <v>3.55</v>
      </c>
      <c r="I424" s="24">
        <f>E424*F424*G424*H424</f>
        <v/>
      </c>
      <c r="J424" s="6" t="n"/>
    </row>
    <row r="425">
      <c r="A425" s="22" t="n"/>
      <c r="B425" s="22" t="n"/>
      <c r="C425" s="25" t="inlineStr">
        <is>
          <t>M05 TOPLAMI</t>
        </is>
      </c>
      <c r="D425" s="26" t="inlineStr">
        <is>
          <t>m³</t>
        </is>
      </c>
      <c r="E425" s="22" t="n"/>
      <c r="F425" s="22" t="n"/>
      <c r="G425" s="22" t="n"/>
      <c r="H425" s="22" t="n"/>
      <c r="I425" s="22" t="n"/>
      <c r="J425" s="27">
        <f>SUM(I424:I424)</f>
        <v/>
      </c>
    </row>
    <row r="426" ht="22" customHeight="1">
      <c r="A426" s="19" t="n">
        <v>2</v>
      </c>
      <c r="B426" s="20" t="inlineStr">
        <is>
          <t>15.150.1003</t>
        </is>
      </c>
      <c r="C426" s="8" t="inlineStr">
        <is>
          <t>[M11]  C 16/20 hazır beton dökülmesi — çukur, depo, foseptik ve silo kaideleri altı grobeton</t>
        </is>
      </c>
      <c r="D426" s="21" t="inlineStr">
        <is>
          <t>m³</t>
        </is>
      </c>
      <c r="E426" s="22" t="n"/>
      <c r="F426" s="22" t="n"/>
      <c r="G426" s="22" t="n"/>
      <c r="H426" s="22" t="n"/>
      <c r="I426" s="22" t="n"/>
      <c r="J426" s="22" t="n"/>
    </row>
    <row r="427" ht="12" customHeight="1">
      <c r="A427" s="6" t="n"/>
      <c r="B427" s="6" t="n"/>
      <c r="C427" s="23" t="inlineStr">
        <is>
          <t>Su deposu (4.00x3.00 + 0,10 taşma)</t>
        </is>
      </c>
      <c r="D427" s="6" t="n"/>
      <c r="E427" s="28" t="n">
        <v>1</v>
      </c>
      <c r="F427" s="29" t="n">
        <v>3.2</v>
      </c>
      <c r="G427" s="29" t="n">
        <v>4.2</v>
      </c>
      <c r="H427" s="29" t="n">
        <v>0.1</v>
      </c>
      <c r="I427" s="24">
        <f>E427*F427*G427*H427</f>
        <v/>
      </c>
      <c r="J427" s="6" t="n"/>
    </row>
    <row r="428">
      <c r="A428" s="22" t="n"/>
      <c r="B428" s="22" t="n"/>
      <c r="C428" s="25" t="inlineStr">
        <is>
          <t>M11 TOPLAMI</t>
        </is>
      </c>
      <c r="D428" s="26" t="inlineStr">
        <is>
          <t>m³</t>
        </is>
      </c>
      <c r="E428" s="22" t="n"/>
      <c r="F428" s="22" t="n"/>
      <c r="G428" s="22" t="n"/>
      <c r="H428" s="22" t="n"/>
      <c r="I428" s="22" t="n"/>
      <c r="J428" s="27">
        <f>SUM(I427:I427)</f>
        <v/>
      </c>
    </row>
    <row r="429" ht="22" customHeight="1">
      <c r="A429" s="19" t="n">
        <v>3</v>
      </c>
      <c r="B429" s="20" t="inlineStr">
        <is>
          <t>15.150.1005</t>
        </is>
      </c>
      <c r="C429" s="8" t="inlineStr">
        <is>
          <t>[M16]  C 25/30 hazır beton dökülmesi — ölü atma çukuru, su ve yağmur suyu depoları</t>
        </is>
      </c>
      <c r="D429" s="21" t="inlineStr">
        <is>
          <t>m³</t>
        </is>
      </c>
      <c r="E429" s="22" t="n"/>
      <c r="F429" s="22" t="n"/>
      <c r="G429" s="22" t="n"/>
      <c r="H429" s="22" t="n"/>
      <c r="I429" s="22" t="n"/>
      <c r="J429" s="22" t="n"/>
    </row>
    <row r="430" ht="12" customHeight="1">
      <c r="A430" s="6" t="n"/>
      <c r="B430" s="6" t="n"/>
      <c r="C430" s="23" t="inlineStr">
        <is>
          <t>Su deposu radye 30 cm (dış 4.00x3.00)</t>
        </is>
      </c>
      <c r="D430" s="6" t="n"/>
      <c r="E430" s="28" t="n">
        <v>1</v>
      </c>
      <c r="F430" s="29" t="n">
        <v>3</v>
      </c>
      <c r="G430" s="29" t="n">
        <v>4</v>
      </c>
      <c r="H430" s="29" t="n">
        <v>0.3</v>
      </c>
      <c r="I430" s="24">
        <f>E430*F430*G430*H430</f>
        <v/>
      </c>
      <c r="J430" s="6" t="n"/>
    </row>
    <row r="431" ht="12" customHeight="1">
      <c r="A431" s="6" t="n"/>
      <c r="B431" s="6" t="n"/>
      <c r="C431" s="23" t="inlineStr">
        <is>
          <t>Su deposu perdeleri: orta çevre 2x(3.75+2.75) = 13.00 m</t>
        </is>
      </c>
      <c r="D431" s="6" t="n"/>
      <c r="E431" s="28" t="n">
        <v>1</v>
      </c>
      <c r="F431" s="29" t="n">
        <v>0.25</v>
      </c>
      <c r="G431" s="29" t="n">
        <v>13</v>
      </c>
      <c r="H431" s="29" t="n">
        <v>3</v>
      </c>
      <c r="I431" s="24">
        <f>E431*F431*G431*H431</f>
        <v/>
      </c>
      <c r="J431" s="6" t="n"/>
    </row>
    <row r="432" ht="12" customHeight="1">
      <c r="A432" s="6" t="n"/>
      <c r="B432" s="6" t="n"/>
      <c r="C432" s="23" t="inlineStr">
        <is>
          <t>Su deposu üst döşemesi 15 cm</t>
        </is>
      </c>
      <c r="D432" s="6" t="n"/>
      <c r="E432" s="28" t="n">
        <v>1</v>
      </c>
      <c r="F432" s="29" t="n">
        <v>3</v>
      </c>
      <c r="G432" s="29" t="n">
        <v>4</v>
      </c>
      <c r="H432" s="29" t="n">
        <v>0.15</v>
      </c>
      <c r="I432" s="24">
        <f>E432*F432*G432*H432</f>
        <v/>
      </c>
      <c r="J432" s="6" t="n"/>
    </row>
    <row r="433">
      <c r="A433" s="22" t="n"/>
      <c r="B433" s="22" t="n"/>
      <c r="C433" s="25" t="inlineStr">
        <is>
          <t>M16 TOPLAMI</t>
        </is>
      </c>
      <c r="D433" s="26" t="inlineStr">
        <is>
          <t>m³</t>
        </is>
      </c>
      <c r="E433" s="22" t="n"/>
      <c r="F433" s="22" t="n"/>
      <c r="G433" s="22" t="n"/>
      <c r="H433" s="22" t="n"/>
      <c r="I433" s="22" t="n"/>
      <c r="J433" s="27">
        <f>SUM(I430:I432)</f>
        <v/>
      </c>
    </row>
    <row r="434" ht="15" customHeight="1">
      <c r="A434" s="19" t="n">
        <v>4</v>
      </c>
      <c r="B434" s="20" t="inlineStr">
        <is>
          <t>15.180.1003</t>
        </is>
      </c>
      <c r="C434" s="8" t="inlineStr">
        <is>
          <t>[M20]  Plywood ile düz yüzeyli betonarme kalıbı — çukur ve depolar</t>
        </is>
      </c>
      <c r="D434" s="21" t="inlineStr">
        <is>
          <t>m²</t>
        </is>
      </c>
      <c r="E434" s="22" t="n"/>
      <c r="F434" s="22" t="n"/>
      <c r="G434" s="22" t="n"/>
      <c r="H434" s="22" t="n"/>
      <c r="I434" s="22" t="n"/>
      <c r="J434" s="22" t="n"/>
    </row>
    <row r="435" ht="12" customHeight="1">
      <c r="A435" s="6" t="n"/>
      <c r="B435" s="6" t="n"/>
      <c r="C435" s="23" t="inlineStr">
        <is>
          <t>Su deposu radye çevresi 2x(4.00+3.00) = 14.00 m x 0,40</t>
        </is>
      </c>
      <c r="D435" s="6" t="n"/>
      <c r="E435" s="28" t="n">
        <v>1</v>
      </c>
      <c r="F435" s="6" t="n"/>
      <c r="G435" s="29" t="n">
        <v>14</v>
      </c>
      <c r="H435" s="29" t="n">
        <v>0.4</v>
      </c>
      <c r="I435" s="24">
        <f>E435*G435*H435</f>
        <v/>
      </c>
      <c r="J435" s="6" t="n"/>
    </row>
    <row r="436" ht="12" customHeight="1">
      <c r="A436" s="6" t="n"/>
      <c r="B436" s="6" t="n"/>
      <c r="C436" s="23" t="inlineStr">
        <is>
          <t>Su deposu perde iki yüz (13.00 m x 3.00 m)</t>
        </is>
      </c>
      <c r="D436" s="6" t="n"/>
      <c r="E436" s="28" t="n">
        <v>2</v>
      </c>
      <c r="F436" s="6" t="n"/>
      <c r="G436" s="29" t="n">
        <v>13</v>
      </c>
      <c r="H436" s="29" t="n">
        <v>3</v>
      </c>
      <c r="I436" s="24">
        <f>E436*G436*H436</f>
        <v/>
      </c>
      <c r="J436" s="6" t="n"/>
    </row>
    <row r="437" ht="12" customHeight="1">
      <c r="A437" s="6" t="n"/>
      <c r="B437" s="6" t="n"/>
      <c r="C437" s="23" t="inlineStr">
        <is>
          <t>Su deposu tavan kalıbı</t>
        </is>
      </c>
      <c r="D437" s="6" t="n"/>
      <c r="E437" s="28" t="n">
        <v>1</v>
      </c>
      <c r="F437" s="29" t="n">
        <v>3</v>
      </c>
      <c r="G437" s="29" t="n">
        <v>4</v>
      </c>
      <c r="H437" s="6" t="n"/>
      <c r="I437" s="24">
        <f>E437*F437*G437</f>
        <v/>
      </c>
      <c r="J437" s="6" t="n"/>
    </row>
    <row r="438">
      <c r="A438" s="22" t="n"/>
      <c r="B438" s="22" t="n"/>
      <c r="C438" s="25" t="inlineStr">
        <is>
          <t>M20 TOPLAMI</t>
        </is>
      </c>
      <c r="D438" s="26" t="inlineStr">
        <is>
          <t>m²</t>
        </is>
      </c>
      <c r="E438" s="22" t="n"/>
      <c r="F438" s="22" t="n"/>
      <c r="G438" s="22" t="n"/>
      <c r="H438" s="22" t="n"/>
      <c r="I438" s="22" t="n"/>
      <c r="J438" s="27">
        <f>SUM(I435:I437)</f>
        <v/>
      </c>
    </row>
    <row r="439" ht="22" customHeight="1">
      <c r="A439" s="19" t="n">
        <v>5</v>
      </c>
      <c r="B439" s="20" t="inlineStr">
        <is>
          <t>15.160.1003</t>
        </is>
      </c>
      <c r="C439" s="8" t="inlineStr">
        <is>
          <t>[M26]  Ø8-Ø12 nervürlü beton çelik çubuğu — çukur, depo, foseptik ve silo kaideleri</t>
        </is>
      </c>
      <c r="D439" s="21" t="inlineStr">
        <is>
          <t>ton</t>
        </is>
      </c>
      <c r="E439" s="22" t="n"/>
      <c r="F439" s="22" t="n"/>
      <c r="G439" s="22" t="n"/>
      <c r="H439" s="22" t="n"/>
      <c r="I439" s="22" t="n"/>
      <c r="J439" s="22" t="n"/>
    </row>
    <row r="440" ht="20" customHeight="1">
      <c r="A440" s="6" t="n"/>
      <c r="B440" s="6" t="n"/>
      <c r="C440" s="23" t="inlineStr">
        <is>
          <t>Su deposu radye ve döşeme — proje metrajı 223,70+32,90 = 256,60 kg</t>
        </is>
      </c>
      <c r="D440" s="6" t="n"/>
      <c r="E440" s="28" t="n">
        <v>1</v>
      </c>
      <c r="F440" s="6" t="n"/>
      <c r="G440" s="6" t="n"/>
      <c r="H440" s="6" t="n"/>
      <c r="I440" s="24">
        <f>E440*J440</f>
        <v/>
      </c>
      <c r="J440" s="30" t="n">
        <v>0.2566</v>
      </c>
    </row>
    <row r="441" ht="12" customHeight="1">
      <c r="A441" s="6" t="n"/>
      <c r="B441" s="6" t="n"/>
      <c r="C441" s="23" t="inlineStr">
        <is>
          <t>Su deposu perdeleri: 13.00x0,25x3.00 m³, 100 kg/m³</t>
        </is>
      </c>
      <c r="D441" s="6" t="n"/>
      <c r="E441" s="28" t="n">
        <v>1</v>
      </c>
      <c r="F441" s="29" t="n">
        <v>0.25</v>
      </c>
      <c r="G441" s="29" t="n">
        <v>13</v>
      </c>
      <c r="H441" s="29" t="n">
        <v>3</v>
      </c>
      <c r="I441" s="24">
        <f>E441*F441*G441*H441*J441</f>
        <v/>
      </c>
      <c r="J441" s="30" t="n">
        <v>0.1</v>
      </c>
    </row>
    <row r="442">
      <c r="A442" s="22" t="n"/>
      <c r="B442" s="22" t="n"/>
      <c r="C442" s="25" t="inlineStr">
        <is>
          <t>M26 TOPLAMI</t>
        </is>
      </c>
      <c r="D442" s="26" t="inlineStr">
        <is>
          <t>ton</t>
        </is>
      </c>
      <c r="E442" s="22" t="n"/>
      <c r="F442" s="22" t="n"/>
      <c r="G442" s="22" t="n"/>
      <c r="H442" s="22" t="n"/>
      <c r="I442" s="22" t="n"/>
      <c r="J442" s="27">
        <f>SUM(I440:I441)</f>
        <v/>
      </c>
    </row>
    <row r="443"/>
    <row r="444" ht="20" customHeight="1">
      <c r="A444" s="18" t="inlineStr">
        <is>
          <t>Yapı/Bina Adı: ÇEVRE DÜZENLEMESI VE SAHA ALTYAPISI</t>
        </is>
      </c>
    </row>
    <row r="445" ht="28" customHeight="1">
      <c r="A445" s="7" t="inlineStr">
        <is>
          <t>No</t>
        </is>
      </c>
      <c r="B445" s="7" t="inlineStr">
        <is>
          <t>Poz No</t>
        </is>
      </c>
      <c r="C445" s="7" t="inlineStr">
        <is>
          <t>Tanımı / Ölçünün Alındığı Yer</t>
        </is>
      </c>
      <c r="D445" s="7" t="inlineStr">
        <is>
          <t>Birimi</t>
        </is>
      </c>
      <c r="E445" s="7" t="inlineStr">
        <is>
          <t>Adet</t>
        </is>
      </c>
      <c r="F445" s="7" t="inlineStr">
        <is>
          <t>En (m)</t>
        </is>
      </c>
      <c r="G445" s="7" t="inlineStr">
        <is>
          <t>Boy (m)</t>
        </is>
      </c>
      <c r="H445" s="7" t="inlineStr">
        <is>
          <t>Yükseklik (m)</t>
        </is>
      </c>
      <c r="I445" s="7" t="inlineStr">
        <is>
          <t>Miktar</t>
        </is>
      </c>
      <c r="J445" s="7" t="inlineStr">
        <is>
          <t>Toplam Miktar</t>
        </is>
      </c>
    </row>
    <row r="446" ht="15" customHeight="1">
      <c r="A446" s="19" t="n">
        <v>1</v>
      </c>
      <c r="B446" s="20" t="inlineStr">
        <is>
          <t>15.120.1001</t>
        </is>
      </c>
      <c r="C446" s="8" t="inlineStr">
        <is>
          <t>[M02]  Makine ile kaba tesviye kazısı — tesis içi yol güzergâhı</t>
        </is>
      </c>
      <c r="D446" s="21" t="inlineStr">
        <is>
          <t>m³</t>
        </is>
      </c>
      <c r="E446" s="22" t="n"/>
      <c r="F446" s="22" t="n"/>
      <c r="G446" s="22" t="n"/>
      <c r="H446" s="22" t="n"/>
      <c r="I446" s="22" t="n"/>
      <c r="J446" s="22" t="n"/>
    </row>
    <row r="447" ht="20" customHeight="1">
      <c r="A447" s="6" t="n"/>
      <c r="B447" s="6" t="n"/>
      <c r="C447" s="23" t="inlineStr">
        <is>
          <t>Tesis içi yol güzergâhı: 745,57 m² alan, ortalama 5,00 m genişlik -&gt; 149,11 m uzunluk</t>
        </is>
      </c>
      <c r="D447" s="6" t="n"/>
      <c r="E447" s="28" t="n">
        <v>1</v>
      </c>
      <c r="F447" s="29" t="n">
        <v>5</v>
      </c>
      <c r="G447" s="29" t="n">
        <v>149.11</v>
      </c>
      <c r="H447" s="29" t="n">
        <v>0.35</v>
      </c>
      <c r="I447" s="24">
        <f>E447*F447*G447*H447</f>
        <v/>
      </c>
      <c r="J447" s="6" t="n"/>
    </row>
    <row r="448">
      <c r="A448" s="22" t="n"/>
      <c r="B448" s="22" t="n"/>
      <c r="C448" s="25" t="inlineStr">
        <is>
          <t>M02 TOPLAMI</t>
        </is>
      </c>
      <c r="D448" s="26" t="inlineStr">
        <is>
          <t>m³</t>
        </is>
      </c>
      <c r="E448" s="22" t="n"/>
      <c r="F448" s="22" t="n"/>
      <c r="G448" s="22" t="n"/>
      <c r="H448" s="22" t="n"/>
      <c r="I448" s="22" t="n"/>
      <c r="J448" s="27">
        <f>SUM(I447:I447)</f>
        <v/>
      </c>
    </row>
    <row r="449" ht="22" customHeight="1">
      <c r="A449" s="19" t="n">
        <v>2</v>
      </c>
      <c r="B449" s="20" t="inlineStr">
        <is>
          <t>TKDK-0091</t>
        </is>
      </c>
      <c r="C449" s="8" t="inlineStr">
        <is>
          <t>[M46]  1,50 m yükseklikte sıcak daldırma galvanizli tel örgü ile çit yapılması</t>
        </is>
      </c>
      <c r="D449" s="21" t="inlineStr">
        <is>
          <t>m</t>
        </is>
      </c>
      <c r="E449" s="22" t="n"/>
      <c r="F449" s="22" t="n"/>
      <c r="G449" s="22" t="n"/>
      <c r="H449" s="22" t="n"/>
      <c r="I449" s="22" t="n"/>
      <c r="J449" s="22" t="n"/>
    </row>
    <row r="450" ht="30" customHeight="1">
      <c r="A450" s="6" t="n"/>
      <c r="B450" s="6" t="n"/>
      <c r="C450" s="23" t="inlineStr">
        <is>
          <t>Parsel 7.966,67 m²; yerleşim planındaki cephe 113,04 m, buna karşılık gelen derinlik 7.966,67/113,04 = 70,48 m; çevre 2x(113,04+70,48)</t>
        </is>
      </c>
      <c r="D450" s="6" t="n"/>
      <c r="E450" s="28" t="n">
        <v>1</v>
      </c>
      <c r="F450" s="6" t="n"/>
      <c r="G450" s="29" t="n">
        <v>367.04</v>
      </c>
      <c r="H450" s="6" t="n"/>
      <c r="I450" s="24">
        <f>E450*G450</f>
        <v/>
      </c>
      <c r="J450" s="6" t="n"/>
    </row>
    <row r="451" ht="12" customHeight="1">
      <c r="A451" s="6" t="n"/>
      <c r="B451" s="6" t="n"/>
      <c r="C451" s="23" t="inlineStr">
        <is>
          <t>Giriş kapısı açıklığı düşülür</t>
        </is>
      </c>
      <c r="D451" s="6" t="n"/>
      <c r="E451" s="28" t="n">
        <v>1</v>
      </c>
      <c r="F451" s="6" t="n"/>
      <c r="G451" s="29" t="n">
        <v>6</v>
      </c>
      <c r="H451" s="6" t="n"/>
      <c r="I451" s="24">
        <f>-E451*G451</f>
        <v/>
      </c>
      <c r="J451" s="6" t="n"/>
    </row>
    <row r="452">
      <c r="A452" s="22" t="n"/>
      <c r="B452" s="22" t="n"/>
      <c r="C452" s="25" t="inlineStr">
        <is>
          <t>M46 TOPLAMI</t>
        </is>
      </c>
      <c r="D452" s="26" t="inlineStr">
        <is>
          <t>m</t>
        </is>
      </c>
      <c r="E452" s="22" t="n"/>
      <c r="F452" s="22" t="n"/>
      <c r="G452" s="22" t="n"/>
      <c r="H452" s="22" t="n"/>
      <c r="I452" s="22" t="n"/>
      <c r="J452" s="27">
        <f>SUM(I450:I451)</f>
        <v/>
      </c>
    </row>
    <row r="453" ht="22" customHeight="1">
      <c r="A453" s="19" t="n">
        <v>3</v>
      </c>
      <c r="B453" s="20" t="inlineStr">
        <is>
          <t>43.527.1001</t>
        </is>
      </c>
      <c r="C453" s="8" t="inlineStr">
        <is>
          <t>[M59]  ø150 HDPE koruge boru ile pissu hattı döşenmesi (SN 8, lastik conta ve boru bedeli dahil)</t>
        </is>
      </c>
      <c r="D453" s="21" t="inlineStr">
        <is>
          <t>m</t>
        </is>
      </c>
      <c r="E453" s="22" t="n"/>
      <c r="F453" s="22" t="n"/>
      <c r="G453" s="22" t="n"/>
      <c r="H453" s="22" t="n"/>
      <c r="I453" s="22" t="n"/>
      <c r="J453" s="22" t="n"/>
    </row>
    <row r="454" ht="12" customHeight="1">
      <c r="A454" s="6" t="n"/>
      <c r="B454" s="6" t="n"/>
      <c r="C454" s="23" t="inlineStr">
        <is>
          <t>Kümes A blok servis bölümü - foseptik</t>
        </is>
      </c>
      <c r="D454" s="6" t="n"/>
      <c r="E454" s="28" t="n">
        <v>1</v>
      </c>
      <c r="F454" s="6" t="n"/>
      <c r="G454" s="29" t="n">
        <v>25</v>
      </c>
      <c r="H454" s="6" t="n"/>
      <c r="I454" s="24">
        <f>E454*G454</f>
        <v/>
      </c>
      <c r="J454" s="6" t="n"/>
    </row>
    <row r="455" ht="12" customHeight="1">
      <c r="A455" s="6" t="n"/>
      <c r="B455" s="6" t="n"/>
      <c r="C455" s="23" t="inlineStr">
        <is>
          <t>Kümes B blok servis bölümü - foseptik</t>
        </is>
      </c>
      <c r="D455" s="6" t="n"/>
      <c r="E455" s="28" t="n">
        <v>1</v>
      </c>
      <c r="F455" s="6" t="n"/>
      <c r="G455" s="29" t="n">
        <v>25</v>
      </c>
      <c r="H455" s="6" t="n"/>
      <c r="I455" s="24">
        <f>E455*G455</f>
        <v/>
      </c>
      <c r="J455" s="6" t="n"/>
    </row>
    <row r="456">
      <c r="A456" s="22" t="n"/>
      <c r="B456" s="22" t="n"/>
      <c r="C456" s="25" t="inlineStr">
        <is>
          <t>M59 TOPLAMI</t>
        </is>
      </c>
      <c r="D456" s="26" t="inlineStr">
        <is>
          <t>m</t>
        </is>
      </c>
      <c r="E456" s="22" t="n"/>
      <c r="F456" s="22" t="n"/>
      <c r="G456" s="22" t="n"/>
      <c r="H456" s="22" t="n"/>
      <c r="I456" s="22" t="n"/>
      <c r="J456" s="27">
        <f>SUM(I454:I455)</f>
        <v/>
      </c>
    </row>
    <row r="457" ht="15" customHeight="1">
      <c r="A457" s="19" t="n">
        <v>4</v>
      </c>
      <c r="B457" s="20" t="inlineStr">
        <is>
          <t>15.150.1005</t>
        </is>
      </c>
      <c r="C457" s="8" t="inlineStr">
        <is>
          <t>[M61A]  C 25/30 hazır beton dökülmesi — betonarme rögarlar</t>
        </is>
      </c>
      <c r="D457" s="21" t="inlineStr">
        <is>
          <t>m³</t>
        </is>
      </c>
      <c r="E457" s="22" t="n"/>
      <c r="F457" s="22" t="n"/>
      <c r="G457" s="22" t="n"/>
      <c r="H457" s="22" t="n"/>
      <c r="I457" s="22" t="n"/>
      <c r="J457" s="22" t="n"/>
    </row>
    <row r="458" ht="12" customHeight="1">
      <c r="A458" s="6" t="n"/>
      <c r="B458" s="6" t="n"/>
      <c r="C458" s="23" t="inlineStr">
        <is>
          <t>Dış prizma: 0,90 x 0,90 x 0,75; 4 adet</t>
        </is>
      </c>
      <c r="D458" s="6" t="n"/>
      <c r="E458" s="28" t="n">
        <v>4</v>
      </c>
      <c r="F458" s="29" t="n">
        <v>0.9</v>
      </c>
      <c r="G458" s="29" t="n">
        <v>0.9</v>
      </c>
      <c r="H458" s="29" t="n">
        <v>0.75</v>
      </c>
      <c r="I458" s="24">
        <f>E458*F458*G458*H458</f>
        <v/>
      </c>
      <c r="J458" s="6" t="n"/>
    </row>
    <row r="459" ht="12" customHeight="1">
      <c r="A459" s="6" t="n"/>
      <c r="B459" s="6" t="n"/>
      <c r="C459" s="23" t="inlineStr">
        <is>
          <t>Net iç hacim düşülür: 0,60 x 0,60 x 0,60; 4 adet</t>
        </is>
      </c>
      <c r="D459" s="6" t="n"/>
      <c r="E459" s="28" t="n">
        <v>4</v>
      </c>
      <c r="F459" s="29" t="n">
        <v>0.6</v>
      </c>
      <c r="G459" s="29" t="n">
        <v>0.6</v>
      </c>
      <c r="H459" s="29" t="n">
        <v>0.6</v>
      </c>
      <c r="I459" s="24">
        <f>-E459*F459*G459*H459</f>
        <v/>
      </c>
      <c r="J459" s="6" t="n"/>
    </row>
    <row r="460">
      <c r="A460" s="22" t="n"/>
      <c r="B460" s="22" t="n"/>
      <c r="C460" s="25" t="inlineStr">
        <is>
          <t>M61A TOPLAMI</t>
        </is>
      </c>
      <c r="D460" s="26" t="inlineStr">
        <is>
          <t>m³</t>
        </is>
      </c>
      <c r="E460" s="22" t="n"/>
      <c r="F460" s="22" t="n"/>
      <c r="G460" s="22" t="n"/>
      <c r="H460" s="22" t="n"/>
      <c r="I460" s="22" t="n"/>
      <c r="J460" s="27">
        <f>SUM(I458:I459)</f>
        <v/>
      </c>
    </row>
    <row r="461" ht="22" customHeight="1">
      <c r="A461" s="19" t="n">
        <v>5</v>
      </c>
      <c r="B461" s="20" t="inlineStr">
        <is>
          <t>15.180.1003</t>
        </is>
      </c>
      <c r="C461" s="8" t="inlineStr">
        <is>
          <t>[M61B]  Düz yüzeyli beton ve betonarme kalıbı yapılması — betonarme rögarlar</t>
        </is>
      </c>
      <c r="D461" s="21" t="inlineStr">
        <is>
          <t>m²</t>
        </is>
      </c>
      <c r="E461" s="22" t="n"/>
      <c r="F461" s="22" t="n"/>
      <c r="G461" s="22" t="n"/>
      <c r="H461" s="22" t="n"/>
      <c r="I461" s="22" t="n"/>
      <c r="J461" s="22" t="n"/>
    </row>
    <row r="462" ht="12" customHeight="1">
      <c r="A462" s="6" t="n"/>
      <c r="B462" s="6" t="n"/>
      <c r="C462" s="23" t="inlineStr">
        <is>
          <t>İç yüzler: 4 yüz x 0,60 x 0,60; 4 adet</t>
        </is>
      </c>
      <c r="D462" s="6" t="n"/>
      <c r="E462" s="28" t="n">
        <v>4</v>
      </c>
      <c r="F462" s="29" t="n">
        <v>0.6</v>
      </c>
      <c r="G462" s="29" t="n">
        <v>4</v>
      </c>
      <c r="H462" s="29" t="n">
        <v>0.6</v>
      </c>
      <c r="I462" s="24">
        <f>E462*F462*G462*H462</f>
        <v/>
      </c>
      <c r="J462" s="6" t="n"/>
    </row>
    <row r="463" ht="12" customHeight="1">
      <c r="A463" s="6" t="n"/>
      <c r="B463" s="6" t="n"/>
      <c r="C463" s="23" t="inlineStr">
        <is>
          <t>Dış yüzler: 4 yüz x 0,90 x 0,60; 4 adet</t>
        </is>
      </c>
      <c r="D463" s="6" t="n"/>
      <c r="E463" s="28" t="n">
        <v>4</v>
      </c>
      <c r="F463" s="29" t="n">
        <v>0.9</v>
      </c>
      <c r="G463" s="29" t="n">
        <v>4</v>
      </c>
      <c r="H463" s="29" t="n">
        <v>0.6</v>
      </c>
      <c r="I463" s="24">
        <f>E463*F463*G463*H463</f>
        <v/>
      </c>
      <c r="J463" s="6" t="n"/>
    </row>
    <row r="464">
      <c r="A464" s="22" t="n"/>
      <c r="B464" s="22" t="n"/>
      <c r="C464" s="25" t="inlineStr">
        <is>
          <t>M61B TOPLAMI</t>
        </is>
      </c>
      <c r="D464" s="26" t="inlineStr">
        <is>
          <t>m²</t>
        </is>
      </c>
      <c r="E464" s="22" t="n"/>
      <c r="F464" s="22" t="n"/>
      <c r="G464" s="22" t="n"/>
      <c r="H464" s="22" t="n"/>
      <c r="I464" s="22" t="n"/>
      <c r="J464" s="27">
        <f>SUM(I462:I463)</f>
        <v/>
      </c>
    </row>
    <row r="465" ht="15" customHeight="1">
      <c r="A465" s="19" t="n">
        <v>6</v>
      </c>
      <c r="B465" s="20" t="inlineStr">
        <is>
          <t>15.160.1003</t>
        </is>
      </c>
      <c r="C465" s="8" t="inlineStr">
        <is>
          <t>[M61C]  Nervürlü betonarme çeliği ø8-ø12 — betonarme rögarlar</t>
        </is>
      </c>
      <c r="D465" s="21" t="inlineStr">
        <is>
          <t>ton</t>
        </is>
      </c>
      <c r="E465" s="22" t="n"/>
      <c r="F465" s="22" t="n"/>
      <c r="G465" s="22" t="n"/>
      <c r="H465" s="22" t="n"/>
      <c r="I465" s="22" t="n"/>
      <c r="J465" s="22" t="n"/>
    </row>
    <row r="466" ht="20" customHeight="1">
      <c r="A466" s="6" t="n"/>
      <c r="B466" s="6" t="n"/>
      <c r="C466" s="23" t="inlineStr">
        <is>
          <t>Beton hacmi 1,566 m³, ortalama donatı oranı 90 kg/m³ -&gt; 140,94 kg = 0,141 ton</t>
        </is>
      </c>
      <c r="D466" s="6" t="n"/>
      <c r="E466" s="28" t="n">
        <v>1</v>
      </c>
      <c r="F466" s="6" t="n"/>
      <c r="G466" s="29" t="n">
        <v>1.566</v>
      </c>
      <c r="H466" s="6" t="n"/>
      <c r="I466" s="24">
        <f>E466*G466*J466</f>
        <v/>
      </c>
      <c r="J466" s="30" t="n">
        <v>0.09</v>
      </c>
    </row>
    <row r="467">
      <c r="A467" s="22" t="n"/>
      <c r="B467" s="22" t="n"/>
      <c r="C467" s="25" t="inlineStr">
        <is>
          <t>M61C TOPLAMI</t>
        </is>
      </c>
      <c r="D467" s="26" t="inlineStr">
        <is>
          <t>ton</t>
        </is>
      </c>
      <c r="E467" s="22" t="n"/>
      <c r="F467" s="22" t="n"/>
      <c r="G467" s="22" t="n"/>
      <c r="H467" s="22" t="n"/>
      <c r="I467" s="22" t="n"/>
      <c r="J467" s="27">
        <f>SUM(I466:I466)</f>
        <v/>
      </c>
    </row>
    <row r="468" ht="15" customHeight="1">
      <c r="A468" s="19" t="n">
        <v>7</v>
      </c>
      <c r="B468" s="20" t="inlineStr">
        <is>
          <t>15.560.1003</t>
        </is>
      </c>
      <c r="C468" s="8" t="inlineStr">
        <is>
          <t>[M61D]  Betonarme kompozit rögar kapağı temini ve yerine konulması</t>
        </is>
      </c>
      <c r="D468" s="21" t="inlineStr">
        <is>
          <t>ad</t>
        </is>
      </c>
      <c r="E468" s="22" t="n"/>
      <c r="F468" s="22" t="n"/>
      <c r="G468" s="22" t="n"/>
      <c r="H468" s="22" t="n"/>
      <c r="I468" s="22" t="n"/>
      <c r="J468" s="22" t="n"/>
    </row>
    <row r="469" ht="12" customHeight="1">
      <c r="A469" s="6" t="n"/>
      <c r="B469" s="6" t="n"/>
      <c r="C469" s="23" t="inlineStr">
        <is>
          <t>Pissu hattında 4 adet</t>
        </is>
      </c>
      <c r="D469" s="6" t="n"/>
      <c r="E469" s="28" t="n">
        <v>4</v>
      </c>
      <c r="F469" s="6" t="n"/>
      <c r="G469" s="6" t="n"/>
      <c r="H469" s="6" t="n"/>
      <c r="I469" s="24">
        <f>E469</f>
        <v/>
      </c>
      <c r="J469" s="6" t="n"/>
    </row>
    <row r="470">
      <c r="A470" s="22" t="n"/>
      <c r="B470" s="22" t="n"/>
      <c r="C470" s="25" t="inlineStr">
        <is>
          <t>M61D TOPLAMI</t>
        </is>
      </c>
      <c r="D470" s="26" t="inlineStr">
        <is>
          <t>ad</t>
        </is>
      </c>
      <c r="E470" s="22" t="n"/>
      <c r="F470" s="22" t="n"/>
      <c r="G470" s="22" t="n"/>
      <c r="H470" s="22" t="n"/>
      <c r="I470" s="22" t="n"/>
      <c r="J470" s="27">
        <f>SUM(I469:I469)</f>
        <v/>
      </c>
    </row>
    <row r="471" ht="22" customHeight="1">
      <c r="A471" s="19" t="n">
        <v>8</v>
      </c>
      <c r="B471" s="20" t="inlineStr">
        <is>
          <t>30.100.1104</t>
        </is>
      </c>
      <c r="C471" s="8" t="inlineStr">
        <is>
          <t>[M63]  Ana dağıtım panosu (dikili tip galvanizli sac, en az 700 mm en, 400 mm derinlik)</t>
        </is>
      </c>
      <c r="D471" s="21" t="inlineStr">
        <is>
          <t>ad</t>
        </is>
      </c>
      <c r="E471" s="22" t="n"/>
      <c r="F471" s="22" t="n"/>
      <c r="G471" s="22" t="n"/>
      <c r="H471" s="22" t="n"/>
      <c r="I471" s="22" t="n"/>
      <c r="J471" s="22" t="n"/>
    </row>
    <row r="472" ht="12" customHeight="1">
      <c r="A472" s="6" t="n"/>
      <c r="B472" s="6" t="n"/>
      <c r="C472" s="23" t="inlineStr">
        <is>
          <t>Tesis girişinde 1 adet</t>
        </is>
      </c>
      <c r="D472" s="6" t="n"/>
      <c r="E472" s="28" t="n">
        <v>1</v>
      </c>
      <c r="F472" s="6" t="n"/>
      <c r="G472" s="6" t="n"/>
      <c r="H472" s="6" t="n"/>
      <c r="I472" s="24">
        <f>E472*J472</f>
        <v/>
      </c>
      <c r="J472" s="30" t="n">
        <v>1</v>
      </c>
    </row>
    <row r="473">
      <c r="A473" s="22" t="n"/>
      <c r="B473" s="22" t="n"/>
      <c r="C473" s="25" t="inlineStr">
        <is>
          <t>M63 TOPLAMI</t>
        </is>
      </c>
      <c r="D473" s="26" t="inlineStr">
        <is>
          <t>ad</t>
        </is>
      </c>
      <c r="E473" s="22" t="n"/>
      <c r="F473" s="22" t="n"/>
      <c r="G473" s="22" t="n"/>
      <c r="H473" s="22" t="n"/>
      <c r="I473" s="22" t="n"/>
      <c r="J473" s="27">
        <f>SUM(I472:I472)</f>
        <v/>
      </c>
    </row>
    <row r="474" ht="15" customHeight="1">
      <c r="A474" s="19" t="n">
        <v>9</v>
      </c>
      <c r="B474" s="20" t="inlineStr">
        <is>
          <t>30.100.2106</t>
        </is>
      </c>
      <c r="C474" s="8" t="inlineStr">
        <is>
          <t>[M64]  Sayaç panosu (sıva üstü galvanizli sac tablo, 0,50-0,60 m²)</t>
        </is>
      </c>
      <c r="D474" s="21" t="inlineStr">
        <is>
          <t>ad</t>
        </is>
      </c>
      <c r="E474" s="22" t="n"/>
      <c r="F474" s="22" t="n"/>
      <c r="G474" s="22" t="n"/>
      <c r="H474" s="22" t="n"/>
      <c r="I474" s="22" t="n"/>
      <c r="J474" s="22" t="n"/>
    </row>
    <row r="475" ht="12" customHeight="1">
      <c r="A475" s="6" t="n"/>
      <c r="B475" s="6" t="n"/>
      <c r="C475" s="23" t="inlineStr">
        <is>
          <t>Tesis girişinde 1 adet</t>
        </is>
      </c>
      <c r="D475" s="6" t="n"/>
      <c r="E475" s="28" t="n">
        <v>1</v>
      </c>
      <c r="F475" s="6" t="n"/>
      <c r="G475" s="6" t="n"/>
      <c r="H475" s="6" t="n"/>
      <c r="I475" s="24">
        <f>E475*J475</f>
        <v/>
      </c>
      <c r="J475" s="30" t="n">
        <v>1</v>
      </c>
    </row>
    <row r="476">
      <c r="A476" s="22" t="n"/>
      <c r="B476" s="22" t="n"/>
      <c r="C476" s="25" t="inlineStr">
        <is>
          <t>M64 TOPLAMI</t>
        </is>
      </c>
      <c r="D476" s="26" t="inlineStr">
        <is>
          <t>ad</t>
        </is>
      </c>
      <c r="E476" s="22" t="n"/>
      <c r="F476" s="22" t="n"/>
      <c r="G476" s="22" t="n"/>
      <c r="H476" s="22" t="n"/>
      <c r="I476" s="22" t="n"/>
      <c r="J476" s="27">
        <f>SUM(I475:I475)</f>
        <v/>
      </c>
    </row>
    <row r="477" ht="22" customHeight="1">
      <c r="A477" s="19" t="n">
        <v>10</v>
      </c>
      <c r="B477" s="20" t="inlineStr">
        <is>
          <t>30.135.3201</t>
        </is>
      </c>
      <c r="C477" s="8" t="inlineStr">
        <is>
          <t>[M65]  Üç fazlı zaman tarifeli elektronik aktif sayaç, en az 5(100) A, 3x230/400 V</t>
        </is>
      </c>
      <c r="D477" s="21" t="inlineStr">
        <is>
          <t>ad</t>
        </is>
      </c>
      <c r="E477" s="22" t="n"/>
      <c r="F477" s="22" t="n"/>
      <c r="G477" s="22" t="n"/>
      <c r="H477" s="22" t="n"/>
      <c r="I477" s="22" t="n"/>
      <c r="J477" s="22" t="n"/>
    </row>
    <row r="478" ht="12" customHeight="1">
      <c r="A478" s="6" t="n"/>
      <c r="B478" s="6" t="n"/>
      <c r="C478" s="23" t="inlineStr">
        <is>
          <t>Sayaç panosu içinde 1 adet</t>
        </is>
      </c>
      <c r="D478" s="6" t="n"/>
      <c r="E478" s="28" t="n">
        <v>1</v>
      </c>
      <c r="F478" s="6" t="n"/>
      <c r="G478" s="6" t="n"/>
      <c r="H478" s="6" t="n"/>
      <c r="I478" s="24">
        <f>E478*J478</f>
        <v/>
      </c>
      <c r="J478" s="30" t="n">
        <v>1</v>
      </c>
    </row>
    <row r="479">
      <c r="A479" s="22" t="n"/>
      <c r="B479" s="22" t="n"/>
      <c r="C479" s="25" t="inlineStr">
        <is>
          <t>M65 TOPLAMI</t>
        </is>
      </c>
      <c r="D479" s="26" t="inlineStr">
        <is>
          <t>ad</t>
        </is>
      </c>
      <c r="E479" s="22" t="n"/>
      <c r="F479" s="22" t="n"/>
      <c r="G479" s="22" t="n"/>
      <c r="H479" s="22" t="n"/>
      <c r="I479" s="22" t="n"/>
      <c r="J479" s="27">
        <f>SUM(I478:I478)</f>
        <v/>
      </c>
    </row>
    <row r="480" ht="22" customHeight="1">
      <c r="A480" s="19" t="n">
        <v>11</v>
      </c>
      <c r="B480" s="20" t="inlineStr">
        <is>
          <t>30.110.1104</t>
        </is>
      </c>
      <c r="C480" s="8" t="inlineStr">
        <is>
          <t>[M66]  Termik-manyetik kompakt şalter 3x160 A, Icu 35 kA — ana giriş</t>
        </is>
      </c>
      <c r="D480" s="21" t="inlineStr">
        <is>
          <t>ad</t>
        </is>
      </c>
      <c r="E480" s="22" t="n"/>
      <c r="F480" s="22" t="n"/>
      <c r="G480" s="22" t="n"/>
      <c r="H480" s="22" t="n"/>
      <c r="I480" s="22" t="n"/>
      <c r="J480" s="22" t="n"/>
    </row>
    <row r="481" ht="12" customHeight="1">
      <c r="A481" s="6" t="n"/>
      <c r="B481" s="6" t="n"/>
      <c r="C481" s="23" t="inlineStr">
        <is>
          <t>Ana dağıtım panosu girişi</t>
        </is>
      </c>
      <c r="D481" s="6" t="n"/>
      <c r="E481" s="28" t="n">
        <v>1</v>
      </c>
      <c r="F481" s="6" t="n"/>
      <c r="G481" s="6" t="n"/>
      <c r="H481" s="6" t="n"/>
      <c r="I481" s="24">
        <f>E481*J481</f>
        <v/>
      </c>
      <c r="J481" s="30" t="n">
        <v>1</v>
      </c>
    </row>
    <row r="482">
      <c r="A482" s="22" t="n"/>
      <c r="B482" s="22" t="n"/>
      <c r="C482" s="25" t="inlineStr">
        <is>
          <t>M66 TOPLAMI</t>
        </is>
      </c>
      <c r="D482" s="26" t="inlineStr">
        <is>
          <t>ad</t>
        </is>
      </c>
      <c r="E482" s="22" t="n"/>
      <c r="F482" s="22" t="n"/>
      <c r="G482" s="22" t="n"/>
      <c r="H482" s="22" t="n"/>
      <c r="I482" s="22" t="n"/>
      <c r="J482" s="27">
        <f>SUM(I481:I481)</f>
        <v/>
      </c>
    </row>
    <row r="483" ht="15" customHeight="1">
      <c r="A483" s="19" t="n">
        <v>12</v>
      </c>
      <c r="B483" s="20" t="inlineStr">
        <is>
          <t>30.115.1003</t>
        </is>
      </c>
      <c r="C483" s="8" t="inlineStr">
        <is>
          <t>[M69]  Kaçak akım koruma şalteri 2x63 A, 30 mA</t>
        </is>
      </c>
      <c r="D483" s="21" t="inlineStr">
        <is>
          <t>ad</t>
        </is>
      </c>
      <c r="E483" s="22" t="n"/>
      <c r="F483" s="22" t="n"/>
      <c r="G483" s="22" t="n"/>
      <c r="H483" s="22" t="n"/>
      <c r="I483" s="22" t="n"/>
      <c r="J483" s="22" t="n"/>
    </row>
    <row r="484" ht="12" customHeight="1">
      <c r="A484" s="6" t="n"/>
      <c r="B484" s="6" t="n"/>
      <c r="C484" s="23" t="inlineStr">
        <is>
          <t>Ana pano ve sayaç panosunda</t>
        </is>
      </c>
      <c r="D484" s="6" t="n"/>
      <c r="E484" s="28" t="n">
        <v>1</v>
      </c>
      <c r="F484" s="6" t="n"/>
      <c r="G484" s="6" t="n"/>
      <c r="H484" s="6" t="n"/>
      <c r="I484" s="24">
        <f>E484*J484</f>
        <v/>
      </c>
      <c r="J484" s="30" t="n">
        <v>2</v>
      </c>
    </row>
    <row r="485">
      <c r="A485" s="22" t="n"/>
      <c r="B485" s="22" t="n"/>
      <c r="C485" s="25" t="inlineStr">
        <is>
          <t>M69 TOPLAMI</t>
        </is>
      </c>
      <c r="D485" s="26" t="inlineStr">
        <is>
          <t>ad</t>
        </is>
      </c>
      <c r="E485" s="22" t="n"/>
      <c r="F485" s="22" t="n"/>
      <c r="G485" s="22" t="n"/>
      <c r="H485" s="22" t="n"/>
      <c r="I485" s="22" t="n"/>
      <c r="J485" s="27">
        <f>SUM(I484:I484)</f>
        <v/>
      </c>
    </row>
    <row r="486" ht="22" customHeight="1">
      <c r="A486" s="19" t="n">
        <v>13</v>
      </c>
      <c r="B486" s="20" t="inlineStr">
        <is>
          <t>30.140.3105</t>
        </is>
      </c>
      <c r="C486" s="8" t="inlineStr">
        <is>
          <t>[M70]  YVV (NYY) 1 kV yeraltı kablosu ile besleme hattı tesisi — 1x35 mm²</t>
        </is>
      </c>
      <c r="D486" s="21" t="inlineStr">
        <is>
          <t>m</t>
        </is>
      </c>
      <c r="E486" s="22" t="n"/>
      <c r="F486" s="22" t="n"/>
      <c r="G486" s="22" t="n"/>
      <c r="H486" s="22" t="n"/>
      <c r="I486" s="22" t="n"/>
      <c r="J486" s="22" t="n"/>
    </row>
    <row r="487" ht="12" customHeight="1">
      <c r="A487" s="6" t="n"/>
      <c r="B487" s="6" t="n"/>
      <c r="C487" s="23" t="inlineStr">
        <is>
          <t>Şebeke bağlantı noktası - ana dağıtım panosu</t>
        </is>
      </c>
      <c r="D487" s="6" t="n"/>
      <c r="E487" s="28" t="n">
        <v>1</v>
      </c>
      <c r="F487" s="6" t="n"/>
      <c r="G487" s="6" t="n"/>
      <c r="H487" s="6" t="n"/>
      <c r="I487" s="24">
        <f>E487*J487</f>
        <v/>
      </c>
      <c r="J487" s="30" t="n">
        <v>50</v>
      </c>
    </row>
    <row r="488">
      <c r="A488" s="22" t="n"/>
      <c r="B488" s="22" t="n"/>
      <c r="C488" s="25" t="inlineStr">
        <is>
          <t>M70 TOPLAMI</t>
        </is>
      </c>
      <c r="D488" s="26" t="inlineStr">
        <is>
          <t>m</t>
        </is>
      </c>
      <c r="E488" s="22" t="n"/>
      <c r="F488" s="22" t="n"/>
      <c r="G488" s="22" t="n"/>
      <c r="H488" s="22" t="n"/>
      <c r="I488" s="22" t="n"/>
      <c r="J488" s="27">
        <f>SUM(I487:I487)</f>
        <v/>
      </c>
    </row>
    <row r="489" ht="22" customHeight="1">
      <c r="A489" s="19" t="n">
        <v>14</v>
      </c>
      <c r="B489" s="20" t="inlineStr">
        <is>
          <t>30.140.3101</t>
        </is>
      </c>
      <c r="C489" s="8" t="inlineStr">
        <is>
          <t>[M72]  YVV (NYY) 1 kV yeraltı kablosu ile besleme hattı tesisi — 1x6 mm²</t>
        </is>
      </c>
      <c r="D489" s="21" t="inlineStr">
        <is>
          <t>m</t>
        </is>
      </c>
      <c r="E489" s="22" t="n"/>
      <c r="F489" s="22" t="n"/>
      <c r="G489" s="22" t="n"/>
      <c r="H489" s="22" t="n"/>
      <c r="I489" s="22" t="n"/>
      <c r="J489" s="22" t="n"/>
    </row>
    <row r="490" ht="12" customHeight="1">
      <c r="A490" s="6" t="n"/>
      <c r="B490" s="6" t="n"/>
      <c r="C490" s="23" t="inlineStr">
        <is>
          <t>Saha aydınlatma direkleri besleme hattı</t>
        </is>
      </c>
      <c r="D490" s="6" t="n"/>
      <c r="E490" s="28" t="n">
        <v>1</v>
      </c>
      <c r="F490" s="6" t="n"/>
      <c r="G490" s="6" t="n"/>
      <c r="H490" s="6" t="n"/>
      <c r="I490" s="24">
        <f>E490*J490</f>
        <v/>
      </c>
      <c r="J490" s="30" t="n">
        <v>50</v>
      </c>
    </row>
    <row r="491">
      <c r="A491" s="22" t="n"/>
      <c r="B491" s="22" t="n"/>
      <c r="C491" s="25" t="inlineStr">
        <is>
          <t>M72 TOPLAMI</t>
        </is>
      </c>
      <c r="D491" s="26" t="inlineStr">
        <is>
          <t>m</t>
        </is>
      </c>
      <c r="E491" s="22" t="n"/>
      <c r="F491" s="22" t="n"/>
      <c r="G491" s="22" t="n"/>
      <c r="H491" s="22" t="n"/>
      <c r="I491" s="22" t="n"/>
      <c r="J491" s="27">
        <f>SUM(I490:I490)</f>
        <v/>
      </c>
    </row>
    <row r="492" ht="22" customHeight="1">
      <c r="A492" s="19" t="n">
        <v>15</v>
      </c>
      <c r="B492" s="20" t="inlineStr">
        <is>
          <t>30.172.1706</t>
        </is>
      </c>
      <c r="C492" s="8" t="inlineStr">
        <is>
          <t>[M82]  Aydınlatma direği — taban çapı en az 80 mm, yükseklik en az 4,00 m</t>
        </is>
      </c>
      <c r="D492" s="21" t="inlineStr">
        <is>
          <t>ad</t>
        </is>
      </c>
      <c r="E492" s="22" t="n"/>
      <c r="F492" s="22" t="n"/>
      <c r="G492" s="22" t="n"/>
      <c r="H492" s="22" t="n"/>
      <c r="I492" s="22" t="n"/>
      <c r="J492" s="22" t="n"/>
    </row>
    <row r="493" ht="12" customHeight="1">
      <c r="A493" s="6" t="n"/>
      <c r="B493" s="6" t="n"/>
      <c r="C493" s="23" t="inlineStr">
        <is>
          <t>Tesis içi yol ve saha aydınlatması</t>
        </is>
      </c>
      <c r="D493" s="6" t="n"/>
      <c r="E493" s="28" t="n">
        <v>1</v>
      </c>
      <c r="F493" s="6" t="n"/>
      <c r="G493" s="6" t="n"/>
      <c r="H493" s="6" t="n"/>
      <c r="I493" s="24">
        <f>E493*J493</f>
        <v/>
      </c>
      <c r="J493" s="30" t="n">
        <v>4</v>
      </c>
    </row>
    <row r="494">
      <c r="A494" s="22" t="n"/>
      <c r="B494" s="22" t="n"/>
      <c r="C494" s="25" t="inlineStr">
        <is>
          <t>M82 TOPLAMI</t>
        </is>
      </c>
      <c r="D494" s="26" t="inlineStr">
        <is>
          <t>ad</t>
        </is>
      </c>
      <c r="E494" s="22" t="n"/>
      <c r="F494" s="22" t="n"/>
      <c r="G494" s="22" t="n"/>
      <c r="H494" s="22" t="n"/>
      <c r="I494" s="22" t="n"/>
      <c r="J494" s="27">
        <f>SUM(I493:I493)</f>
        <v/>
      </c>
    </row>
    <row r="495" ht="15" customHeight="1">
      <c r="A495" s="19" t="n">
        <v>16</v>
      </c>
      <c r="B495" s="20" t="inlineStr">
        <is>
          <t>30.170.4002</t>
        </is>
      </c>
      <c r="C495" s="8" t="inlineStr">
        <is>
          <t>[M83]  LED projektör, ışık akısı en az 5100 lm</t>
        </is>
      </c>
      <c r="D495" s="21" t="inlineStr">
        <is>
          <t>ad</t>
        </is>
      </c>
      <c r="E495" s="22" t="n"/>
      <c r="F495" s="22" t="n"/>
      <c r="G495" s="22" t="n"/>
      <c r="H495" s="22" t="n"/>
      <c r="I495" s="22" t="n"/>
      <c r="J495" s="22" t="n"/>
    </row>
    <row r="496" ht="12" customHeight="1">
      <c r="A496" s="6" t="n"/>
      <c r="B496" s="6" t="n"/>
      <c r="C496" s="23" t="inlineStr">
        <is>
          <t>Aydınlatma direği başına 1 adet</t>
        </is>
      </c>
      <c r="D496" s="6" t="n"/>
      <c r="E496" s="28" t="n">
        <v>1</v>
      </c>
      <c r="F496" s="6" t="n"/>
      <c r="G496" s="6" t="n"/>
      <c r="H496" s="6" t="n"/>
      <c r="I496" s="24">
        <f>E496*J496</f>
        <v/>
      </c>
      <c r="J496" s="30" t="n">
        <v>4</v>
      </c>
    </row>
    <row r="497">
      <c r="A497" s="22" t="n"/>
      <c r="B497" s="22" t="n"/>
      <c r="C497" s="25" t="inlineStr">
        <is>
          <t>M83 TOPLAMI</t>
        </is>
      </c>
      <c r="D497" s="26" t="inlineStr">
        <is>
          <t>ad</t>
        </is>
      </c>
      <c r="E497" s="22" t="n"/>
      <c r="F497" s="22" t="n"/>
      <c r="G497" s="22" t="n"/>
      <c r="H497" s="22" t="n"/>
      <c r="I497" s="22" t="n"/>
      <c r="J497" s="27">
        <f>SUM(I496:I496)</f>
        <v/>
      </c>
    </row>
    <row r="498"/>
    <row r="499">
      <c r="A499" s="16" t="inlineStr">
        <is>
          <t>AÇIKLAMALAR</t>
        </is>
      </c>
      <c r="B499" s="6" t="n"/>
      <c r="C499" s="6" t="n"/>
      <c r="D499" s="6" t="n"/>
      <c r="E499" s="6" t="n"/>
      <c r="F499" s="6" t="n"/>
      <c r="G499" s="6" t="n"/>
      <c r="H499" s="6" t="n"/>
      <c r="I499" s="6" t="n"/>
      <c r="J499" s="6" t="n"/>
    </row>
    <row r="500" ht="13" customHeight="1">
      <c r="A500" s="17" t="inlineStr">
        <is>
          <t>•  Miktar sütunundaki her formül yalnızca o satırdaki ölçü hücrelerini çarpar; hiçbir sayı formülün içine gömülmemiştir.</t>
        </is>
      </c>
    </row>
    <row r="501" ht="13" customHeight="1">
      <c r="A501" s="17" t="inlineStr">
        <is>
          <t>•  Son sütundaki katsayı, birim ağırlık (kg/m², kg/m³, ton/m²), bindirme payı, üçgen alan çarpanı (0,50) veya adet çarpanıdır.</t>
        </is>
      </c>
    </row>
    <row r="502" ht="22" customHeight="1">
      <c r="A502" s="17" t="inlineStr">
        <is>
          <t>•  Ölçüler mimari ve betonarme paftalardan alınmıştır; kümes temellerinin beton, kalıp ve donatı miktarları doğrudan betonarme paftasındaki METRAJ tablosundandır.</t>
        </is>
      </c>
    </row>
    <row r="503" ht="13" customHeight="1">
      <c r="A503" s="17" t="inlineStr">
        <is>
          <t>•  (-) işaretli satırlar minha edilen (düşülen) miktarlardır.</t>
        </is>
      </c>
    </row>
  </sheetData>
  <mergeCells count="16">
    <mergeCell ref="A1:J1"/>
    <mergeCell ref="A5:J5"/>
    <mergeCell ref="A325:J325"/>
    <mergeCell ref="A444:J444"/>
    <mergeCell ref="A501:J501"/>
    <mergeCell ref="A500:J500"/>
    <mergeCell ref="A3:J3"/>
    <mergeCell ref="A356:J356"/>
    <mergeCell ref="A403:J403"/>
    <mergeCell ref="A421:J421"/>
    <mergeCell ref="A503:J503"/>
    <mergeCell ref="A499:J499"/>
    <mergeCell ref="A2:J2"/>
    <mergeCell ref="A165:J165"/>
    <mergeCell ref="A379:J379"/>
    <mergeCell ref="A502:J502"/>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 KÜMES (A+B BLOK) VE MÜŞTEMİLAT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Radye 2,00 x 2,00 x 0,30 m³; 95 kg/m³</t>
        </is>
      </c>
      <c r="C96" s="6" t="n"/>
      <c r="D96" s="28" t="n">
        <v>1</v>
      </c>
      <c r="E96" s="28" t="n">
        <v>1</v>
      </c>
      <c r="F96" s="29" t="n">
        <v>4</v>
      </c>
      <c r="G96" s="29" t="n">
        <v>0.3</v>
      </c>
      <c r="H96" s="36" t="inlineStr">
        <is>
          <t>ø8-12 nervürlü</t>
        </is>
      </c>
      <c r="I96" s="33" t="n">
        <v>0.095</v>
      </c>
      <c r="J96" s="34">
        <f>D96*E96*F96*G96*I96</f>
        <v/>
      </c>
      <c r="K96" s="6" t="n"/>
    </row>
    <row r="97" ht="12" customHeight="1">
      <c r="A97" s="6" t="n"/>
      <c r="B97" s="23" t="inlineStr">
        <is>
          <t>Perdeler 7,00 x 0,25 x 2,50 m³; 95 kg/m³</t>
        </is>
      </c>
      <c r="C97" s="6" t="n"/>
      <c r="D97" s="28" t="n">
        <v>1</v>
      </c>
      <c r="E97" s="28" t="n">
        <v>1</v>
      </c>
      <c r="F97" s="29" t="n">
        <v>1.75</v>
      </c>
      <c r="G97" s="29" t="n">
        <v>2.5</v>
      </c>
      <c r="H97" s="36" t="inlineStr">
        <is>
          <t>ø8-12 nervürlü</t>
        </is>
      </c>
      <c r="I97" s="33" t="n">
        <v>0.095</v>
      </c>
      <c r="J97" s="34">
        <f>D97*E97*F97*G97*I97</f>
        <v/>
      </c>
      <c r="K97" s="6" t="n"/>
    </row>
    <row r="98" ht="12" customHeight="1">
      <c r="A98" s="6" t="n"/>
      <c r="B98" s="23" t="inlineStr">
        <is>
          <t>Üst döşeme 2,00 x 2,00 x 0,15 m³; 95 kg/m³</t>
        </is>
      </c>
      <c r="C98" s="6" t="n"/>
      <c r="D98" s="28" t="n">
        <v>1</v>
      </c>
      <c r="E98" s="28" t="n">
        <v>1</v>
      </c>
      <c r="F98" s="29" t="n">
        <v>4</v>
      </c>
      <c r="G98" s="29" t="n">
        <v>0.15</v>
      </c>
      <c r="H98" s="36" t="inlineStr">
        <is>
          <t>ø8-12 nervürlü</t>
        </is>
      </c>
      <c r="I98" s="33" t="n">
        <v>0.095</v>
      </c>
      <c r="J98" s="34">
        <f>D98*E98*F98*G98*I98</f>
        <v/>
      </c>
      <c r="K98" s="6" t="n"/>
    </row>
    <row r="99">
      <c r="A99" s="22" t="n"/>
      <c r="B99" s="25" t="inlineStr">
        <is>
          <t>FS/M26 GENEL TOPLAM</t>
        </is>
      </c>
      <c r="C99" s="26" t="inlineStr">
        <is>
          <t>ton</t>
        </is>
      </c>
      <c r="D99" s="22" t="n"/>
      <c r="E99" s="22" t="n"/>
      <c r="F99" s="22" t="n"/>
      <c r="G99" s="22" t="n"/>
      <c r="H99" s="22" t="n"/>
      <c r="I99" s="22" t="n"/>
      <c r="J99" s="22" t="n"/>
      <c r="K99" s="35">
        <f>SUM(J96:J98)</f>
        <v/>
      </c>
    </row>
    <row r="100"/>
    <row r="101" ht="20" customHeight="1">
      <c r="A101" s="18"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0" t="inlineStr">
        <is>
          <t>15.160.1003</t>
        </is>
      </c>
      <c r="B103" s="8" t="inlineStr">
        <is>
          <t>[M26]  Ø 8 - Ø 12 mm nervürlü beton çelik çubuğu, çubukların kesilmesi, bükülmesi ve yerine konulması</t>
        </is>
      </c>
      <c r="C103" s="19" t="inlineStr">
        <is>
          <t>ton</t>
        </is>
      </c>
      <c r="D103" s="22" t="n"/>
      <c r="E103" s="22" t="n"/>
      <c r="F103" s="22" t="n"/>
      <c r="G103" s="22" t="n"/>
      <c r="H103" s="22" t="n"/>
      <c r="I103" s="22" t="n"/>
      <c r="J103" s="22" t="n"/>
      <c r="K103" s="22" t="n"/>
    </row>
    <row r="104" ht="12" customHeight="1">
      <c r="A104" s="6" t="n"/>
      <c r="B104" s="23" t="inlineStr">
        <is>
          <t>Kaideler 2,90 x 2,90 x 0,50 m³, 2 adet; 90 kg/m³</t>
        </is>
      </c>
      <c r="C104" s="6" t="n"/>
      <c r="D104" s="28" t="n">
        <v>2</v>
      </c>
      <c r="E104" s="28" t="n">
        <v>1</v>
      </c>
      <c r="F104" s="29" t="n">
        <v>8.41</v>
      </c>
      <c r="G104" s="29" t="n">
        <v>0.5</v>
      </c>
      <c r="H104" s="36" t="inlineStr">
        <is>
          <t>ø8-12 nervürlü</t>
        </is>
      </c>
      <c r="I104" s="33" t="n">
        <v>0.09</v>
      </c>
      <c r="J104" s="34">
        <f>D104*E104*F104*G104*I104</f>
        <v/>
      </c>
      <c r="K104" s="6" t="n"/>
    </row>
    <row r="105">
      <c r="A105" s="22" t="n"/>
      <c r="B105" s="25" t="inlineStr">
        <is>
          <t>SL/M26 GENEL TOPLAM</t>
        </is>
      </c>
      <c r="C105" s="26" t="inlineStr">
        <is>
          <t>ton</t>
        </is>
      </c>
      <c r="D105" s="22" t="n"/>
      <c r="E105" s="22" t="n"/>
      <c r="F105" s="22" t="n"/>
      <c r="G105" s="22" t="n"/>
      <c r="H105" s="22" t="n"/>
      <c r="I105" s="22" t="n"/>
      <c r="J105" s="22" t="n"/>
      <c r="K105" s="35">
        <f>SUM(J104:J104)</f>
        <v/>
      </c>
    </row>
    <row r="106"/>
    <row r="107" ht="20" customHeight="1">
      <c r="A107" s="18"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0" t="inlineStr">
        <is>
          <t>15.160.1003</t>
        </is>
      </c>
      <c r="B109" s="8" t="inlineStr">
        <is>
          <t>[M26]  Ø 8 - Ø 12 mm nervürlü beton çelik çubuğu, çubukların kesilmesi, bükülmesi ve yerine konulması</t>
        </is>
      </c>
      <c r="C109" s="19" t="inlineStr">
        <is>
          <t>ton</t>
        </is>
      </c>
      <c r="D109" s="22" t="n"/>
      <c r="E109" s="22" t="n"/>
      <c r="F109" s="22" t="n"/>
      <c r="G109" s="22" t="n"/>
      <c r="H109" s="22" t="n"/>
      <c r="I109" s="22" t="n"/>
      <c r="J109" s="22" t="n"/>
      <c r="K109" s="22" t="n"/>
    </row>
    <row r="110" ht="20" customHeight="1">
      <c r="A110" s="6" t="n"/>
      <c r="B110" s="23" t="inlineStr">
        <is>
          <t>Radye ve üst döşeme — proje metrajı 223,70 + 32,90 = 256,60 kg</t>
        </is>
      </c>
      <c r="C110" s="6" t="n"/>
      <c r="D110" s="28" t="n">
        <v>1</v>
      </c>
      <c r="E110" s="28" t="n">
        <v>1</v>
      </c>
      <c r="F110" s="6" t="n"/>
      <c r="G110" s="6" t="n"/>
      <c r="H110" s="36" t="inlineStr">
        <is>
          <t>ø8-12 nervürlü</t>
        </is>
      </c>
      <c r="I110" s="33" t="n">
        <v>0.2566</v>
      </c>
      <c r="J110" s="34">
        <f>D110*E110*I110</f>
        <v/>
      </c>
      <c r="K110" s="6" t="n"/>
    </row>
    <row r="111" ht="12" customHeight="1">
      <c r="A111" s="6" t="n"/>
      <c r="B111" s="23" t="inlineStr">
        <is>
          <t>Perdeler 13,00 x 0,25 x 3,00 m³; 100 kg/m³</t>
        </is>
      </c>
      <c r="C111" s="6" t="n"/>
      <c r="D111" s="28" t="n">
        <v>1</v>
      </c>
      <c r="E111" s="28" t="n">
        <v>1</v>
      </c>
      <c r="F111" s="29" t="n">
        <v>3.25</v>
      </c>
      <c r="G111" s="29" t="n">
        <v>3</v>
      </c>
      <c r="H111" s="36" t="inlineStr">
        <is>
          <t>ø8-12 nervürlü</t>
        </is>
      </c>
      <c r="I111" s="33" t="n">
        <v>0.1</v>
      </c>
      <c r="J111" s="34">
        <f>D111*E111*F111*G111*I111</f>
        <v/>
      </c>
      <c r="K111" s="6" t="n"/>
    </row>
    <row r="112">
      <c r="A112" s="22" t="n"/>
      <c r="B112" s="25" t="inlineStr">
        <is>
          <t>SD/M26 GENEL TOPLAM</t>
        </is>
      </c>
      <c r="C112" s="26" t="inlineStr">
        <is>
          <t>ton</t>
        </is>
      </c>
      <c r="D112" s="22" t="n"/>
      <c r="E112" s="22" t="n"/>
      <c r="F112" s="22" t="n"/>
      <c r="G112" s="22" t="n"/>
      <c r="H112" s="22" t="n"/>
      <c r="I112" s="22" t="n"/>
      <c r="J112" s="22" t="n"/>
      <c r="K112" s="35">
        <f>SUM(J110:J111)</f>
        <v/>
      </c>
    </row>
    <row r="113"/>
    <row r="114">
      <c r="A114" s="16" t="inlineStr">
        <is>
          <t>AÇIKLAMALAR VE VARSAYIMLAR</t>
        </is>
      </c>
      <c r="B114" s="6" t="n"/>
      <c r="C114" s="6" t="n"/>
      <c r="D114" s="6" t="n"/>
      <c r="E114" s="6" t="n"/>
      <c r="F114" s="6" t="n"/>
      <c r="G114" s="6" t="n"/>
      <c r="H114" s="6" t="n"/>
      <c r="I114" s="6" t="n"/>
      <c r="J114" s="6" t="n"/>
      <c r="K114" s="6" t="n"/>
    </row>
    <row r="115" ht="13" customHeight="1">
      <c r="A115" s="17" t="inlineStr">
        <is>
          <t>•  SARI zeminli 'demir çapı veya profil tipi' hücreleri, proje toplamını tutturmak üzere yapılan dağıtımı gösterir.</t>
        </is>
      </c>
    </row>
    <row r="116" ht="33" customHeight="1">
      <c r="A11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7" t="inlineStr">
        <is>
          <t>•  Gübre çukuru ve müştemilat donatısı, projedeki METRAJ tablolarından ve eleman hacmi x birim donatı oranı (kg/m³) esasıyla hesaplanmıştır.</t>
        </is>
      </c>
    </row>
    <row r="119" ht="22" customHeight="1">
      <c r="A119" s="17"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 KÜMES (A+B BLOK) VE MÜŞTEMİLAT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2026-08-28T06:51:12Z</dcterms:created>
  <dcterms:modified xmlns:dcterms="http://purl.org/dc/terms/" xmlns:xsi="http://www.w3.org/2001/XMLSchema-instance" xsi:type="dcterms:W3CDTF">2026-08-28T06:51:13Z</dcterms:modified>
</cp:coreProperties>
</file>