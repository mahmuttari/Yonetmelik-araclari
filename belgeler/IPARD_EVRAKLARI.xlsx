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betonarme gövdenin iç hacmi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1"/>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YEM SILOSU BETONARME KAIDELERI</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Kaideler 2,90 x 2,90 x 0,50 m³, 2 adet; 90 kg/m³</t>
        </is>
      </c>
      <c r="C96" s="6" t="n"/>
      <c r="D96" s="28" t="n">
        <v>2</v>
      </c>
      <c r="E96" s="28" t="n">
        <v>1</v>
      </c>
      <c r="F96" s="29" t="n">
        <v>8.41</v>
      </c>
      <c r="G96" s="29" t="n">
        <v>0.5</v>
      </c>
      <c r="H96" s="36" t="inlineStr">
        <is>
          <t>ø8-12 nervürlü</t>
        </is>
      </c>
      <c r="I96" s="33" t="n">
        <v>0.09</v>
      </c>
      <c r="J96" s="34">
        <f>D96*E96*F96*G96*I96</f>
        <v/>
      </c>
      <c r="K96" s="6" t="n"/>
    </row>
    <row r="97">
      <c r="A97" s="22" t="n"/>
      <c r="B97" s="25" t="inlineStr">
        <is>
          <t>SL/M26 GENEL TOPLAM</t>
        </is>
      </c>
      <c r="C97" s="26" t="inlineStr">
        <is>
          <t>ton</t>
        </is>
      </c>
      <c r="D97" s="22" t="n"/>
      <c r="E97" s="22" t="n"/>
      <c r="F97" s="22" t="n"/>
      <c r="G97" s="22" t="n"/>
      <c r="H97" s="22" t="n"/>
      <c r="I97" s="22" t="n"/>
      <c r="J97" s="22" t="n"/>
      <c r="K97" s="35">
        <f>SUM(J96:J96)</f>
        <v/>
      </c>
    </row>
    <row r="98"/>
    <row r="99" ht="20" customHeight="1">
      <c r="A99" s="18" t="inlineStr">
        <is>
          <t>Yapı/Bina Adı: SU DEPOSU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[M26]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ve üst döşeme — proje metrajı 223,70 + 32,90 = 256,60 kg</t>
        </is>
      </c>
      <c r="C102" s="6" t="n"/>
      <c r="D102" s="28" t="n">
        <v>1</v>
      </c>
      <c r="E102" s="28" t="n">
        <v>1</v>
      </c>
      <c r="F102" s="6" t="n"/>
      <c r="G102" s="6" t="n"/>
      <c r="H102" s="36" t="inlineStr">
        <is>
          <t>ø8-12 nervürlü</t>
        </is>
      </c>
      <c r="I102" s="33" t="n">
        <v>0.2566</v>
      </c>
      <c r="J102" s="34">
        <f>D102*E102*I102</f>
        <v/>
      </c>
      <c r="K102" s="6" t="n"/>
    </row>
    <row r="103" ht="12" customHeight="1">
      <c r="A103" s="6" t="n"/>
      <c r="B103" s="23" t="inlineStr">
        <is>
          <t>Perdeler 13,00 x 0,25 x 3,00 m³; 100 kg/m³</t>
        </is>
      </c>
      <c r="C103" s="6" t="n"/>
      <c r="D103" s="28" t="n">
        <v>1</v>
      </c>
      <c r="E103" s="28" t="n">
        <v>1</v>
      </c>
      <c r="F103" s="29" t="n">
        <v>3.25</v>
      </c>
      <c r="G103" s="29" t="n">
        <v>3</v>
      </c>
      <c r="H103" s="36" t="inlineStr">
        <is>
          <t>ø8-12 nervürlü</t>
        </is>
      </c>
      <c r="I103" s="33" t="n">
        <v>0.1</v>
      </c>
      <c r="J103" s="34">
        <f>D103*E103*F103*G103*I103</f>
        <v/>
      </c>
      <c r="K103" s="6" t="n"/>
    </row>
    <row r="104">
      <c r="A104" s="22" t="n"/>
      <c r="B104" s="25" t="inlineStr">
        <is>
          <t>SD/M26 GENEL TOPLAM</t>
        </is>
      </c>
      <c r="C104" s="26" t="inlineStr">
        <is>
          <t>ton</t>
        </is>
      </c>
      <c r="D104" s="22" t="n"/>
      <c r="E104" s="22" t="n"/>
      <c r="F104" s="22" t="n"/>
      <c r="G104" s="22" t="n"/>
      <c r="H104" s="22" t="n"/>
      <c r="I104" s="22" t="n"/>
      <c r="J104" s="22" t="n"/>
      <c r="K104" s="35">
        <f>SUM(J102:J103)</f>
        <v/>
      </c>
    </row>
    <row r="105"/>
    <row r="106">
      <c r="A106" s="16" t="inlineStr">
        <is>
          <t>AÇIKLAMALAR VE VARSAYIMLAR</t>
        </is>
      </c>
      <c r="B106" s="6" t="n"/>
      <c r="C106" s="6" t="n"/>
      <c r="D106" s="6" t="n"/>
      <c r="E106" s="6" t="n"/>
      <c r="F106" s="6" t="n"/>
      <c r="G106" s="6" t="n"/>
      <c r="H106" s="6" t="n"/>
      <c r="I106" s="6" t="n"/>
      <c r="J106" s="6" t="n"/>
      <c r="K106" s="6" t="n"/>
    </row>
    <row r="107" ht="13" customHeight="1">
      <c r="A107" s="17" t="inlineStr">
        <is>
          <t>•  SARI zeminli 'demir çapı veya profil tipi' hücreleri, proje toplamını tutturmak üzere yapılan dağıtımı gösterir.</t>
        </is>
      </c>
    </row>
    <row r="108" ht="33" customHeight="1">
      <c r="A108"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09" ht="22" customHeight="1">
      <c r="A109"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0" ht="13" customHeight="1">
      <c r="A110" s="17" t="inlineStr">
        <is>
          <t>•  Gübre çukuru ve müştemilat donatısı, projedeki METRAJ tablolarından ve eleman hacmi x birim donatı oranı (kg/m³) esasıyla hesaplanmıştır.</t>
        </is>
      </c>
    </row>
    <row r="111" ht="22" customHeight="1">
      <c r="A111" s="17" t="inlineStr">
        <is>
          <t>•  Birim ağırlıklar (ton/m): ø8 0,000395 · ø10 0,000617 · ø12 0,000888 · ø14 0,001210 · ø16 0,001580 · ø20 0,002470 · HEA 200 0,0423 · HEA 260 0,0541 · IPE 270 0,0361 · Z 200x70x2,5 0,00900 · L 70x70x7 0,00738.</t>
        </is>
      </c>
    </row>
  </sheetData>
  <mergeCells count="15">
    <mergeCell ref="A108:K108"/>
    <mergeCell ref="A3:K3"/>
    <mergeCell ref="A86:K86"/>
    <mergeCell ref="A109:K109"/>
    <mergeCell ref="A2:K2"/>
    <mergeCell ref="A107:K107"/>
    <mergeCell ref="A99:K99"/>
    <mergeCell ref="A5:K5"/>
    <mergeCell ref="A93:K93"/>
    <mergeCell ref="A75:K75"/>
    <mergeCell ref="A1:K1"/>
    <mergeCell ref="A40:K40"/>
    <mergeCell ref="A110:K110"/>
    <mergeCell ref="A111:K111"/>
    <mergeCell ref="A106:K106"/>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2026-08-30T12:28:31Z</dcterms:created>
  <dcterms:modified xmlns:dcterms="http://purl.org/dc/terms/" xmlns:xsi="http://www.w3.org/2001/XMLSchema-instance" xsi:type="dcterms:W3CDTF">2026-08-30T12:28:31Z</dcterms:modified>
</cp:coreProperties>
</file>