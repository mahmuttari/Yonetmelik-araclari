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Keşif Özeti" sheetId="1" state="visible" r:id="rId1"/>
    <sheet xmlns:r="http://schemas.openxmlformats.org/officeDocument/2006/relationships" name="02-Metraj Cetveli" sheetId="2" state="visible" r:id="rId2"/>
    <sheet xmlns:r="http://schemas.openxmlformats.org/officeDocument/2006/relationships" name="03-Ağırlık Metrajı" sheetId="3" state="visible" r:id="rId3"/>
    <sheet xmlns:r="http://schemas.openxmlformats.org/officeDocument/2006/relationships" name="04-Mahal Listesi" sheetId="4" state="visible" r:id="rId4"/>
  </sheets>
  <definedNames/>
  <calcPr calcId="124519" fullCalcOnLoad="1"/>
</workbook>
</file>

<file path=xl/styles.xml><?xml version="1.0" encoding="utf-8"?>
<styleSheet xmlns="http://schemas.openxmlformats.org/spreadsheetml/2006/main">
  <numFmts count="5">
    <numFmt numFmtId="164" formatCode="#,##0.000"/>
    <numFmt numFmtId="165" formatCode="#,##0.##"/>
    <numFmt numFmtId="166" formatCode="#,##0.###"/>
    <numFmt numFmtId="167" formatCode="#,##0.######"/>
    <numFmt numFmtId="168" formatCode="#,##0.000000"/>
  </numFmts>
  <fonts count="9">
    <font>
      <name val="Calibri"/>
      <family val="2"/>
      <color theme="1"/>
      <sz val="11"/>
      <scheme val="minor"/>
    </font>
    <font>
      <b val="1"/>
      <color rgb="00000000"/>
      <sz val="13"/>
    </font>
    <font>
      <i val="1"/>
      <sz val="9"/>
    </font>
    <font>
      <i val="1"/>
      <sz val="8"/>
    </font>
    <font>
      <b val="1"/>
      <color rgb="00000000"/>
      <sz val="11"/>
    </font>
    <font>
      <b val="1"/>
      <color rgb="00000000"/>
      <sz val="9"/>
    </font>
    <font>
      <b val="1"/>
      <sz val="9"/>
    </font>
    <font>
      <sz val="9"/>
    </font>
    <font>
      <sz val="8"/>
    </font>
  </fonts>
  <fills count="4">
    <fill>
      <patternFill/>
    </fill>
    <fill>
      <patternFill patternType="gray125"/>
    </fill>
    <fill>
      <patternFill patternType="solid">
        <fgColor rgb="00EDEDED"/>
      </patternFill>
    </fill>
    <fill>
      <patternFill patternType="solid">
        <fgColor rgb="00DCDCDC"/>
      </patternFill>
    </fill>
  </fills>
  <borders count="5">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0" borderId="0" applyAlignment="1" pivotButton="0" quotePrefix="0" xfId="0">
      <alignment horizontal="center"/>
    </xf>
    <xf numFmtId="0" fontId="4" fillId="2" borderId="0" applyAlignment="1" pivotButton="0" quotePrefix="0" xfId="0">
      <alignment vertical="center"/>
    </xf>
    <xf numFmtId="0" fontId="3" fillId="3" borderId="1" applyAlignment="1" pivotButton="0" quotePrefix="0" xfId="0">
      <alignment vertical="center" wrapText="1"/>
    </xf>
    <xf numFmtId="0" fontId="0" fillId="0" borderId="1" pivotButton="0" quotePrefix="0" xfId="0"/>
    <xf numFmtId="0" fontId="5" fillId="2" borderId="1" applyAlignment="1" pivotButton="0" quotePrefix="0" xfId="0">
      <alignment horizontal="center" vertical="center" wrapText="1"/>
    </xf>
    <xf numFmtId="0" fontId="6" fillId="2" borderId="1" applyAlignment="1" pivotButton="0" quotePrefix="0" xfId="0">
      <alignment vertical="center" wrapText="1"/>
    </xf>
    <xf numFmtId="0" fontId="0" fillId="0" borderId="1" applyAlignment="1" pivotButton="0" quotePrefix="0" xfId="0">
      <alignment horizontal="center"/>
    </xf>
    <xf numFmtId="49" fontId="6" fillId="0" borderId="1" applyAlignment="1" pivotButton="0" quotePrefix="0" xfId="0">
      <alignment horizontal="center" vertical="center"/>
    </xf>
    <xf numFmtId="0" fontId="7" fillId="0" borderId="1" applyAlignment="1" pivotButton="0" quotePrefix="0" xfId="0">
      <alignment vertical="top" wrapText="1"/>
    </xf>
    <xf numFmtId="0" fontId="0" fillId="0" borderId="1" applyAlignment="1" pivotButton="0" quotePrefix="0" xfId="0">
      <alignment horizontal="center" vertical="center"/>
    </xf>
    <xf numFmtId="4" fontId="6" fillId="0" borderId="1" applyAlignment="1" pivotButton="0" quotePrefix="0" xfId="0">
      <alignment horizontal="right" vertical="center"/>
    </xf>
    <xf numFmtId="0" fontId="0" fillId="0" borderId="3" pivotButton="0" quotePrefix="0" xfId="0"/>
    <xf numFmtId="0" fontId="0" fillId="0" borderId="4" pivotButton="0" quotePrefix="0" xfId="0"/>
    <xf numFmtId="0" fontId="6" fillId="0" borderId="1" applyAlignment="1" pivotButton="0" quotePrefix="0" xfId="0">
      <alignment horizontal="center" vertical="center"/>
    </xf>
    <xf numFmtId="0" fontId="6" fillId="2" borderId="1" pivotButton="0" quotePrefix="0" xfId="0"/>
    <xf numFmtId="0" fontId="8" fillId="0" borderId="0" applyAlignment="1" pivotButton="0" quotePrefix="0" xfId="0">
      <alignment vertical="center" wrapText="1"/>
    </xf>
    <xf numFmtId="0" fontId="4" fillId="2" borderId="0" pivotButton="0" quotePrefix="0" xfId="0"/>
    <xf numFmtId="0" fontId="0" fillId="2" borderId="1" applyAlignment="1" pivotButton="0" quotePrefix="0" xfId="0">
      <alignment horizontal="center" vertical="center"/>
    </xf>
    <xf numFmtId="49" fontId="6" fillId="2" borderId="1" applyAlignment="1" pivotButton="0" quotePrefix="0" xfId="0">
      <alignment horizontal="center" vertical="center"/>
    </xf>
    <xf numFmtId="0" fontId="6" fillId="2" borderId="1" applyAlignment="1" pivotButton="0" quotePrefix="0" xfId="0">
      <alignment horizontal="center" vertical="center"/>
    </xf>
    <xf numFmtId="0" fontId="0" fillId="2" borderId="1" pivotButton="0" quotePrefix="0" xfId="0"/>
    <xf numFmtId="0" fontId="8" fillId="0" borderId="1" applyAlignment="1" pivotButton="0" quotePrefix="0" xfId="0">
      <alignment vertical="top" wrapText="1"/>
    </xf>
    <xf numFmtId="164" fontId="0" fillId="0" borderId="1" pivotButton="0" quotePrefix="0" xfId="0"/>
    <xf numFmtId="0" fontId="6" fillId="2" borderId="1" applyAlignment="1" pivotButton="0" quotePrefix="0" xfId="0">
      <alignment horizontal="right"/>
    </xf>
    <xf numFmtId="0" fontId="0" fillId="2" borderId="1" applyAlignment="1" pivotButton="0" quotePrefix="0" xfId="0">
      <alignment horizontal="center"/>
    </xf>
    <xf numFmtId="164" fontId="6" fillId="3" borderId="1" pivotButton="0" quotePrefix="0" xfId="0"/>
    <xf numFmtId="165" fontId="0" fillId="0" borderId="1" applyAlignment="1" pivotButton="0" quotePrefix="0" xfId="0">
      <alignment horizontal="center"/>
    </xf>
    <xf numFmtId="166" fontId="0" fillId="0" borderId="1" applyAlignment="1" pivotButton="0" quotePrefix="0" xfId="0">
      <alignment horizontal="center"/>
    </xf>
    <xf numFmtId="167" fontId="3" fillId="0" borderId="1" applyAlignment="1" pivotButton="0" quotePrefix="0" xfId="0">
      <alignment horizontal="center"/>
    </xf>
    <xf numFmtId="0" fontId="3" fillId="0" borderId="1" applyAlignment="1" pivotButton="0" quotePrefix="0" xfId="0">
      <alignment vertical="top" wrapText="1"/>
    </xf>
    <xf numFmtId="0" fontId="8" fillId="3" borderId="1" applyAlignment="1" pivotButton="0" quotePrefix="0" xfId="0">
      <alignment horizontal="center" vertical="center"/>
    </xf>
    <xf numFmtId="168" fontId="0" fillId="0" borderId="1" applyAlignment="1" pivotButton="0" quotePrefix="0" xfId="0">
      <alignment horizontal="center"/>
    </xf>
    <xf numFmtId="168" fontId="0" fillId="0" borderId="1" pivotButton="0" quotePrefix="0" xfId="0"/>
    <xf numFmtId="168" fontId="6" fillId="3" borderId="1" pivotButton="0" quotePrefix="0" xfId="0"/>
    <xf numFmtId="0" fontId="8" fillId="0" borderId="1" applyAlignment="1" pivotButton="0" quotePrefix="0" xfId="0">
      <alignment horizontal="center" vertical="center"/>
    </xf>
    <xf numFmtId="0" fontId="7"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182"/>
  <sheetViews>
    <sheetView showGridLines="0" workbookViewId="0">
      <pane ySplit="4" topLeftCell="A5" activePane="bottomLeft" state="frozen"/>
      <selection pane="bottomLeft" activeCell="A1" sqref="A1"/>
    </sheetView>
  </sheetViews>
  <sheetFormatPr baseColWidth="8" defaultRowHeight="15"/>
  <cols>
    <col width="34" customWidth="1" min="1" max="1"/>
    <col width="6" customWidth="1" min="2" max="2"/>
    <col width="16" customWidth="1" min="3" max="3"/>
    <col width="74" customWidth="1" min="4" max="4"/>
    <col width="8" customWidth="1" min="5" max="5"/>
    <col width="12" customWidth="1" min="6" max="6"/>
  </cols>
  <sheetData>
    <row r="1" ht="26" customHeight="1">
      <c r="A1" s="1" t="inlineStr">
        <is>
          <t>KEŞİF ÖZETİ</t>
        </is>
      </c>
    </row>
    <row r="2">
      <c r="A2" s="2" t="inlineStr">
        <is>
          <t>MUSAB EDER ÇİFTLİĞİ KANATLI (ETLİK PİLİÇ) KÜMESİ — Kocaeli İli Karamürsel İlçesi İnebeyli Mahallesi 138 ada 17 parsel (7.966,67 m²)</t>
        </is>
      </c>
    </row>
    <row r="3">
      <c r="A3" s="3" t="inlineStr">
        <is>
          <t>Yatırımın Adı: MUSAB EDER ÇİFTLİĞİ KANATLI (ETLİK PİLİÇ) KÜMESİ — yapımı   ·   Yapım işleri keşif özeti (birim fiyat ve tutar içermez)</t>
        </is>
      </c>
    </row>
    <row r="4"/>
    <row r="5" ht="20" customHeight="1">
      <c r="A5" s="4" t="inlineStr">
        <is>
          <t>&lt; Kümes A Blok &gt;   —   inşaat alanı 1.106.00 m²</t>
        </is>
      </c>
    </row>
    <row r="6" ht="24" customHeight="1">
      <c r="A6" s="5" t="inlineStr">
        <is>
          <t>14,00 x 79,00 = 1.106,00 m²; betonarme şerit temel, çelik karkas üstyapı, sandviç panel çatı.</t>
        </is>
      </c>
      <c r="B6" s="6" t="n"/>
      <c r="C6" s="6" t="n"/>
      <c r="D6" s="6" t="n"/>
      <c r="E6" s="6" t="n"/>
      <c r="F6" s="6" t="n"/>
    </row>
    <row r="7" ht="28" customHeight="1">
      <c r="A7" s="7" t="inlineStr">
        <is>
          <t>Uygun Harcama Kaleminin EK-1'de yer alan adı</t>
        </is>
      </c>
      <c r="B7" s="7" t="inlineStr">
        <is>
          <t>No</t>
        </is>
      </c>
      <c r="C7" s="7" t="inlineStr">
        <is>
          <t>Poz No</t>
        </is>
      </c>
      <c r="D7" s="7" t="inlineStr">
        <is>
          <t>Yapım İşinin Adı</t>
        </is>
      </c>
      <c r="E7" s="7" t="inlineStr">
        <is>
          <t>Birimi</t>
        </is>
      </c>
      <c r="F7" s="7" t="inlineStr">
        <is>
          <t>Miktarı</t>
        </is>
      </c>
    </row>
    <row r="8" ht="14" customHeight="1">
      <c r="A8" s="8" t="inlineStr">
        <is>
          <t>Kazı, dolgu ve reglaj işleri</t>
        </is>
      </c>
      <c r="B8" s="9" t="n">
        <v>1</v>
      </c>
      <c r="C8" s="10" t="inlineStr">
        <is>
          <t>15.120.1001</t>
        </is>
      </c>
      <c r="D8" s="11" t="inlineStr">
        <is>
          <t>Makine ile yumuşak ve sert toprak kazılması</t>
        </is>
      </c>
      <c r="E8" s="12" t="inlineStr">
        <is>
          <t>m³</t>
        </is>
      </c>
      <c r="F8" s="13" t="n">
        <v>1684.385</v>
      </c>
    </row>
    <row r="9" ht="31.5" customHeight="1">
      <c r="A9" s="8" t="inlineStr">
        <is>
          <t>Beton işleri</t>
        </is>
      </c>
      <c r="B9" s="9" t="n">
        <v>1</v>
      </c>
      <c r="C9" s="10" t="inlineStr">
        <is>
          <t>15.150.1003</t>
        </is>
      </c>
      <c r="D9" s="11" t="inlineStr">
        <is>
          <t>Beton santralinde üretilen veya satın alınan ve beton pompasıyla basılan, C 16/20 basınç dayanım sınıfında, gri renkte, normal hazır beton dökülmesi (beton nakli dahil)</t>
        </is>
      </c>
      <c r="E9" s="12" t="inlineStr">
        <is>
          <t>m³</t>
        </is>
      </c>
      <c r="F9" s="13" t="n">
        <v>31.429</v>
      </c>
    </row>
    <row r="10" ht="31.5" customHeight="1">
      <c r="A10" s="8" t="inlineStr">
        <is>
          <t>Betonarme işleri</t>
        </is>
      </c>
      <c r="B10" s="9" t="n">
        <v>1</v>
      </c>
      <c r="C10" s="10" t="inlineStr">
        <is>
          <t>15.150.1005</t>
        </is>
      </c>
      <c r="D10" s="11" t="inlineStr">
        <is>
          <t>Beton santralinde üretilen veya satın alınan ve beton pompasıyla basılan, C 25/30 basınç dayanım sınıfında, gri renkte, normal hazır beton dökülmesi (beton nakli dahil)</t>
        </is>
      </c>
      <c r="E10" s="12" t="inlineStr">
        <is>
          <t>m³</t>
        </is>
      </c>
      <c r="F10" s="13" t="n">
        <v>278.34</v>
      </c>
    </row>
    <row r="11" ht="14" customHeight="1">
      <c r="A11" s="8" t="inlineStr">
        <is>
          <t>Kalıp, yapı iskelesi işleri</t>
        </is>
      </c>
      <c r="B11" s="9" t="n">
        <v>1</v>
      </c>
      <c r="C11" s="10" t="inlineStr">
        <is>
          <t>15.180.1003</t>
        </is>
      </c>
      <c r="D11" s="11" t="inlineStr">
        <is>
          <t>Plywood ile düz yüzeyli betonarme kalıbı yapılması</t>
        </is>
      </c>
      <c r="E11" s="12" t="inlineStr">
        <is>
          <t>m²</t>
        </is>
      </c>
      <c r="F11" s="13" t="n">
        <v>551.26</v>
      </c>
    </row>
    <row r="12" ht="21" customHeight="1">
      <c r="A12" s="8" t="inlineStr">
        <is>
          <t>Demir-inşaat işleri</t>
        </is>
      </c>
      <c r="B12" s="9" t="n">
        <v>1</v>
      </c>
      <c r="C12" s="10" t="inlineStr">
        <is>
          <t>15.160.1003</t>
        </is>
      </c>
      <c r="D12" s="11" t="inlineStr">
        <is>
          <t>Ø 8 - Ø 12 mm nervürlü beton çelik çubuğu, çubukların kesilmesi, bükülmesi ve yerine konulması</t>
        </is>
      </c>
      <c r="E12" s="12" t="inlineStr">
        <is>
          <t>ton</t>
        </is>
      </c>
      <c r="F12" s="13" t="n">
        <v>4.16</v>
      </c>
    </row>
    <row r="13" ht="21" customHeight="1">
      <c r="A13" s="14" t="n"/>
      <c r="B13" s="9" t="n">
        <v>2</v>
      </c>
      <c r="C13" s="10" t="inlineStr">
        <is>
          <t>15.160.1004</t>
        </is>
      </c>
      <c r="D13" s="11" t="inlineStr">
        <is>
          <t>Ø 14 - Ø 28 mm nervürlü beton çelik çubuğu, çubukların kesilmesi, bükülmesi ve yerine konulması</t>
        </is>
      </c>
      <c r="E13" s="12" t="inlineStr">
        <is>
          <t>ton</t>
        </is>
      </c>
      <c r="F13" s="13" t="n">
        <v>7.288</v>
      </c>
    </row>
    <row r="14" ht="14" customHeight="1">
      <c r="A14" s="15" t="n"/>
      <c r="B14" s="9" t="n">
        <v>3</v>
      </c>
      <c r="C14" s="10" t="inlineStr">
        <is>
          <t>15.160.1002</t>
        </is>
      </c>
      <c r="D14" s="11" t="inlineStr">
        <is>
          <t>Nervürlü çelik hasırın yerine konulması</t>
        </is>
      </c>
      <c r="E14" s="12" t="inlineStr">
        <is>
          <t>ton</t>
        </is>
      </c>
      <c r="F14" s="13" t="n">
        <v>3.637</v>
      </c>
    </row>
    <row r="15" ht="21" customHeight="1">
      <c r="A15" s="8" t="inlineStr">
        <is>
          <t>Çelik yapım-imalat işleri</t>
        </is>
      </c>
      <c r="B15" s="9" t="n">
        <v>1</v>
      </c>
      <c r="C15" s="10" t="inlineStr">
        <is>
          <t>15.165.1003</t>
        </is>
      </c>
      <c r="D15" s="11" t="inlineStr">
        <is>
          <t>Her çeşit profil, çelik çubuk ve çelik saclarla karkas (çerçeve) inşaat yapılması, yerine tespiti (boya bedeli hariç)</t>
        </is>
      </c>
      <c r="E15" s="12" t="inlineStr">
        <is>
          <t>ton</t>
        </is>
      </c>
      <c r="F15" s="13" t="n">
        <v>44.048</v>
      </c>
    </row>
    <row r="16" ht="14" customHeight="1">
      <c r="A16" s="15" t="n"/>
      <c r="B16" s="9" t="n">
        <v>2</v>
      </c>
      <c r="C16" s="10" t="inlineStr">
        <is>
          <t>15.550.1202</t>
        </is>
      </c>
      <c r="D16" s="11" t="inlineStr">
        <is>
          <t>Lama ve profil demirlerden çeşitli demir işleri yapılması ve yerine konulması</t>
        </is>
      </c>
      <c r="E16" s="12" t="inlineStr">
        <is>
          <t>kg</t>
        </is>
      </c>
      <c r="F16" s="13" t="n">
        <v>674</v>
      </c>
    </row>
    <row r="17" ht="21" customHeight="1">
      <c r="A17" s="8" t="inlineStr">
        <is>
          <t>Tuğla ve duvar işleri</t>
        </is>
      </c>
      <c r="B17" s="9" t="n">
        <v>1</v>
      </c>
      <c r="C17" s="10" t="inlineStr">
        <is>
          <t>15.225.1010</t>
        </is>
      </c>
      <c r="D17" s="11" t="inlineStr">
        <is>
          <t>20 cm kalınlığındaki teçhizatsız gazbeton duvar blokları ile duvar yapılması (gazbeton tutkalı ile)</t>
        </is>
      </c>
      <c r="E17" s="12" t="inlineStr">
        <is>
          <t>m²</t>
        </is>
      </c>
      <c r="F17" s="13" t="n">
        <v>507.91</v>
      </c>
    </row>
    <row r="18" ht="14" customHeight="1">
      <c r="A18" s="14" t="n"/>
      <c r="B18" s="9" t="n">
        <v>2</v>
      </c>
      <c r="C18" s="10" t="inlineStr">
        <is>
          <t>15.225.1410</t>
        </is>
      </c>
      <c r="D18" s="11" t="inlineStr">
        <is>
          <t>20 cm kalınlığındaki teçhizatlı gazbeton lento temini ve yerine konulması</t>
        </is>
      </c>
      <c r="E18" s="12" t="inlineStr">
        <is>
          <t>m²</t>
        </is>
      </c>
      <c r="F18" s="13" t="n">
        <v>49.85</v>
      </c>
    </row>
    <row r="19" ht="21" customHeight="1">
      <c r="A19" s="15" t="n"/>
      <c r="B19" s="9" t="n">
        <v>3</v>
      </c>
      <c r="C19" s="10" t="inlineStr">
        <is>
          <t>15.225.1004</t>
        </is>
      </c>
      <c r="D19" s="11" t="inlineStr">
        <is>
          <t>10 cm kalınlığındaki teçhizatsız gazbeton duvar blokları ile duvar yapılması (gazbeton tutkalı ile)</t>
        </is>
      </c>
      <c r="E19" s="12" t="inlineStr">
        <is>
          <t>m²</t>
        </is>
      </c>
      <c r="F19" s="13" t="n">
        <v>45</v>
      </c>
    </row>
    <row r="20" ht="21" customHeight="1">
      <c r="A20" s="8" t="inlineStr">
        <is>
          <t>Çatı ve sundurma işleri</t>
        </is>
      </c>
      <c r="B20" s="9" t="n">
        <v>1</v>
      </c>
      <c r="C20" s="10" t="inlineStr">
        <is>
          <t>TKDK-0042</t>
        </is>
      </c>
      <c r="D20" s="11" t="inlineStr">
        <is>
          <t>6 cm poliüretan dolgulu (üst min. 0,40 mm, alt min. 0,30 mm) boyalı galvanizli sac levhalar ile ısı yalıtımlı çatı kaplaması yapılması</t>
        </is>
      </c>
      <c r="E20" s="12" t="inlineStr">
        <is>
          <t>m²</t>
        </is>
      </c>
      <c r="F20" s="13" t="n">
        <v>1204.98</v>
      </c>
    </row>
    <row r="21" ht="14" customHeight="1">
      <c r="A21" s="14" t="n"/>
      <c r="B21" s="9" t="n">
        <v>2</v>
      </c>
      <c r="C21" s="10" t="inlineStr">
        <is>
          <t>TKDK-0115</t>
        </is>
      </c>
      <c r="D21" s="11" t="inlineStr">
        <is>
          <t>Galvanizli düz sacdan yağmur oluğu veya iniş borusu yapılması</t>
        </is>
      </c>
      <c r="E21" s="12" t="inlineStr">
        <is>
          <t>kg</t>
        </is>
      </c>
      <c r="F21" s="13" t="n">
        <v>319.2</v>
      </c>
    </row>
    <row r="22" ht="14" customHeight="1">
      <c r="A22" s="15" t="n"/>
      <c r="B22" s="9" t="n">
        <v>3</v>
      </c>
      <c r="C22" s="10" t="inlineStr">
        <is>
          <t>15.315.1001</t>
        </is>
      </c>
      <c r="D22" s="11" t="inlineStr">
        <is>
          <t>Ø 70 mm çapında bir ucu muflu sert PVC yağmur borusu temini ve yerine tesbiti</t>
        </is>
      </c>
      <c r="E22" s="12" t="inlineStr">
        <is>
          <t>m</t>
        </is>
      </c>
      <c r="F22" s="13" t="n">
        <v>51.2</v>
      </c>
    </row>
    <row r="23" ht="21" customHeight="1">
      <c r="A23" s="8" t="inlineStr">
        <is>
          <t>Doğramacılık işleri (Demir, Alüminyum, PVC, Kompozit)</t>
        </is>
      </c>
      <c r="B23" s="9" t="n">
        <v>1</v>
      </c>
      <c r="C23" s="10" t="inlineStr">
        <is>
          <t>TKDK-0151</t>
        </is>
      </c>
      <c r="D23" s="11" t="inlineStr">
        <is>
          <t>5 cm poliüretan dolgulu (üst 0,50 mm düz, alt 0,40 mm düz) fabrikasyon rulo boyama sistemi ile boyanmış galvaniz levhalar ile ısı yalıtımlı kapı yapılması</t>
        </is>
      </c>
      <c r="E23" s="12" t="inlineStr">
        <is>
          <t>m²</t>
        </is>
      </c>
      <c r="F23" s="13" t="n">
        <v>13.4</v>
      </c>
    </row>
    <row r="24" ht="21" customHeight="1">
      <c r="A24" s="14" t="n"/>
      <c r="B24" s="9" t="n">
        <v>2</v>
      </c>
      <c r="C24" s="10" t="inlineStr">
        <is>
          <t>TKDK-0175</t>
        </is>
      </c>
      <c r="D24" s="11" t="inlineStr">
        <is>
          <t>PVC kaplamalı, iki yüzü odun lifinden yapılmış levhalarla (MDF) presli, kraft dolgulu iç kapı kanadı yapılması, yerinde takılması</t>
        </is>
      </c>
      <c r="E24" s="12" t="inlineStr">
        <is>
          <t>m²</t>
        </is>
      </c>
      <c r="F24" s="13" t="n">
        <v>5.67</v>
      </c>
    </row>
    <row r="25" ht="21" customHeight="1">
      <c r="A25" s="15" t="n"/>
      <c r="B25" s="9" t="n">
        <v>3</v>
      </c>
      <c r="C25" s="10" t="inlineStr">
        <is>
          <t>15.550.1002</t>
        </is>
      </c>
      <c r="D25" s="11" t="inlineStr">
        <is>
          <t>1,50 mm kalınlığında sıcak haddelenmiş sacdan bükme kapı kasası yapılması ve yerine konulması</t>
        </is>
      </c>
      <c r="E25" s="12" t="inlineStr">
        <is>
          <t>kg</t>
        </is>
      </c>
      <c r="F25" s="13" t="n">
        <v>54.315</v>
      </c>
    </row>
    <row r="26" ht="14" customHeight="1">
      <c r="A26" s="8" t="inlineStr">
        <is>
          <t>Sıva, alçı, derz ve şap işleri</t>
        </is>
      </c>
      <c r="B26" s="9" t="n">
        <v>1</v>
      </c>
      <c r="C26" s="10" t="inlineStr">
        <is>
          <t>15.275.1116</t>
        </is>
      </c>
      <c r="D26" s="11" t="inlineStr">
        <is>
          <t>250 kg çimento dozlu harç ile kaba sıva yapılması</t>
        </is>
      </c>
      <c r="E26" s="12" t="inlineStr">
        <is>
          <t>m²</t>
        </is>
      </c>
      <c r="F26" s="13" t="n">
        <v>557.76</v>
      </c>
    </row>
    <row r="27" ht="14" customHeight="1">
      <c r="A27" s="15" t="n"/>
      <c r="B27" s="9" t="n">
        <v>2</v>
      </c>
      <c r="C27" s="10" t="inlineStr">
        <is>
          <t>15.275.1117</t>
        </is>
      </c>
      <c r="D27" s="11" t="inlineStr">
        <is>
          <t>200 kg çimento ve kireç karışımı harç ile kaba sıva yapılması (iç cephe)</t>
        </is>
      </c>
      <c r="E27" s="12" t="inlineStr">
        <is>
          <t>m²</t>
        </is>
      </c>
      <c r="F27" s="13" t="n">
        <v>647.76</v>
      </c>
    </row>
    <row r="28" ht="21" customHeight="1">
      <c r="A28" s="8" t="inlineStr">
        <is>
          <t>Boya, badana ve cila işleri</t>
        </is>
      </c>
      <c r="B28" s="9" t="n">
        <v>1</v>
      </c>
      <c r="C28" s="10" t="inlineStr">
        <is>
          <t>15.540.1606</t>
        </is>
      </c>
      <c r="D28" s="11" t="inlineStr">
        <is>
          <t>Brüt beton, sıvalı veya eski boyalı yüzeylere astar uygulanarak silikon esaslı su bazlı dış cephe boyası yapılması</t>
        </is>
      </c>
      <c r="E28" s="12" t="inlineStr">
        <is>
          <t>m²</t>
        </is>
      </c>
      <c r="F28" s="13" t="n">
        <v>557.76</v>
      </c>
    </row>
    <row r="29" ht="21" customHeight="1">
      <c r="A29" s="15" t="n"/>
      <c r="B29" s="9" t="n">
        <v>2</v>
      </c>
      <c r="C29" s="10" t="inlineStr">
        <is>
          <t>15.540.1537</t>
        </is>
      </c>
      <c r="D29" s="11" t="inlineStr">
        <is>
          <t>Yeni sıva yüzeylere astar uygulanarak iki kat su bazlı plastik antibakteriyel iç cephe boyası yapılması</t>
        </is>
      </c>
      <c r="E29" s="12" t="inlineStr">
        <is>
          <t>m²</t>
        </is>
      </c>
      <c r="F29" s="13" t="n">
        <v>612.76</v>
      </c>
    </row>
    <row r="30" ht="31.5" customHeight="1">
      <c r="A30" s="8" t="inlineStr">
        <is>
          <t>İnce yapı ve tamamlayıcı imalatlar</t>
        </is>
      </c>
      <c r="B30" s="9" t="n">
        <v>1</v>
      </c>
      <c r="C30" s="10" t="inlineStr">
        <is>
          <t>TKDK-0177</t>
        </is>
      </c>
      <c r="D30" s="11" t="inlineStr">
        <is>
          <t>(25x70 - 25x75 - 40x80 cm) anma ebatlarında, her türlü desen ve yüzey özelliğinde, renkli duvar karosu ile 3 mm derz aralıklı döşeme, duvar ve cephe kaplaması yapılması (karo yapıştırıcısı ile)</t>
        </is>
      </c>
      <c r="E30" s="12" t="inlineStr">
        <is>
          <t>m²</t>
        </is>
      </c>
      <c r="F30" s="13" t="n">
        <v>60</v>
      </c>
    </row>
    <row r="31" ht="21" customHeight="1">
      <c r="A31" s="8" t="inlineStr">
        <is>
          <t>Kanalizasyon işleri</t>
        </is>
      </c>
      <c r="B31" s="9" t="n">
        <v>1</v>
      </c>
      <c r="C31" s="10" t="inlineStr">
        <is>
          <t>43.527.1001</t>
        </is>
      </c>
      <c r="D31" s="11" t="inlineStr">
        <is>
          <t>Çapı 150 mm HDPE koruge boru döşenmesi (SN 8, lastik conta ve boru bedeli dahil)</t>
        </is>
      </c>
      <c r="E31" s="12" t="inlineStr">
        <is>
          <t>m</t>
        </is>
      </c>
      <c r="F31" s="13" t="n">
        <v>25</v>
      </c>
    </row>
    <row r="32" ht="21" customHeight="1">
      <c r="A32" s="8" t="inlineStr">
        <is>
          <t>Elektrik tesisatı ve aydınlatma</t>
        </is>
      </c>
      <c r="B32" s="9" t="n">
        <v>1</v>
      </c>
      <c r="C32" s="10" t="inlineStr">
        <is>
          <t>30.100.2105</t>
        </is>
      </c>
      <c r="D32" s="11" t="inlineStr">
        <is>
          <t>Kümes dağıtım panosu (sıva üstü galvanizli sac tablo, 0,40-0,50 m²) (%25 müteahhit kârı dahil)</t>
        </is>
      </c>
      <c r="E32" s="12" t="inlineStr">
        <is>
          <t>ad</t>
        </is>
      </c>
      <c r="F32" s="13" t="n">
        <v>1</v>
      </c>
    </row>
    <row r="33" ht="21" customHeight="1">
      <c r="A33" s="14" t="n"/>
      <c r="B33" s="9" t="n">
        <v>2</v>
      </c>
      <c r="C33" s="10" t="inlineStr">
        <is>
          <t>30.110.1102</t>
        </is>
      </c>
      <c r="D33" s="11" t="inlineStr">
        <is>
          <t>Termik-manyetik kompakt şalter 3x100 A, Icu 35 kA — kümes besleme (%25 müteahhit kârı dahil)</t>
        </is>
      </c>
      <c r="E33" s="12" t="inlineStr">
        <is>
          <t>ad</t>
        </is>
      </c>
      <c r="F33" s="13" t="n">
        <v>1</v>
      </c>
    </row>
    <row r="34" ht="14" customHeight="1">
      <c r="A34" s="14" t="n"/>
      <c r="B34" s="9" t="n">
        <v>3</v>
      </c>
      <c r="C34" s="10" t="inlineStr">
        <is>
          <t>30.115.1003</t>
        </is>
      </c>
      <c r="D34" s="11" t="inlineStr">
        <is>
          <t>Kaçak akım koruma şalteri 2x63 A, 30 mA (%25 müteahhit kârı dahil)</t>
        </is>
      </c>
      <c r="E34" s="12" t="inlineStr">
        <is>
          <t>ad</t>
        </is>
      </c>
      <c r="F34" s="13" t="n">
        <v>2</v>
      </c>
    </row>
    <row r="35" ht="21" customHeight="1">
      <c r="A35" s="14" t="n"/>
      <c r="B35" s="9" t="n">
        <v>4</v>
      </c>
      <c r="C35" s="10" t="inlineStr">
        <is>
          <t>30.140.3104</t>
        </is>
      </c>
      <c r="D35" s="11" t="inlineStr">
        <is>
          <t>YVV (NYY) 1 kV yeraltı kablosu ile kolon hattı tesisi — 1x25 mm² (%25 müteahhit kârı dahil)</t>
        </is>
      </c>
      <c r="E35" s="12" t="inlineStr">
        <is>
          <t>m</t>
        </is>
      </c>
      <c r="F35" s="13" t="n">
        <v>300</v>
      </c>
    </row>
    <row r="36" ht="21" customHeight="1">
      <c r="A36" s="14" t="n"/>
      <c r="B36" s="9" t="n">
        <v>5</v>
      </c>
      <c r="C36" s="10" t="inlineStr">
        <is>
          <t>30.170.1602</t>
        </is>
      </c>
      <c r="D36" s="11" t="inlineStr">
        <is>
          <t>LED sıva üstü etanj armatür (polikarbon gövdeli), ışık akısı en az 2700 lm — kümes genel aydınlatması (%25 müteahhit kârı dahil)</t>
        </is>
      </c>
      <c r="E36" s="12" t="inlineStr">
        <is>
          <t>ad</t>
        </is>
      </c>
      <c r="F36" s="13" t="n">
        <v>30</v>
      </c>
    </row>
    <row r="37" ht="21" customHeight="1">
      <c r="A37" s="14" t="n"/>
      <c r="B37" s="9" t="n">
        <v>6</v>
      </c>
      <c r="C37" s="10" t="inlineStr">
        <is>
          <t>30.170.1601</t>
        </is>
      </c>
      <c r="D37" s="11" t="inlineStr">
        <is>
          <t>LED sıva üstü etanj armatür (polikarbon gövdeli), ışık akısı en az 1800 lm — servis bölümü (%25 müteahhit kârı dahil)</t>
        </is>
      </c>
      <c r="E37" s="12" t="inlineStr">
        <is>
          <t>ad</t>
        </is>
      </c>
      <c r="F37" s="13" t="n">
        <v>2</v>
      </c>
    </row>
    <row r="38" ht="14" customHeight="1">
      <c r="A38" s="14" t="n"/>
      <c r="B38" s="9" t="n">
        <v>7</v>
      </c>
      <c r="C38" s="10" t="inlineStr">
        <is>
          <t>30.160.6102</t>
        </is>
      </c>
      <c r="D38" s="11" t="inlineStr">
        <is>
          <t>Boş boru döşemesi — 25-32 mm PVC boru (%25 müteahhit kârı dahil)</t>
        </is>
      </c>
      <c r="E38" s="12" t="inlineStr">
        <is>
          <t>m</t>
        </is>
      </c>
      <c r="F38" s="13" t="n">
        <v>500</v>
      </c>
    </row>
    <row r="39" ht="14" customHeight="1">
      <c r="A39" s="14" t="n"/>
      <c r="B39" s="9" t="n">
        <v>8</v>
      </c>
      <c r="C39" s="10" t="inlineStr">
        <is>
          <t>30.150.1402</t>
        </is>
      </c>
      <c r="D39" s="11" t="inlineStr">
        <is>
          <t>Halojensiz H07Z tipi iletken 1x2,5 mm² ile tesisat (%25 müteahhit kârı dahil)</t>
        </is>
      </c>
      <c r="E39" s="12" t="inlineStr">
        <is>
          <t>m</t>
        </is>
      </c>
      <c r="F39" s="13" t="n">
        <v>2000</v>
      </c>
    </row>
    <row r="40" ht="21" customHeight="1">
      <c r="A40" s="14" t="n"/>
      <c r="B40" s="9" t="n">
        <v>9</v>
      </c>
      <c r="C40" s="10" t="inlineStr">
        <is>
          <t>30.150.1401</t>
        </is>
      </c>
      <c r="D40" s="11" t="inlineStr">
        <is>
          <t>Halojensiz H07Z tipi iletken 1x1,5 mm² ile kumanda tesisatı (%25 müteahhit kârı dahil)</t>
        </is>
      </c>
      <c r="E40" s="12" t="inlineStr">
        <is>
          <t>m</t>
        </is>
      </c>
      <c r="F40" s="13" t="n">
        <v>600</v>
      </c>
    </row>
    <row r="41" ht="21" customHeight="1">
      <c r="A41" s="14" t="n"/>
      <c r="B41" s="9" t="n">
        <v>10</v>
      </c>
      <c r="C41" s="10" t="inlineStr">
        <is>
          <t>30.140.1105</t>
        </is>
      </c>
      <c r="D41" s="11" t="inlineStr">
        <is>
          <t>Çıplak bakır tel 25 mm² — eşpotansiyel bara ve topraklama iletkeni (%25 müteahhit kârı dahil)</t>
        </is>
      </c>
      <c r="E41" s="12" t="inlineStr">
        <is>
          <t>m</t>
        </is>
      </c>
      <c r="F41" s="13" t="n">
        <v>100</v>
      </c>
    </row>
    <row r="42" ht="21" customHeight="1">
      <c r="A42" s="14" t="n"/>
      <c r="B42" s="9" t="n">
        <v>11</v>
      </c>
      <c r="C42" s="10" t="inlineStr">
        <is>
          <t>30.750.3002</t>
        </is>
      </c>
      <c r="D42" s="11" t="inlineStr">
        <is>
          <t>Bina ihata iletkeni tesisatı — 30x3,5 mm galvanizli çelik lama (temel topraklaması) (%25 müteahhit kârı dahil)</t>
        </is>
      </c>
      <c r="E42" s="12" t="inlineStr">
        <is>
          <t>m</t>
        </is>
      </c>
      <c r="F42" s="13" t="n">
        <v>186</v>
      </c>
    </row>
    <row r="43" ht="21" customHeight="1">
      <c r="A43" s="14" t="n"/>
      <c r="B43" s="9" t="n">
        <v>12</v>
      </c>
      <c r="C43" s="10" t="inlineStr">
        <is>
          <t>30.750.1502</t>
        </is>
      </c>
      <c r="D43" s="11" t="inlineStr">
        <is>
          <t>Aktif yakalama ucu, ortalama uyarım yolu DL = 30-40 m (%25 müteahhit kârı dahil)</t>
        </is>
      </c>
      <c r="E43" s="12" t="inlineStr">
        <is>
          <t>ad</t>
        </is>
      </c>
      <c r="F43" s="13" t="n">
        <v>1</v>
      </c>
    </row>
    <row r="44" ht="21" customHeight="1">
      <c r="A44" s="14" t="n"/>
      <c r="B44" s="9" t="n">
        <v>13</v>
      </c>
      <c r="C44" s="10" t="inlineStr">
        <is>
          <t>30.750.2001</t>
        </is>
      </c>
      <c r="D44" s="11" t="inlineStr">
        <is>
          <t>Çatı ihata ve indirme iletkeni tesisatı — 50 mm² elektrolitik bakır tel (%25 müteahhit kârı dahil)</t>
        </is>
      </c>
      <c r="E44" s="12" t="inlineStr">
        <is>
          <t>m</t>
        </is>
      </c>
      <c r="F44" s="13" t="n">
        <v>16</v>
      </c>
    </row>
    <row r="45" ht="21" customHeight="1">
      <c r="A45" s="14" t="n"/>
      <c r="B45" s="9" t="n">
        <v>14</v>
      </c>
      <c r="C45" s="10" t="inlineStr">
        <is>
          <t>30.740.1106</t>
        </is>
      </c>
      <c r="D45" s="11" t="inlineStr">
        <is>
          <t>Dizel elektrojen grubu (jeneratör) 63 kVA / 50 kW — dizel motoru su veya hava ile soğuyan cinsten, 1500 d/dak (%25 müteahhit kârı dahil)</t>
        </is>
      </c>
      <c r="E45" s="12" t="inlineStr">
        <is>
          <t>ad</t>
        </is>
      </c>
      <c r="F45" s="13" t="n">
        <v>1</v>
      </c>
    </row>
    <row r="46" ht="14" customHeight="1">
      <c r="A46" s="14" t="n"/>
      <c r="B46" s="9" t="n">
        <v>15</v>
      </c>
      <c r="C46" s="10" t="inlineStr">
        <is>
          <t>30.740.5406</t>
        </is>
      </c>
      <c r="D46" s="11" t="inlineStr">
        <is>
          <t>Jeneratör ses izolasyon kabini — 63 kVA (%25 müteahhit kârı dahil)</t>
        </is>
      </c>
      <c r="E46" s="12" t="inlineStr">
        <is>
          <t>ad</t>
        </is>
      </c>
      <c r="F46" s="13" t="n">
        <v>1</v>
      </c>
    </row>
    <row r="47" ht="14" customHeight="1">
      <c r="A47" s="14" t="n"/>
      <c r="B47" s="9" t="n">
        <v>16</v>
      </c>
      <c r="C47" s="10" t="inlineStr">
        <is>
          <t>30.120.2016</t>
        </is>
      </c>
      <c r="D47" s="11" t="inlineStr">
        <is>
          <t>Otomatik transfer şalteri 4 x 200 A (%25 müteahhit kârı dahil)</t>
        </is>
      </c>
      <c r="E47" s="12" t="inlineStr">
        <is>
          <t>ad</t>
        </is>
      </c>
      <c r="F47" s="13" t="n">
        <v>1</v>
      </c>
    </row>
    <row r="48" ht="21" customHeight="1">
      <c r="A48" s="14" t="n"/>
      <c r="B48" s="9" t="n">
        <v>17</v>
      </c>
      <c r="C48" s="10" t="inlineStr">
        <is>
          <t>35.190.1100</t>
        </is>
      </c>
      <c r="D48" s="11" t="inlineStr">
        <is>
          <t>Kablo tava sistemleri — 200x60x1,0 mm sıcak daldırma galvanizli perfore kablo tavası (malzeme) (%25 müteahhit kârı dahil)</t>
        </is>
      </c>
      <c r="E48" s="12" t="inlineStr">
        <is>
          <t>kg</t>
        </is>
      </c>
      <c r="F48" s="13" t="n">
        <v>502</v>
      </c>
    </row>
    <row r="49" ht="31.5" customHeight="1">
      <c r="A49" s="14" t="n"/>
      <c r="B49" s="9" t="n">
        <v>18</v>
      </c>
      <c r="C49" s="16" t="inlineStr">
        <is>
          <t>35.190.1100 (montaj)</t>
        </is>
      </c>
      <c r="D49" s="11" t="inlineStr">
        <is>
          <t>Kablo tava sistemlerinin montajı — askı ve konsollarla tavana veya duvara tespiti; ek parça, konsol, askı tiji, vida ve somun bedelleri dâhildir, ayrıca ödenmez</t>
        </is>
      </c>
      <c r="E49" s="12" t="inlineStr">
        <is>
          <t>kg</t>
        </is>
      </c>
      <c r="F49" s="13" t="n">
        <v>502</v>
      </c>
    </row>
    <row r="50" ht="21" customHeight="1">
      <c r="A50" s="14" t="n"/>
      <c r="B50" s="9" t="n">
        <v>19</v>
      </c>
      <c r="C50" s="10" t="inlineStr">
        <is>
          <t>35.190.1101</t>
        </is>
      </c>
      <c r="D50" s="11" t="inlineStr">
        <is>
          <t>Kablo tava sistemleri kapak sacı — 35.190.1100 pozuna uygun özellikte, 1,0 mm sıcak daldırma galvanizli (malzeme) (%25 müteahhit kârı dahil)</t>
        </is>
      </c>
      <c r="E50" s="12" t="inlineStr">
        <is>
          <t>kg</t>
        </is>
      </c>
      <c r="F50" s="13" t="n">
        <v>361.2</v>
      </c>
    </row>
    <row r="51" ht="21" customHeight="1">
      <c r="A51" s="14" t="n"/>
      <c r="B51" s="9" t="n">
        <v>20</v>
      </c>
      <c r="C51" s="16" t="inlineStr">
        <is>
          <t>35.190.1101 (montaj)</t>
        </is>
      </c>
      <c r="D51" s="11" t="inlineStr">
        <is>
          <t>Kablo tava sistemleri kapak sacının montajı — onaylı projesinde belirtilen kanalların kapatılması; her türlü işçilik ve malzeme dâhil, işler hâlde teslim</t>
        </is>
      </c>
      <c r="E51" s="12" t="inlineStr">
        <is>
          <t>kg</t>
        </is>
      </c>
      <c r="F51" s="13" t="n">
        <v>361.2</v>
      </c>
    </row>
    <row r="52" ht="21" customHeight="1">
      <c r="A52" s="15" t="n"/>
      <c r="B52" s="9" t="n">
        <v>21</v>
      </c>
      <c r="C52" s="10" t="inlineStr">
        <is>
          <t>30.190.1304</t>
        </is>
      </c>
      <c r="D52" s="11" t="inlineStr">
        <is>
          <t>Sıva üstü PVC kablo kanalı — en az 100 x 35 mm, üç bölmeli (%25 müteahhit kârı dahil)</t>
        </is>
      </c>
      <c r="E52" s="12" t="inlineStr">
        <is>
          <t>m</t>
        </is>
      </c>
      <c r="F52" s="13" t="n">
        <v>123</v>
      </c>
    </row>
    <row r="53"/>
    <row r="54" ht="20" customHeight="1">
      <c r="A54" s="4" t="inlineStr">
        <is>
          <t>&lt; Kümes B Blok &gt;   —   inşaat alanı 1.106.00 m²</t>
        </is>
      </c>
    </row>
    <row r="55" ht="24" customHeight="1">
      <c r="A55" s="5" t="inlineStr">
        <is>
          <t>A blok ile geometrik olarak birebir aynıdır.</t>
        </is>
      </c>
      <c r="B55" s="6" t="n"/>
      <c r="C55" s="6" t="n"/>
      <c r="D55" s="6" t="n"/>
      <c r="E55" s="6" t="n"/>
      <c r="F55" s="6" t="n"/>
    </row>
    <row r="56" ht="28" customHeight="1">
      <c r="A56" s="7" t="inlineStr">
        <is>
          <t>Uygun Harcama Kaleminin EK-1'de yer alan adı</t>
        </is>
      </c>
      <c r="B56" s="7" t="inlineStr">
        <is>
          <t>No</t>
        </is>
      </c>
      <c r="C56" s="7" t="inlineStr">
        <is>
          <t>Poz No</t>
        </is>
      </c>
      <c r="D56" s="7" t="inlineStr">
        <is>
          <t>Yapım İşinin Adı</t>
        </is>
      </c>
      <c r="E56" s="7" t="inlineStr">
        <is>
          <t>Birimi</t>
        </is>
      </c>
      <c r="F56" s="7" t="inlineStr">
        <is>
          <t>Miktarı</t>
        </is>
      </c>
    </row>
    <row r="57" ht="14" customHeight="1">
      <c r="A57" s="8" t="inlineStr">
        <is>
          <t>Kazı, dolgu ve reglaj işleri</t>
        </is>
      </c>
      <c r="B57" s="9" t="n">
        <v>1</v>
      </c>
      <c r="C57" s="10" t="inlineStr">
        <is>
          <t>15.120.1001</t>
        </is>
      </c>
      <c r="D57" s="11" t="inlineStr">
        <is>
          <t>Makine ile yumuşak ve sert toprak kazılması</t>
        </is>
      </c>
      <c r="E57" s="12" t="inlineStr">
        <is>
          <t>m³</t>
        </is>
      </c>
      <c r="F57" s="13" t="n">
        <v>1684.385</v>
      </c>
    </row>
    <row r="58" ht="31.5" customHeight="1">
      <c r="A58" s="8" t="inlineStr">
        <is>
          <t>Beton işleri</t>
        </is>
      </c>
      <c r="B58" s="9" t="n">
        <v>1</v>
      </c>
      <c r="C58" s="10" t="inlineStr">
        <is>
          <t>15.150.1003</t>
        </is>
      </c>
      <c r="D58" s="11" t="inlineStr">
        <is>
          <t>Beton santralinde üretilen veya satın alınan ve beton pompasıyla basılan, C 16/20 basınç dayanım sınıfında, gri renkte, normal hazır beton dökülmesi (beton nakli dahil)</t>
        </is>
      </c>
      <c r="E58" s="12" t="inlineStr">
        <is>
          <t>m³</t>
        </is>
      </c>
      <c r="F58" s="13" t="n">
        <v>31.429</v>
      </c>
    </row>
    <row r="59" ht="31.5" customHeight="1">
      <c r="A59" s="8" t="inlineStr">
        <is>
          <t>Betonarme işleri</t>
        </is>
      </c>
      <c r="B59" s="9" t="n">
        <v>1</v>
      </c>
      <c r="C59" s="10" t="inlineStr">
        <is>
          <t>15.150.1005</t>
        </is>
      </c>
      <c r="D59" s="11" t="inlineStr">
        <is>
          <t>Beton santralinde üretilen veya satın alınan ve beton pompasıyla basılan, C 25/30 basınç dayanım sınıfında, gri renkte, normal hazır beton dökülmesi (beton nakli dahil)</t>
        </is>
      </c>
      <c r="E59" s="12" t="inlineStr">
        <is>
          <t>m³</t>
        </is>
      </c>
      <c r="F59" s="13" t="n">
        <v>278.34</v>
      </c>
    </row>
    <row r="60" ht="14" customHeight="1">
      <c r="A60" s="8" t="inlineStr">
        <is>
          <t>Kalıp, yapı iskelesi işleri</t>
        </is>
      </c>
      <c r="B60" s="9" t="n">
        <v>1</v>
      </c>
      <c r="C60" s="10" t="inlineStr">
        <is>
          <t>15.180.1003</t>
        </is>
      </c>
      <c r="D60" s="11" t="inlineStr">
        <is>
          <t>Plywood ile düz yüzeyli betonarme kalıbı yapılması</t>
        </is>
      </c>
      <c r="E60" s="12" t="inlineStr">
        <is>
          <t>m²</t>
        </is>
      </c>
      <c r="F60" s="13" t="n">
        <v>551.26</v>
      </c>
    </row>
    <row r="61" ht="21" customHeight="1">
      <c r="A61" s="8" t="inlineStr">
        <is>
          <t>Demir-inşaat işleri</t>
        </is>
      </c>
      <c r="B61" s="9" t="n">
        <v>1</v>
      </c>
      <c r="C61" s="10" t="inlineStr">
        <is>
          <t>15.160.1003</t>
        </is>
      </c>
      <c r="D61" s="11" t="inlineStr">
        <is>
          <t>Ø 8 - Ø 12 mm nervürlü beton çelik çubuğu, çubukların kesilmesi, bükülmesi ve yerine konulması</t>
        </is>
      </c>
      <c r="E61" s="12" t="inlineStr">
        <is>
          <t>ton</t>
        </is>
      </c>
      <c r="F61" s="13" t="n">
        <v>4.16</v>
      </c>
    </row>
    <row r="62" ht="21" customHeight="1">
      <c r="A62" s="14" t="n"/>
      <c r="B62" s="9" t="n">
        <v>2</v>
      </c>
      <c r="C62" s="10" t="inlineStr">
        <is>
          <t>15.160.1004</t>
        </is>
      </c>
      <c r="D62" s="11" t="inlineStr">
        <is>
          <t>Ø 14 - Ø 28 mm nervürlü beton çelik çubuğu, çubukların kesilmesi, bükülmesi ve yerine konulması</t>
        </is>
      </c>
      <c r="E62" s="12" t="inlineStr">
        <is>
          <t>ton</t>
        </is>
      </c>
      <c r="F62" s="13" t="n">
        <v>7.288</v>
      </c>
    </row>
    <row r="63" ht="14" customHeight="1">
      <c r="A63" s="15" t="n"/>
      <c r="B63" s="9" t="n">
        <v>3</v>
      </c>
      <c r="C63" s="10" t="inlineStr">
        <is>
          <t>15.160.1002</t>
        </is>
      </c>
      <c r="D63" s="11" t="inlineStr">
        <is>
          <t>Nervürlü çelik hasırın yerine konulması</t>
        </is>
      </c>
      <c r="E63" s="12" t="inlineStr">
        <is>
          <t>ton</t>
        </is>
      </c>
      <c r="F63" s="13" t="n">
        <v>3.637</v>
      </c>
    </row>
    <row r="64" ht="21" customHeight="1">
      <c r="A64" s="8" t="inlineStr">
        <is>
          <t>Çelik yapım-imalat işleri</t>
        </is>
      </c>
      <c r="B64" s="9" t="n">
        <v>1</v>
      </c>
      <c r="C64" s="10" t="inlineStr">
        <is>
          <t>15.165.1003</t>
        </is>
      </c>
      <c r="D64" s="11" t="inlineStr">
        <is>
          <t>Her çeşit profil, çelik çubuk ve çelik saclarla karkas (çerçeve) inşaat yapılması, yerine tespiti (boya bedeli hariç)</t>
        </is>
      </c>
      <c r="E64" s="12" t="inlineStr">
        <is>
          <t>ton</t>
        </is>
      </c>
      <c r="F64" s="13" t="n">
        <v>44.048</v>
      </c>
    </row>
    <row r="65" ht="14" customHeight="1">
      <c r="A65" s="15" t="n"/>
      <c r="B65" s="9" t="n">
        <v>2</v>
      </c>
      <c r="C65" s="10" t="inlineStr">
        <is>
          <t>15.550.1202</t>
        </is>
      </c>
      <c r="D65" s="11" t="inlineStr">
        <is>
          <t>Lama ve profil demirlerden çeşitli demir işleri yapılması ve yerine konulması</t>
        </is>
      </c>
      <c r="E65" s="12" t="inlineStr">
        <is>
          <t>kg</t>
        </is>
      </c>
      <c r="F65" s="13" t="n">
        <v>674</v>
      </c>
    </row>
    <row r="66" ht="21" customHeight="1">
      <c r="A66" s="8" t="inlineStr">
        <is>
          <t>Tuğla ve duvar işleri</t>
        </is>
      </c>
      <c r="B66" s="9" t="n">
        <v>1</v>
      </c>
      <c r="C66" s="10" t="inlineStr">
        <is>
          <t>15.225.1010</t>
        </is>
      </c>
      <c r="D66" s="11" t="inlineStr">
        <is>
          <t>20 cm kalınlığındaki teçhizatsız gazbeton duvar blokları ile duvar yapılması (gazbeton tutkalı ile)</t>
        </is>
      </c>
      <c r="E66" s="12" t="inlineStr">
        <is>
          <t>m²</t>
        </is>
      </c>
      <c r="F66" s="13" t="n">
        <v>507.91</v>
      </c>
    </row>
    <row r="67" ht="14" customHeight="1">
      <c r="A67" s="14" t="n"/>
      <c r="B67" s="9" t="n">
        <v>2</v>
      </c>
      <c r="C67" s="10" t="inlineStr">
        <is>
          <t>15.225.1410</t>
        </is>
      </c>
      <c r="D67" s="11" t="inlineStr">
        <is>
          <t>20 cm kalınlığındaki teçhizatlı gazbeton lento temini ve yerine konulması</t>
        </is>
      </c>
      <c r="E67" s="12" t="inlineStr">
        <is>
          <t>m²</t>
        </is>
      </c>
      <c r="F67" s="13" t="n">
        <v>49.85</v>
      </c>
    </row>
    <row r="68" ht="21" customHeight="1">
      <c r="A68" s="15" t="n"/>
      <c r="B68" s="9" t="n">
        <v>3</v>
      </c>
      <c r="C68" s="10" t="inlineStr">
        <is>
          <t>15.225.1004</t>
        </is>
      </c>
      <c r="D68" s="11" t="inlineStr">
        <is>
          <t>10 cm kalınlığındaki teçhizatsız gazbeton duvar blokları ile duvar yapılması (gazbeton tutkalı ile)</t>
        </is>
      </c>
      <c r="E68" s="12" t="inlineStr">
        <is>
          <t>m²</t>
        </is>
      </c>
      <c r="F68" s="13" t="n">
        <v>45</v>
      </c>
    </row>
    <row r="69" ht="21" customHeight="1">
      <c r="A69" s="8" t="inlineStr">
        <is>
          <t>Çatı ve sundurma işleri</t>
        </is>
      </c>
      <c r="B69" s="9" t="n">
        <v>1</v>
      </c>
      <c r="C69" s="10" t="inlineStr">
        <is>
          <t>TKDK-0042</t>
        </is>
      </c>
      <c r="D69" s="11" t="inlineStr">
        <is>
          <t>6 cm poliüretan dolgulu (üst min. 0,40 mm, alt min. 0,30 mm) boyalı galvanizli sac levhalar ile ısı yalıtımlı çatı kaplaması yapılması</t>
        </is>
      </c>
      <c r="E69" s="12" t="inlineStr">
        <is>
          <t>m²</t>
        </is>
      </c>
      <c r="F69" s="13" t="n">
        <v>1204.98</v>
      </c>
    </row>
    <row r="70" ht="14" customHeight="1">
      <c r="A70" s="14" t="n"/>
      <c r="B70" s="9" t="n">
        <v>2</v>
      </c>
      <c r="C70" s="10" t="inlineStr">
        <is>
          <t>TKDK-0115</t>
        </is>
      </c>
      <c r="D70" s="11" t="inlineStr">
        <is>
          <t>Galvanizli düz sacdan yağmur oluğu veya iniş borusu yapılması</t>
        </is>
      </c>
      <c r="E70" s="12" t="inlineStr">
        <is>
          <t>kg</t>
        </is>
      </c>
      <c r="F70" s="13" t="n">
        <v>319.2</v>
      </c>
    </row>
    <row r="71" ht="14" customHeight="1">
      <c r="A71" s="15" t="n"/>
      <c r="B71" s="9" t="n">
        <v>3</v>
      </c>
      <c r="C71" s="10" t="inlineStr">
        <is>
          <t>15.315.1001</t>
        </is>
      </c>
      <c r="D71" s="11" t="inlineStr">
        <is>
          <t>Ø 70 mm çapında bir ucu muflu sert PVC yağmur borusu temini ve yerine tesbiti</t>
        </is>
      </c>
      <c r="E71" s="12" t="inlineStr">
        <is>
          <t>m</t>
        </is>
      </c>
      <c r="F71" s="13" t="n">
        <v>51.2</v>
      </c>
    </row>
    <row r="72" ht="21" customHeight="1">
      <c r="A72" s="8" t="inlineStr">
        <is>
          <t>Doğramacılık işleri (Demir, Alüminyum, PVC, Kompozit)</t>
        </is>
      </c>
      <c r="B72" s="9" t="n">
        <v>1</v>
      </c>
      <c r="C72" s="10" t="inlineStr">
        <is>
          <t>TKDK-0151</t>
        </is>
      </c>
      <c r="D72" s="11" t="inlineStr">
        <is>
          <t>5 cm poliüretan dolgulu (üst 0,50 mm düz, alt 0,40 mm düz) fabrikasyon rulo boyama sistemi ile boyanmış galvaniz levhalar ile ısı yalıtımlı kapı yapılması</t>
        </is>
      </c>
      <c r="E72" s="12" t="inlineStr">
        <is>
          <t>m²</t>
        </is>
      </c>
      <c r="F72" s="13" t="n">
        <v>13.4</v>
      </c>
    </row>
    <row r="73" ht="21" customHeight="1">
      <c r="A73" s="14" t="n"/>
      <c r="B73" s="9" t="n">
        <v>2</v>
      </c>
      <c r="C73" s="10" t="inlineStr">
        <is>
          <t>TKDK-0175</t>
        </is>
      </c>
      <c r="D73" s="11" t="inlineStr">
        <is>
          <t>PVC kaplamalı, iki yüzü odun lifinden yapılmış levhalarla (MDF) presli, kraft dolgulu iç kapı kanadı yapılması, yerinde takılması</t>
        </is>
      </c>
      <c r="E73" s="12" t="inlineStr">
        <is>
          <t>m²</t>
        </is>
      </c>
      <c r="F73" s="13" t="n">
        <v>5.67</v>
      </c>
    </row>
    <row r="74" ht="21" customHeight="1">
      <c r="A74" s="15" t="n"/>
      <c r="B74" s="9" t="n">
        <v>3</v>
      </c>
      <c r="C74" s="10" t="inlineStr">
        <is>
          <t>15.550.1002</t>
        </is>
      </c>
      <c r="D74" s="11" t="inlineStr">
        <is>
          <t>1,50 mm kalınlığında sıcak haddelenmiş sacdan bükme kapı kasası yapılması ve yerine konulması</t>
        </is>
      </c>
      <c r="E74" s="12" t="inlineStr">
        <is>
          <t>kg</t>
        </is>
      </c>
      <c r="F74" s="13" t="n">
        <v>54.315</v>
      </c>
    </row>
    <row r="75" ht="14" customHeight="1">
      <c r="A75" s="8" t="inlineStr">
        <is>
          <t>Sıva, alçı, derz ve şap işleri</t>
        </is>
      </c>
      <c r="B75" s="9" t="n">
        <v>1</v>
      </c>
      <c r="C75" s="10" t="inlineStr">
        <is>
          <t>15.275.1116</t>
        </is>
      </c>
      <c r="D75" s="11" t="inlineStr">
        <is>
          <t>250 kg çimento dozlu harç ile kaba sıva yapılması</t>
        </is>
      </c>
      <c r="E75" s="12" t="inlineStr">
        <is>
          <t>m²</t>
        </is>
      </c>
      <c r="F75" s="13" t="n">
        <v>557.76</v>
      </c>
    </row>
    <row r="76" ht="14" customHeight="1">
      <c r="A76" s="15" t="n"/>
      <c r="B76" s="9" t="n">
        <v>2</v>
      </c>
      <c r="C76" s="10" t="inlineStr">
        <is>
          <t>15.275.1117</t>
        </is>
      </c>
      <c r="D76" s="11" t="inlineStr">
        <is>
          <t>200 kg çimento ve kireç karışımı harç ile kaba sıva yapılması (iç cephe)</t>
        </is>
      </c>
      <c r="E76" s="12" t="inlineStr">
        <is>
          <t>m²</t>
        </is>
      </c>
      <c r="F76" s="13" t="n">
        <v>647.76</v>
      </c>
    </row>
    <row r="77" ht="21" customHeight="1">
      <c r="A77" s="8" t="inlineStr">
        <is>
          <t>Boya, badana ve cila işleri</t>
        </is>
      </c>
      <c r="B77" s="9" t="n">
        <v>1</v>
      </c>
      <c r="C77" s="10" t="inlineStr">
        <is>
          <t>15.540.1606</t>
        </is>
      </c>
      <c r="D77" s="11" t="inlineStr">
        <is>
          <t>Brüt beton, sıvalı veya eski boyalı yüzeylere astar uygulanarak silikon esaslı su bazlı dış cephe boyası yapılması</t>
        </is>
      </c>
      <c r="E77" s="12" t="inlineStr">
        <is>
          <t>m²</t>
        </is>
      </c>
      <c r="F77" s="13" t="n">
        <v>557.76</v>
      </c>
    </row>
    <row r="78" ht="21" customHeight="1">
      <c r="A78" s="15" t="n"/>
      <c r="B78" s="9" t="n">
        <v>2</v>
      </c>
      <c r="C78" s="10" t="inlineStr">
        <is>
          <t>15.540.1537</t>
        </is>
      </c>
      <c r="D78" s="11" t="inlineStr">
        <is>
          <t>Yeni sıva yüzeylere astar uygulanarak iki kat su bazlı plastik antibakteriyel iç cephe boyası yapılması</t>
        </is>
      </c>
      <c r="E78" s="12" t="inlineStr">
        <is>
          <t>m²</t>
        </is>
      </c>
      <c r="F78" s="13" t="n">
        <v>612.76</v>
      </c>
    </row>
    <row r="79" ht="31.5" customHeight="1">
      <c r="A79" s="8" t="inlineStr">
        <is>
          <t>İnce yapı ve tamamlayıcı imalatlar</t>
        </is>
      </c>
      <c r="B79" s="9" t="n">
        <v>1</v>
      </c>
      <c r="C79" s="10" t="inlineStr">
        <is>
          <t>TKDK-0177</t>
        </is>
      </c>
      <c r="D79" s="11" t="inlineStr">
        <is>
          <t>(25x70 - 25x75 - 40x80 cm) anma ebatlarında, her türlü desen ve yüzey özelliğinde, renkli duvar karosu ile 3 mm derz aralıklı döşeme, duvar ve cephe kaplaması yapılması (karo yapıştırıcısı ile)</t>
        </is>
      </c>
      <c r="E79" s="12" t="inlineStr">
        <is>
          <t>m²</t>
        </is>
      </c>
      <c r="F79" s="13" t="n">
        <v>60</v>
      </c>
    </row>
    <row r="80" ht="21" customHeight="1">
      <c r="A80" s="8" t="inlineStr">
        <is>
          <t>Kanalizasyon işleri</t>
        </is>
      </c>
      <c r="B80" s="9" t="n">
        <v>1</v>
      </c>
      <c r="C80" s="10" t="inlineStr">
        <is>
          <t>43.527.1001</t>
        </is>
      </c>
      <c r="D80" s="11" t="inlineStr">
        <is>
          <t>Çapı 150 mm HDPE koruge boru döşenmesi (SN 8, lastik conta ve boru bedeli dahil)</t>
        </is>
      </c>
      <c r="E80" s="12" t="inlineStr">
        <is>
          <t>m</t>
        </is>
      </c>
      <c r="F80" s="13" t="n">
        <v>25</v>
      </c>
    </row>
    <row r="81" ht="21" customHeight="1">
      <c r="A81" s="8" t="inlineStr">
        <is>
          <t>Elektrik tesisatı ve aydınlatma</t>
        </is>
      </c>
      <c r="B81" s="9" t="n">
        <v>1</v>
      </c>
      <c r="C81" s="10" t="inlineStr">
        <is>
          <t>30.100.2105</t>
        </is>
      </c>
      <c r="D81" s="11" t="inlineStr">
        <is>
          <t>Kümes dağıtım panosu (sıva üstü galvanizli sac tablo, 0,40-0,50 m²) (%25 müteahhit kârı dahil)</t>
        </is>
      </c>
      <c r="E81" s="12" t="inlineStr">
        <is>
          <t>ad</t>
        </is>
      </c>
      <c r="F81" s="13" t="n">
        <v>1</v>
      </c>
    </row>
    <row r="82" ht="21" customHeight="1">
      <c r="A82" s="14" t="n"/>
      <c r="B82" s="9" t="n">
        <v>2</v>
      </c>
      <c r="C82" s="10" t="inlineStr">
        <is>
          <t>30.110.1102</t>
        </is>
      </c>
      <c r="D82" s="11" t="inlineStr">
        <is>
          <t>Termik-manyetik kompakt şalter 3x100 A, Icu 35 kA — kümes besleme (%25 müteahhit kârı dahil)</t>
        </is>
      </c>
      <c r="E82" s="12" t="inlineStr">
        <is>
          <t>ad</t>
        </is>
      </c>
      <c r="F82" s="13" t="n">
        <v>1</v>
      </c>
    </row>
    <row r="83" ht="14" customHeight="1">
      <c r="A83" s="14" t="n"/>
      <c r="B83" s="9" t="n">
        <v>3</v>
      </c>
      <c r="C83" s="10" t="inlineStr">
        <is>
          <t>30.115.1003</t>
        </is>
      </c>
      <c r="D83" s="11" t="inlineStr">
        <is>
          <t>Kaçak akım koruma şalteri 2x63 A, 30 mA (%25 müteahhit kârı dahil)</t>
        </is>
      </c>
      <c r="E83" s="12" t="inlineStr">
        <is>
          <t>ad</t>
        </is>
      </c>
      <c r="F83" s="13" t="n">
        <v>2</v>
      </c>
    </row>
    <row r="84" ht="21" customHeight="1">
      <c r="A84" s="14" t="n"/>
      <c r="B84" s="9" t="n">
        <v>4</v>
      </c>
      <c r="C84" s="10" t="inlineStr">
        <is>
          <t>30.140.3104</t>
        </is>
      </c>
      <c r="D84" s="11" t="inlineStr">
        <is>
          <t>YVV (NYY) 1 kV yeraltı kablosu ile kolon hattı tesisi — 1x25 mm² (%25 müteahhit kârı dahil)</t>
        </is>
      </c>
      <c r="E84" s="12" t="inlineStr">
        <is>
          <t>m</t>
        </is>
      </c>
      <c r="F84" s="13" t="n">
        <v>300</v>
      </c>
    </row>
    <row r="85" ht="21" customHeight="1">
      <c r="A85" s="14" t="n"/>
      <c r="B85" s="9" t="n">
        <v>5</v>
      </c>
      <c r="C85" s="10" t="inlineStr">
        <is>
          <t>30.170.1602</t>
        </is>
      </c>
      <c r="D85" s="11" t="inlineStr">
        <is>
          <t>LED sıva üstü etanj armatür (polikarbon gövdeli), ışık akısı en az 2700 lm — kümes genel aydınlatması (%25 müteahhit kârı dahil)</t>
        </is>
      </c>
      <c r="E85" s="12" t="inlineStr">
        <is>
          <t>ad</t>
        </is>
      </c>
      <c r="F85" s="13" t="n">
        <v>30</v>
      </c>
    </row>
    <row r="86" ht="21" customHeight="1">
      <c r="A86" s="14" t="n"/>
      <c r="B86" s="9" t="n">
        <v>6</v>
      </c>
      <c r="C86" s="10" t="inlineStr">
        <is>
          <t>30.170.1601</t>
        </is>
      </c>
      <c r="D86" s="11" t="inlineStr">
        <is>
          <t>LED sıva üstü etanj armatür (polikarbon gövdeli), ışık akısı en az 1800 lm — servis bölümü (%25 müteahhit kârı dahil)</t>
        </is>
      </c>
      <c r="E86" s="12" t="inlineStr">
        <is>
          <t>ad</t>
        </is>
      </c>
      <c r="F86" s="13" t="n">
        <v>2</v>
      </c>
    </row>
    <row r="87" ht="14" customHeight="1">
      <c r="A87" s="14" t="n"/>
      <c r="B87" s="9" t="n">
        <v>7</v>
      </c>
      <c r="C87" s="10" t="inlineStr">
        <is>
          <t>30.160.6102</t>
        </is>
      </c>
      <c r="D87" s="11" t="inlineStr">
        <is>
          <t>Boş boru döşemesi — 25-32 mm PVC boru (%25 müteahhit kârı dahil)</t>
        </is>
      </c>
      <c r="E87" s="12" t="inlineStr">
        <is>
          <t>m</t>
        </is>
      </c>
      <c r="F87" s="13" t="n">
        <v>500</v>
      </c>
    </row>
    <row r="88" ht="14" customHeight="1">
      <c r="A88" s="14" t="n"/>
      <c r="B88" s="9" t="n">
        <v>8</v>
      </c>
      <c r="C88" s="10" t="inlineStr">
        <is>
          <t>30.150.1402</t>
        </is>
      </c>
      <c r="D88" s="11" t="inlineStr">
        <is>
          <t>Halojensiz H07Z tipi iletken 1x2,5 mm² ile tesisat (%25 müteahhit kârı dahil)</t>
        </is>
      </c>
      <c r="E88" s="12" t="inlineStr">
        <is>
          <t>m</t>
        </is>
      </c>
      <c r="F88" s="13" t="n">
        <v>2000</v>
      </c>
    </row>
    <row r="89" ht="21" customHeight="1">
      <c r="A89" s="14" t="n"/>
      <c r="B89" s="9" t="n">
        <v>9</v>
      </c>
      <c r="C89" s="10" t="inlineStr">
        <is>
          <t>30.150.1401</t>
        </is>
      </c>
      <c r="D89" s="11" t="inlineStr">
        <is>
          <t>Halojensiz H07Z tipi iletken 1x1,5 mm² ile kumanda tesisatı (%25 müteahhit kârı dahil)</t>
        </is>
      </c>
      <c r="E89" s="12" t="inlineStr">
        <is>
          <t>m</t>
        </is>
      </c>
      <c r="F89" s="13" t="n">
        <v>600</v>
      </c>
    </row>
    <row r="90" ht="21" customHeight="1">
      <c r="A90" s="14" t="n"/>
      <c r="B90" s="9" t="n">
        <v>10</v>
      </c>
      <c r="C90" s="10" t="inlineStr">
        <is>
          <t>30.140.1105</t>
        </is>
      </c>
      <c r="D90" s="11" t="inlineStr">
        <is>
          <t>Çıplak bakır tel 25 mm² — eşpotansiyel bara ve topraklama iletkeni (%25 müteahhit kârı dahil)</t>
        </is>
      </c>
      <c r="E90" s="12" t="inlineStr">
        <is>
          <t>m</t>
        </is>
      </c>
      <c r="F90" s="13" t="n">
        <v>100</v>
      </c>
    </row>
    <row r="91" ht="21" customHeight="1">
      <c r="A91" s="14" t="n"/>
      <c r="B91" s="9" t="n">
        <v>11</v>
      </c>
      <c r="C91" s="10" t="inlineStr">
        <is>
          <t>30.750.3002</t>
        </is>
      </c>
      <c r="D91" s="11" t="inlineStr">
        <is>
          <t>Bina ihata iletkeni tesisatı — 30x3,5 mm galvanizli çelik lama (temel topraklaması) (%25 müteahhit kârı dahil)</t>
        </is>
      </c>
      <c r="E91" s="12" t="inlineStr">
        <is>
          <t>m</t>
        </is>
      </c>
      <c r="F91" s="13" t="n">
        <v>186</v>
      </c>
    </row>
    <row r="92" ht="21" customHeight="1">
      <c r="A92" s="14" t="n"/>
      <c r="B92" s="9" t="n">
        <v>12</v>
      </c>
      <c r="C92" s="10" t="inlineStr">
        <is>
          <t>30.750.1502</t>
        </is>
      </c>
      <c r="D92" s="11" t="inlineStr">
        <is>
          <t>Aktif yakalama ucu, ortalama uyarım yolu DL = 30-40 m (%25 müteahhit kârı dahil)</t>
        </is>
      </c>
      <c r="E92" s="12" t="inlineStr">
        <is>
          <t>ad</t>
        </is>
      </c>
      <c r="F92" s="13" t="n">
        <v>1</v>
      </c>
    </row>
    <row r="93" ht="21" customHeight="1">
      <c r="A93" s="14" t="n"/>
      <c r="B93" s="9" t="n">
        <v>13</v>
      </c>
      <c r="C93" s="10" t="inlineStr">
        <is>
          <t>30.750.2001</t>
        </is>
      </c>
      <c r="D93" s="11" t="inlineStr">
        <is>
          <t>Çatı ihata ve indirme iletkeni tesisatı — 50 mm² elektrolitik bakır tel (%25 müteahhit kârı dahil)</t>
        </is>
      </c>
      <c r="E93" s="12" t="inlineStr">
        <is>
          <t>m</t>
        </is>
      </c>
      <c r="F93" s="13" t="n">
        <v>16</v>
      </c>
    </row>
    <row r="94" ht="21" customHeight="1">
      <c r="A94" s="14" t="n"/>
      <c r="B94" s="9" t="n">
        <v>14</v>
      </c>
      <c r="C94" s="10" t="inlineStr">
        <is>
          <t>30.740.1106</t>
        </is>
      </c>
      <c r="D94" s="11" t="inlineStr">
        <is>
          <t>Dizel elektrojen grubu (jeneratör) 63 kVA / 50 kW — dizel motoru su veya hava ile soğuyan cinsten, 1500 d/dak (%25 müteahhit kârı dahil)</t>
        </is>
      </c>
      <c r="E94" s="12" t="inlineStr">
        <is>
          <t>ad</t>
        </is>
      </c>
      <c r="F94" s="13" t="n">
        <v>1</v>
      </c>
    </row>
    <row r="95" ht="14" customHeight="1">
      <c r="A95" s="14" t="n"/>
      <c r="B95" s="9" t="n">
        <v>15</v>
      </c>
      <c r="C95" s="10" t="inlineStr">
        <is>
          <t>30.740.5406</t>
        </is>
      </c>
      <c r="D95" s="11" t="inlineStr">
        <is>
          <t>Jeneratör ses izolasyon kabini — 63 kVA (%25 müteahhit kârı dahil)</t>
        </is>
      </c>
      <c r="E95" s="12" t="inlineStr">
        <is>
          <t>ad</t>
        </is>
      </c>
      <c r="F95" s="13" t="n">
        <v>1</v>
      </c>
    </row>
    <row r="96" ht="14" customHeight="1">
      <c r="A96" s="14" t="n"/>
      <c r="B96" s="9" t="n">
        <v>16</v>
      </c>
      <c r="C96" s="10" t="inlineStr">
        <is>
          <t>30.120.2016</t>
        </is>
      </c>
      <c r="D96" s="11" t="inlineStr">
        <is>
          <t>Otomatik transfer şalteri 4 x 200 A (%25 müteahhit kârı dahil)</t>
        </is>
      </c>
      <c r="E96" s="12" t="inlineStr">
        <is>
          <t>ad</t>
        </is>
      </c>
      <c r="F96" s="13" t="n">
        <v>1</v>
      </c>
    </row>
    <row r="97" ht="21" customHeight="1">
      <c r="A97" s="14" t="n"/>
      <c r="B97" s="9" t="n">
        <v>17</v>
      </c>
      <c r="C97" s="10" t="inlineStr">
        <is>
          <t>35.190.1100</t>
        </is>
      </c>
      <c r="D97" s="11" t="inlineStr">
        <is>
          <t>Kablo tava sistemleri — 200x60x1,0 mm sıcak daldırma galvanizli perfore kablo tavası (malzeme) (%25 müteahhit kârı dahil)</t>
        </is>
      </c>
      <c r="E97" s="12" t="inlineStr">
        <is>
          <t>kg</t>
        </is>
      </c>
      <c r="F97" s="13" t="n">
        <v>502</v>
      </c>
    </row>
    <row r="98" ht="31.5" customHeight="1">
      <c r="A98" s="14" t="n"/>
      <c r="B98" s="9" t="n">
        <v>18</v>
      </c>
      <c r="C98" s="16" t="inlineStr">
        <is>
          <t>35.190.1100 (montaj)</t>
        </is>
      </c>
      <c r="D98" s="11" t="inlineStr">
        <is>
          <t>Kablo tava sistemlerinin montajı — askı ve konsollarla tavana veya duvara tespiti; ek parça, konsol, askı tiji, vida ve somun bedelleri dâhildir, ayrıca ödenmez</t>
        </is>
      </c>
      <c r="E98" s="12" t="inlineStr">
        <is>
          <t>kg</t>
        </is>
      </c>
      <c r="F98" s="13" t="n">
        <v>502</v>
      </c>
    </row>
    <row r="99" ht="21" customHeight="1">
      <c r="A99" s="14" t="n"/>
      <c r="B99" s="9" t="n">
        <v>19</v>
      </c>
      <c r="C99" s="10" t="inlineStr">
        <is>
          <t>35.190.1101</t>
        </is>
      </c>
      <c r="D99" s="11" t="inlineStr">
        <is>
          <t>Kablo tava sistemleri kapak sacı — 35.190.1100 pozuna uygun özellikte, 1,0 mm sıcak daldırma galvanizli (malzeme) (%25 müteahhit kârı dahil)</t>
        </is>
      </c>
      <c r="E99" s="12" t="inlineStr">
        <is>
          <t>kg</t>
        </is>
      </c>
      <c r="F99" s="13" t="n">
        <v>361.2</v>
      </c>
    </row>
    <row r="100" ht="21" customHeight="1">
      <c r="A100" s="14" t="n"/>
      <c r="B100" s="9" t="n">
        <v>20</v>
      </c>
      <c r="C100" s="16" t="inlineStr">
        <is>
          <t>35.190.1101 (montaj)</t>
        </is>
      </c>
      <c r="D100" s="11" t="inlineStr">
        <is>
          <t>Kablo tava sistemleri kapak sacının montajı — onaylı projesinde belirtilen kanalların kapatılması; her türlü işçilik ve malzeme dâhil, işler hâlde teslim</t>
        </is>
      </c>
      <c r="E100" s="12" t="inlineStr">
        <is>
          <t>kg</t>
        </is>
      </c>
      <c r="F100" s="13" t="n">
        <v>361.2</v>
      </c>
    </row>
    <row r="101" ht="21" customHeight="1">
      <c r="A101" s="15" t="n"/>
      <c r="B101" s="9" t="n">
        <v>21</v>
      </c>
      <c r="C101" s="10" t="inlineStr">
        <is>
          <t>30.190.1304</t>
        </is>
      </c>
      <c r="D101" s="11" t="inlineStr">
        <is>
          <t>Sıva üstü PVC kablo kanalı — en az 100 x 35 mm, üç bölmeli (%25 müteahhit kârı dahil)</t>
        </is>
      </c>
      <c r="E101" s="12" t="inlineStr">
        <is>
          <t>m</t>
        </is>
      </c>
      <c r="F101" s="13" t="n">
        <v>123</v>
      </c>
    </row>
    <row r="102"/>
    <row r="103" ht="20" customHeight="1">
      <c r="A103" s="4" t="inlineStr">
        <is>
          <t>&lt; Gübre Çukuru &gt;   —   inşaat alanı 115.00 m²</t>
        </is>
      </c>
    </row>
    <row r="104" ht="24" customHeight="1">
      <c r="A104" s="5" t="inlineStr">
        <is>
          <t>Dış ölçü 11,50 x 10,00 m; betonarme radye, perde ve üst döşeme.</t>
        </is>
      </c>
      <c r="B104" s="6" t="n"/>
      <c r="C104" s="6" t="n"/>
      <c r="D104" s="6" t="n"/>
      <c r="E104" s="6" t="n"/>
      <c r="F104" s="6" t="n"/>
    </row>
    <row r="105" ht="28" customHeight="1">
      <c r="A105" s="7" t="inlineStr">
        <is>
          <t>Uygun Harcama Kaleminin EK-1'de yer alan adı</t>
        </is>
      </c>
      <c r="B105" s="7" t="inlineStr">
        <is>
          <t>No</t>
        </is>
      </c>
      <c r="C105" s="7" t="inlineStr">
        <is>
          <t>Poz No</t>
        </is>
      </c>
      <c r="D105" s="7" t="inlineStr">
        <is>
          <t>Yapım İşinin Adı</t>
        </is>
      </c>
      <c r="E105" s="7" t="inlineStr">
        <is>
          <t>Birimi</t>
        </is>
      </c>
      <c r="F105" s="7" t="inlineStr">
        <is>
          <t>Miktarı</t>
        </is>
      </c>
    </row>
    <row r="106" ht="14" customHeight="1">
      <c r="A106" s="8" t="inlineStr">
        <is>
          <t>Kazı, dolgu ve reglaj işleri</t>
        </is>
      </c>
      <c r="B106" s="9" t="n">
        <v>1</v>
      </c>
      <c r="C106" s="10" t="inlineStr">
        <is>
          <t>15.120.1101</t>
        </is>
      </c>
      <c r="D106" s="11" t="inlineStr">
        <is>
          <t>Makine ile her derinlik ve her genişlikte yumuşak ve sert toprak kazılması</t>
        </is>
      </c>
      <c r="E106" s="12" t="inlineStr">
        <is>
          <t>m³</t>
        </is>
      </c>
      <c r="F106" s="13" t="n">
        <v>542.7</v>
      </c>
    </row>
    <row r="107" ht="31.5" customHeight="1">
      <c r="A107" s="8" t="inlineStr">
        <is>
          <t>Beton işleri</t>
        </is>
      </c>
      <c r="B107" s="9" t="n">
        <v>1</v>
      </c>
      <c r="C107" s="10" t="inlineStr">
        <is>
          <t>15.150.1003</t>
        </is>
      </c>
      <c r="D107" s="11" t="inlineStr">
        <is>
          <t>Beton santralinde üretilen veya satın alınan ve beton pompasıyla basılan, C 16/20 basınç dayanım sınıfında, gri renkte, normal hazır beton dökülmesi (beton nakli dahil)</t>
        </is>
      </c>
      <c r="E107" s="12" t="inlineStr">
        <is>
          <t>m³</t>
        </is>
      </c>
      <c r="F107" s="13" t="n">
        <v>11.934</v>
      </c>
    </row>
    <row r="108" ht="31.5" customHeight="1">
      <c r="A108" s="8" t="inlineStr">
        <is>
          <t>Betonarme işleri</t>
        </is>
      </c>
      <c r="B108" s="9" t="n">
        <v>1</v>
      </c>
      <c r="C108" s="10" t="inlineStr">
        <is>
          <t>15.150.1005</t>
        </is>
      </c>
      <c r="D108" s="11" t="inlineStr">
        <is>
          <t>Beton santralinde üretilen veya satın alınan ve beton pompasıyla basılan, C 25/30 basınç dayanım sınıfında, gri renkte, normal hazır beton dökülmesi (beton nakli dahil)</t>
        </is>
      </c>
      <c r="E108" s="12" t="inlineStr">
        <is>
          <t>m³</t>
        </is>
      </c>
      <c r="F108" s="13" t="n">
        <v>93.19</v>
      </c>
    </row>
    <row r="109" ht="14" customHeight="1">
      <c r="A109" s="8" t="inlineStr">
        <is>
          <t>Kalıp, yapı iskelesi işleri</t>
        </is>
      </c>
      <c r="B109" s="9" t="n">
        <v>1</v>
      </c>
      <c r="C109" s="10" t="inlineStr">
        <is>
          <t>15.180.1003</t>
        </is>
      </c>
      <c r="D109" s="11" t="inlineStr">
        <is>
          <t>Plywood ile düz yüzeyli betonarme kalıbı yapılması</t>
        </is>
      </c>
      <c r="E109" s="12" t="inlineStr">
        <is>
          <t>m²</t>
        </is>
      </c>
      <c r="F109" s="13" t="n">
        <v>363.26</v>
      </c>
    </row>
    <row r="110" ht="21" customHeight="1">
      <c r="A110" s="8" t="inlineStr">
        <is>
          <t>Demir-inşaat işleri</t>
        </is>
      </c>
      <c r="B110" s="9" t="n">
        <v>1</v>
      </c>
      <c r="C110" s="10" t="inlineStr">
        <is>
          <t>15.160.1003</t>
        </is>
      </c>
      <c r="D110" s="11" t="inlineStr">
        <is>
          <t>Ø 8 - Ø 12 mm nervürlü beton çelik çubuğu, çubukların kesilmesi, bükülmesi ve yerine konulması</t>
        </is>
      </c>
      <c r="E110" s="12" t="inlineStr">
        <is>
          <t>ton</t>
        </is>
      </c>
      <c r="F110" s="13" t="n">
        <v>7.599</v>
      </c>
    </row>
    <row r="111" ht="21" customHeight="1">
      <c r="A111" s="15" t="n"/>
      <c r="B111" s="9" t="n">
        <v>2</v>
      </c>
      <c r="C111" s="10" t="inlineStr">
        <is>
          <t>15.160.1004</t>
        </is>
      </c>
      <c r="D111" s="11" t="inlineStr">
        <is>
          <t>Ø 14 - Ø 28 mm nervürlü beton çelik çubuğu, çubukların kesilmesi, bükülmesi ve yerine konulması</t>
        </is>
      </c>
      <c r="E111" s="12" t="inlineStr">
        <is>
          <t>ton</t>
        </is>
      </c>
      <c r="F111" s="13" t="n">
        <v>0.5639999999999999</v>
      </c>
    </row>
    <row r="112"/>
    <row r="113" ht="20" customHeight="1">
      <c r="A113" s="4" t="inlineStr">
        <is>
          <t>&lt; Ölü Atma Çukuru &gt;   —   inşaat alanı 18.00 m²</t>
        </is>
      </c>
    </row>
    <row r="114" ht="24" customHeight="1">
      <c r="A114" s="5" t="inlineStr">
        <is>
          <t>Dış ölçü 6,00 x 3,00 m, betonarme sızdırmaz çukur.</t>
        </is>
      </c>
      <c r="B114" s="6" t="n"/>
      <c r="C114" s="6" t="n"/>
      <c r="D114" s="6" t="n"/>
      <c r="E114" s="6" t="n"/>
      <c r="F114" s="6" t="n"/>
    </row>
    <row r="115" ht="28" customHeight="1">
      <c r="A115" s="7" t="inlineStr">
        <is>
          <t>Uygun Harcama Kaleminin EK-1'de yer alan adı</t>
        </is>
      </c>
      <c r="B115" s="7" t="inlineStr">
        <is>
          <t>No</t>
        </is>
      </c>
      <c r="C115" s="7" t="inlineStr">
        <is>
          <t>Poz No</t>
        </is>
      </c>
      <c r="D115" s="7" t="inlineStr">
        <is>
          <t>Yapım İşinin Adı</t>
        </is>
      </c>
      <c r="E115" s="7" t="inlineStr">
        <is>
          <t>Birimi</t>
        </is>
      </c>
      <c r="F115" s="7" t="inlineStr">
        <is>
          <t>Miktarı</t>
        </is>
      </c>
    </row>
    <row r="116" ht="14" customHeight="1">
      <c r="A116" s="8" t="inlineStr">
        <is>
          <t>Kazı, dolgu ve reglaj işleri</t>
        </is>
      </c>
      <c r="B116" s="9" t="n">
        <v>1</v>
      </c>
      <c r="C116" s="10" t="inlineStr">
        <is>
          <t>15.120.1101</t>
        </is>
      </c>
      <c r="D116" s="11" t="inlineStr">
        <is>
          <t>Makine ile her derinlik ve her genişlikte yumuşak ve sert toprak kazılması</t>
        </is>
      </c>
      <c r="E116" s="12" t="inlineStr">
        <is>
          <t>m³</t>
        </is>
      </c>
      <c r="F116" s="13" t="n">
        <v>142</v>
      </c>
    </row>
    <row r="117" ht="31.5" customHeight="1">
      <c r="A117" s="8" t="inlineStr">
        <is>
          <t>Beton işleri</t>
        </is>
      </c>
      <c r="B117" s="9" t="n">
        <v>1</v>
      </c>
      <c r="C117" s="10" t="inlineStr">
        <is>
          <t>15.150.1003</t>
        </is>
      </c>
      <c r="D117" s="11" t="inlineStr">
        <is>
          <t>Beton santralinde üretilen veya satın alınan ve beton pompasıyla basılan, C 16/20 basınç dayanım sınıfında, gri renkte, normal hazır beton dökülmesi (beton nakli dahil)</t>
        </is>
      </c>
      <c r="E117" s="12" t="inlineStr">
        <is>
          <t>m³</t>
        </is>
      </c>
      <c r="F117" s="13" t="n">
        <v>1.984</v>
      </c>
    </row>
    <row r="118" ht="31.5" customHeight="1">
      <c r="A118" s="8" t="inlineStr">
        <is>
          <t>Betonarme işleri</t>
        </is>
      </c>
      <c r="B118" s="9" t="n">
        <v>1</v>
      </c>
      <c r="C118" s="10" t="inlineStr">
        <is>
          <t>15.150.1005</t>
        </is>
      </c>
      <c r="D118" s="11" t="inlineStr">
        <is>
          <t>Beton santralinde üretilen veya satın alınan ve beton pompasıyla basılan, C 25/30 basınç dayanım sınıfında, gri renkte, normal hazır beton dökülmesi (beton nakli dahil)</t>
        </is>
      </c>
      <c r="E118" s="12" t="inlineStr">
        <is>
          <t>m³</t>
        </is>
      </c>
      <c r="F118" s="13" t="n">
        <v>20.85</v>
      </c>
    </row>
    <row r="119" ht="14" customHeight="1">
      <c r="A119" s="8" t="inlineStr">
        <is>
          <t>Kalıp, yapı iskelesi işleri</t>
        </is>
      </c>
      <c r="B119" s="9" t="n">
        <v>1</v>
      </c>
      <c r="C119" s="10" t="inlineStr">
        <is>
          <t>15.180.1003</t>
        </is>
      </c>
      <c r="D119" s="11" t="inlineStr">
        <is>
          <t>Plywood ile düz yüzeyli betonarme kalıbı yapılması</t>
        </is>
      </c>
      <c r="E119" s="12" t="inlineStr">
        <is>
          <t>m²</t>
        </is>
      </c>
      <c r="F119" s="13" t="n">
        <v>127.2</v>
      </c>
    </row>
    <row r="120" ht="21" customHeight="1">
      <c r="A120" s="8" t="inlineStr">
        <is>
          <t>Demir-inşaat işleri</t>
        </is>
      </c>
      <c r="B120" s="9" t="n">
        <v>1</v>
      </c>
      <c r="C120" s="10" t="inlineStr">
        <is>
          <t>15.160.1003</t>
        </is>
      </c>
      <c r="D120" s="11" t="inlineStr">
        <is>
          <t>Ø 8 - Ø 12 mm nervürlü beton çelik çubuğu, çubukların kesilmesi, bükülmesi ve yerine konulması</t>
        </is>
      </c>
      <c r="E120" s="12" t="inlineStr">
        <is>
          <t>ton</t>
        </is>
      </c>
      <c r="F120" s="13" t="n">
        <v>1.657</v>
      </c>
    </row>
    <row r="121"/>
    <row r="122" ht="20" customHeight="1">
      <c r="A122" s="4" t="inlineStr">
        <is>
          <t>&lt; Foseptik &gt;   —   inşaat alanı 4.00 m²</t>
        </is>
      </c>
    </row>
    <row r="123" ht="24" customHeight="1">
      <c r="A123" s="5" t="inlineStr">
        <is>
          <t>Dış ölçü 2,00 x 2,00 m, betonarme sızdırmaz.</t>
        </is>
      </c>
      <c r="B123" s="6" t="n"/>
      <c r="C123" s="6" t="n"/>
      <c r="D123" s="6" t="n"/>
      <c r="E123" s="6" t="n"/>
      <c r="F123" s="6" t="n"/>
    </row>
    <row r="124" ht="28" customHeight="1">
      <c r="A124" s="7" t="inlineStr">
        <is>
          <t>Uygun Harcama Kaleminin EK-1'de yer alan adı</t>
        </is>
      </c>
      <c r="B124" s="7" t="inlineStr">
        <is>
          <t>No</t>
        </is>
      </c>
      <c r="C124" s="7" t="inlineStr">
        <is>
          <t>Poz No</t>
        </is>
      </c>
      <c r="D124" s="7" t="inlineStr">
        <is>
          <t>Yapım İşinin Adı</t>
        </is>
      </c>
      <c r="E124" s="7" t="inlineStr">
        <is>
          <t>Birimi</t>
        </is>
      </c>
      <c r="F124" s="7" t="inlineStr">
        <is>
          <t>Miktarı</t>
        </is>
      </c>
    </row>
    <row r="125" ht="14" customHeight="1">
      <c r="A125" s="8" t="inlineStr">
        <is>
          <t>Kazı, dolgu ve reglaj işleri</t>
        </is>
      </c>
      <c r="B125" s="9" t="n">
        <v>1</v>
      </c>
      <c r="C125" s="10" t="inlineStr">
        <is>
          <t>15.120.1101</t>
        </is>
      </c>
      <c r="D125" s="11" t="inlineStr">
        <is>
          <t>Makine ile her derinlik ve her genişlikte yumuşak ve sert toprak kazılması</t>
        </is>
      </c>
      <c r="E125" s="12" t="inlineStr">
        <is>
          <t>m³</t>
        </is>
      </c>
      <c r="F125" s="13" t="n">
        <v>48.8</v>
      </c>
    </row>
    <row r="126" ht="31.5" customHeight="1">
      <c r="A126" s="8" t="inlineStr">
        <is>
          <t>Beton işleri</t>
        </is>
      </c>
      <c r="B126" s="9" t="n">
        <v>1</v>
      </c>
      <c r="C126" s="10" t="inlineStr">
        <is>
          <t>15.150.1003</t>
        </is>
      </c>
      <c r="D126" s="11" t="inlineStr">
        <is>
          <t>Beton santralinde üretilen veya satın alınan ve beton pompasıyla basılan, C 16/20 basınç dayanım sınıfında, gri renkte, normal hazır beton dökülmesi (beton nakli dahil)</t>
        </is>
      </c>
      <c r="E126" s="12" t="inlineStr">
        <is>
          <t>m³</t>
        </is>
      </c>
      <c r="F126" s="13" t="n">
        <v>0.484</v>
      </c>
    </row>
    <row r="127" ht="31.5" customHeight="1">
      <c r="A127" s="8" t="inlineStr">
        <is>
          <t>Betonarme işleri</t>
        </is>
      </c>
      <c r="B127" s="9" t="n">
        <v>1</v>
      </c>
      <c r="C127" s="10" t="inlineStr">
        <is>
          <t>15.150.1005</t>
        </is>
      </c>
      <c r="D127" s="11" t="inlineStr">
        <is>
          <t>Beton santralinde üretilen veya satın alınan ve beton pompasıyla basılan, C 25/30 basınç dayanım sınıfında, gri renkte, normal hazır beton dökülmesi (beton nakli dahil)</t>
        </is>
      </c>
      <c r="E127" s="12" t="inlineStr">
        <is>
          <t>m³</t>
        </is>
      </c>
      <c r="F127" s="13" t="n">
        <v>6.175</v>
      </c>
    </row>
    <row r="128" ht="14" customHeight="1">
      <c r="A128" s="8" t="inlineStr">
        <is>
          <t>Kalıp, yapı iskelesi işleri</t>
        </is>
      </c>
      <c r="B128" s="9" t="n">
        <v>1</v>
      </c>
      <c r="C128" s="10" t="inlineStr">
        <is>
          <t>15.180.1003</t>
        </is>
      </c>
      <c r="D128" s="11" t="inlineStr">
        <is>
          <t>Plywood ile düz yüzeyli betonarme kalıbı yapılması</t>
        </is>
      </c>
      <c r="E128" s="12" t="inlineStr">
        <is>
          <t>m²</t>
        </is>
      </c>
      <c r="F128" s="13" t="n">
        <v>41.4</v>
      </c>
    </row>
    <row r="129" ht="21" customHeight="1">
      <c r="A129" s="8" t="inlineStr">
        <is>
          <t>Demir-inşaat işleri</t>
        </is>
      </c>
      <c r="B129" s="9" t="n">
        <v>1</v>
      </c>
      <c r="C129" s="10" t="inlineStr">
        <is>
          <t>15.160.1003</t>
        </is>
      </c>
      <c r="D129" s="11" t="inlineStr">
        <is>
          <t>Ø 8 - Ø 12 mm nervürlü beton çelik çubuğu, çubukların kesilmesi, bükülmesi ve yerine konulması</t>
        </is>
      </c>
      <c r="E129" s="12" t="inlineStr">
        <is>
          <t>ton</t>
        </is>
      </c>
      <c r="F129" s="13" t="n">
        <v>0.587</v>
      </c>
    </row>
    <row r="130"/>
    <row r="131" ht="20" customHeight="1">
      <c r="A131" s="4" t="inlineStr">
        <is>
          <t>&lt; Yem Silosu Betonarme Kaideleri &gt;   —   inşaat alanı 16.82 m²</t>
        </is>
      </c>
    </row>
    <row r="132" ht="24" customHeight="1">
      <c r="A132" s="5" t="inlineStr">
        <is>
          <t>2 adet, her biri 2,90 x 2,90 m.</t>
        </is>
      </c>
      <c r="B132" s="6" t="n"/>
      <c r="C132" s="6" t="n"/>
      <c r="D132" s="6" t="n"/>
      <c r="E132" s="6" t="n"/>
      <c r="F132" s="6" t="n"/>
    </row>
    <row r="133" ht="28" customHeight="1">
      <c r="A133" s="7" t="inlineStr">
        <is>
          <t>Uygun Harcama Kaleminin EK-1'de yer alan adı</t>
        </is>
      </c>
      <c r="B133" s="7" t="inlineStr">
        <is>
          <t>No</t>
        </is>
      </c>
      <c r="C133" s="7" t="inlineStr">
        <is>
          <t>Poz No</t>
        </is>
      </c>
      <c r="D133" s="7" t="inlineStr">
        <is>
          <t>Yapım İşinin Adı</t>
        </is>
      </c>
      <c r="E133" s="7" t="inlineStr">
        <is>
          <t>Birimi</t>
        </is>
      </c>
      <c r="F133" s="7" t="inlineStr">
        <is>
          <t>Miktarı</t>
        </is>
      </c>
    </row>
    <row r="134" ht="14" customHeight="1">
      <c r="A134" s="8" t="inlineStr">
        <is>
          <t>Kazı, dolgu ve reglaj işleri</t>
        </is>
      </c>
      <c r="B134" s="9" t="n">
        <v>1</v>
      </c>
      <c r="C134" s="10" t="inlineStr">
        <is>
          <t>15.120.1101</t>
        </is>
      </c>
      <c r="D134" s="11" t="inlineStr">
        <is>
          <t>Makine ile her derinlik ve her genişlikte yumuşak ve sert toprak kazılması</t>
        </is>
      </c>
      <c r="E134" s="12" t="inlineStr">
        <is>
          <t>m³</t>
        </is>
      </c>
      <c r="F134" s="13" t="n">
        <v>48.02</v>
      </c>
    </row>
    <row r="135" ht="31.5" customHeight="1">
      <c r="A135" s="8" t="inlineStr">
        <is>
          <t>Beton işleri</t>
        </is>
      </c>
      <c r="B135" s="9" t="n">
        <v>1</v>
      </c>
      <c r="C135" s="10" t="inlineStr">
        <is>
          <t>15.150.1003</t>
        </is>
      </c>
      <c r="D135" s="11" t="inlineStr">
        <is>
          <t>Beton santralinde üretilen veya satın alınan ve beton pompasıyla basılan, C 16/20 basınç dayanım sınıfında, gri renkte, normal hazır beton dökülmesi (beton nakli dahil)</t>
        </is>
      </c>
      <c r="E135" s="12" t="inlineStr">
        <is>
          <t>m³</t>
        </is>
      </c>
      <c r="F135" s="13" t="n">
        <v>1.922</v>
      </c>
    </row>
    <row r="136" ht="31.5" customHeight="1">
      <c r="A136" s="8" t="inlineStr">
        <is>
          <t>Betonarme işleri</t>
        </is>
      </c>
      <c r="B136" s="9" t="n">
        <v>1</v>
      </c>
      <c r="C136" s="10" t="inlineStr">
        <is>
          <t>15.150.1005</t>
        </is>
      </c>
      <c r="D136" s="11" t="inlineStr">
        <is>
          <t>Beton santralinde üretilen veya satın alınan ve beton pompasıyla basılan, C 25/30 basınç dayanım sınıfında, gri renkte, normal hazır beton dökülmesi (beton nakli dahil)</t>
        </is>
      </c>
      <c r="E136" s="12" t="inlineStr">
        <is>
          <t>m³</t>
        </is>
      </c>
      <c r="F136" s="13" t="n">
        <v>8.41</v>
      </c>
    </row>
    <row r="137" ht="14" customHeight="1">
      <c r="A137" s="8" t="inlineStr">
        <is>
          <t>Kalıp, yapı iskelesi işleri</t>
        </is>
      </c>
      <c r="B137" s="9" t="n">
        <v>1</v>
      </c>
      <c r="C137" s="10" t="inlineStr">
        <is>
          <t>15.180.1003</t>
        </is>
      </c>
      <c r="D137" s="11" t="inlineStr">
        <is>
          <t>Plywood ile düz yüzeyli betonarme kalıbı yapılması</t>
        </is>
      </c>
      <c r="E137" s="12" t="inlineStr">
        <is>
          <t>m²</t>
        </is>
      </c>
      <c r="F137" s="13" t="n">
        <v>11.6</v>
      </c>
    </row>
    <row r="138" ht="21" customHeight="1">
      <c r="A138" s="8" t="inlineStr">
        <is>
          <t>Demir-inşaat işleri</t>
        </is>
      </c>
      <c r="B138" s="9" t="n">
        <v>1</v>
      </c>
      <c r="C138" s="10" t="inlineStr">
        <is>
          <t>15.160.1003</t>
        </is>
      </c>
      <c r="D138" s="11" t="inlineStr">
        <is>
          <t>Ø 8 - Ø 12 mm nervürlü beton çelik çubuğu, çubukların kesilmesi, bükülmesi ve yerine konulması</t>
        </is>
      </c>
      <c r="E138" s="12" t="inlineStr">
        <is>
          <t>ton</t>
        </is>
      </c>
      <c r="F138" s="13" t="n">
        <v>0.757</v>
      </c>
    </row>
    <row r="139"/>
    <row r="140" ht="20" customHeight="1">
      <c r="A140" s="4" t="inlineStr">
        <is>
          <t>&lt; Su Deposu &gt;   —   inşaat alanı 12.00 m²</t>
        </is>
      </c>
    </row>
    <row r="141" ht="24" customHeight="1">
      <c r="A141" s="5" t="inlineStr">
        <is>
          <t>Dış ölçü 4,00 x 3,00 m, betonarme.</t>
        </is>
      </c>
      <c r="B141" s="6" t="n"/>
      <c r="C141" s="6" t="n"/>
      <c r="D141" s="6" t="n"/>
      <c r="E141" s="6" t="n"/>
      <c r="F141" s="6" t="n"/>
    </row>
    <row r="142" ht="28" customHeight="1">
      <c r="A142" s="7" t="inlineStr">
        <is>
          <t>Uygun Harcama Kaleminin EK-1'de yer alan adı</t>
        </is>
      </c>
      <c r="B142" s="7" t="inlineStr">
        <is>
          <t>No</t>
        </is>
      </c>
      <c r="C142" s="7" t="inlineStr">
        <is>
          <t>Poz No</t>
        </is>
      </c>
      <c r="D142" s="7" t="inlineStr">
        <is>
          <t>Yapım İşinin Adı</t>
        </is>
      </c>
      <c r="E142" s="7" t="inlineStr">
        <is>
          <t>Birimi</t>
        </is>
      </c>
      <c r="F142" s="7" t="inlineStr">
        <is>
          <t>Miktarı</t>
        </is>
      </c>
    </row>
    <row r="143" ht="14" customHeight="1">
      <c r="A143" s="8" t="inlineStr">
        <is>
          <t>Kazı, dolgu ve reglaj işleri</t>
        </is>
      </c>
      <c r="B143" s="9" t="n">
        <v>1</v>
      </c>
      <c r="C143" s="10" t="inlineStr">
        <is>
          <t>15.120.1101</t>
        </is>
      </c>
      <c r="D143" s="11" t="inlineStr">
        <is>
          <t>Makine ile her derinlik ve her genişlikte yumuşak ve sert toprak kazılması</t>
        </is>
      </c>
      <c r="E143" s="12" t="inlineStr">
        <is>
          <t>m³</t>
        </is>
      </c>
      <c r="F143" s="13" t="n">
        <v>106.5</v>
      </c>
    </row>
    <row r="144" ht="31.5" customHeight="1">
      <c r="A144" s="8" t="inlineStr">
        <is>
          <t>Beton işleri</t>
        </is>
      </c>
      <c r="B144" s="9" t="n">
        <v>1</v>
      </c>
      <c r="C144" s="10" t="inlineStr">
        <is>
          <t>15.150.1003</t>
        </is>
      </c>
      <c r="D144" s="11" t="inlineStr">
        <is>
          <t>Beton santralinde üretilen veya satın alınan ve beton pompasıyla basılan, C 16/20 basınç dayanım sınıfında, gri renkte, normal hazır beton dökülmesi (beton nakli dahil)</t>
        </is>
      </c>
      <c r="E144" s="12" t="inlineStr">
        <is>
          <t>m³</t>
        </is>
      </c>
      <c r="F144" s="13" t="n">
        <v>1.344</v>
      </c>
    </row>
    <row r="145" ht="31.5" customHeight="1">
      <c r="A145" s="8" t="inlineStr">
        <is>
          <t>Betonarme işleri</t>
        </is>
      </c>
      <c r="B145" s="9" t="n">
        <v>1</v>
      </c>
      <c r="C145" s="10" t="inlineStr">
        <is>
          <t>15.150.1005</t>
        </is>
      </c>
      <c r="D145" s="11" t="inlineStr">
        <is>
          <t>Beton santralinde üretilen veya satın alınan ve beton pompasıyla basılan, C 25/30 basınç dayanım sınıfında, gri renkte, normal hazır beton dökülmesi (beton nakli dahil)</t>
        </is>
      </c>
      <c r="E145" s="12" t="inlineStr">
        <is>
          <t>m³</t>
        </is>
      </c>
      <c r="F145" s="13" t="n">
        <v>15.15</v>
      </c>
    </row>
    <row r="146" ht="14" customHeight="1">
      <c r="A146" s="8" t="inlineStr">
        <is>
          <t>Kalıp, yapı iskelesi işleri</t>
        </is>
      </c>
      <c r="B146" s="9" t="n">
        <v>1</v>
      </c>
      <c r="C146" s="10" t="inlineStr">
        <is>
          <t>15.180.1003</t>
        </is>
      </c>
      <c r="D146" s="11" t="inlineStr">
        <is>
          <t>Plywood ile düz yüzeyli betonarme kalıbı yapılması</t>
        </is>
      </c>
      <c r="E146" s="12" t="inlineStr">
        <is>
          <t>m²</t>
        </is>
      </c>
      <c r="F146" s="13" t="n">
        <v>95.59999999999999</v>
      </c>
    </row>
    <row r="147" ht="21" customHeight="1">
      <c r="A147" s="8" t="inlineStr">
        <is>
          <t>Demir-inşaat işleri</t>
        </is>
      </c>
      <c r="B147" s="9" t="n">
        <v>1</v>
      </c>
      <c r="C147" s="10" t="inlineStr">
        <is>
          <t>15.160.1003</t>
        </is>
      </c>
      <c r="D147" s="11" t="inlineStr">
        <is>
          <t>Ø 8 - Ø 12 mm nervürlü beton çelik çubuğu, çubukların kesilmesi, bükülmesi ve yerine konulması</t>
        </is>
      </c>
      <c r="E147" s="12" t="inlineStr">
        <is>
          <t>ton</t>
        </is>
      </c>
      <c r="F147" s="13" t="n">
        <v>1.232</v>
      </c>
    </row>
    <row r="148"/>
    <row r="149" ht="20" customHeight="1">
      <c r="A149" s="4" t="inlineStr">
        <is>
          <t>&lt; Yağmur Suyu Deposu &gt;   —   inşaat alanı 9.00 m²</t>
        </is>
      </c>
    </row>
    <row r="150" ht="24" customHeight="1">
      <c r="A150" s="5" t="inlineStr">
        <is>
          <t>Dış ölçü 3,00 x 3,00 m, betonarme; sıhhi tesisat projesindeki yağmur suyu geri kazanım deposunun haznesi.</t>
        </is>
      </c>
      <c r="B150" s="6" t="n"/>
      <c r="C150" s="6" t="n"/>
      <c r="D150" s="6" t="n"/>
      <c r="E150" s="6" t="n"/>
      <c r="F150" s="6" t="n"/>
    </row>
    <row r="151" ht="28" customHeight="1">
      <c r="A151" s="7" t="inlineStr">
        <is>
          <t>Uygun Harcama Kaleminin EK-1'de yer alan adı</t>
        </is>
      </c>
      <c r="B151" s="7" t="inlineStr">
        <is>
          <t>No</t>
        </is>
      </c>
      <c r="C151" s="7" t="inlineStr">
        <is>
          <t>Poz No</t>
        </is>
      </c>
      <c r="D151" s="7" t="inlineStr">
        <is>
          <t>Yapım İşinin Adı</t>
        </is>
      </c>
      <c r="E151" s="7" t="inlineStr">
        <is>
          <t>Birimi</t>
        </is>
      </c>
      <c r="F151" s="7" t="inlineStr">
        <is>
          <t>Miktarı</t>
        </is>
      </c>
    </row>
    <row r="152" ht="14" customHeight="1">
      <c r="A152" s="8" t="inlineStr">
        <is>
          <t>Kazı, dolgu ve reglaj işleri</t>
        </is>
      </c>
      <c r="B152" s="9" t="n">
        <v>1</v>
      </c>
      <c r="C152" s="10" t="inlineStr">
        <is>
          <t>15.120.1101</t>
        </is>
      </c>
      <c r="D152" s="11" t="inlineStr">
        <is>
          <t>Makine ile her derinlik ve her genişlikte yumuşak ve sert toprak kazılması</t>
        </is>
      </c>
      <c r="E152" s="12" t="inlineStr">
        <is>
          <t>m³</t>
        </is>
      </c>
      <c r="F152" s="13" t="n">
        <v>88.75</v>
      </c>
    </row>
    <row r="153" ht="31.5" customHeight="1">
      <c r="A153" s="8" t="inlineStr">
        <is>
          <t>Beton işleri</t>
        </is>
      </c>
      <c r="B153" s="9" t="n">
        <v>1</v>
      </c>
      <c r="C153" s="10" t="inlineStr">
        <is>
          <t>15.150.1003</t>
        </is>
      </c>
      <c r="D153" s="11" t="inlineStr">
        <is>
          <t>Beton santralinde üretilen veya satın alınan ve beton pompasıyla basılan, C 16/20 basınç dayanım sınıfında, gri renkte, normal hazır beton dökülmesi (beton nakli dahil)</t>
        </is>
      </c>
      <c r="E153" s="12" t="inlineStr">
        <is>
          <t>m³</t>
        </is>
      </c>
      <c r="F153" s="13" t="n">
        <v>1.024</v>
      </c>
    </row>
    <row r="154" ht="31.5" customHeight="1">
      <c r="A154" s="8" t="inlineStr">
        <is>
          <t>Betonarme işleri</t>
        </is>
      </c>
      <c r="B154" s="9" t="n">
        <v>1</v>
      </c>
      <c r="C154" s="10" t="inlineStr">
        <is>
          <t>15.150.1005</t>
        </is>
      </c>
      <c r="D154" s="11" t="inlineStr">
        <is>
          <t>Beton santralinde üretilen veya satın alınan ve beton pompasıyla basılan, C 25/30 basınç dayanım sınıfında, gri renkte, normal hazır beton dökülmesi (beton nakli dahil)</t>
        </is>
      </c>
      <c r="E154" s="12" t="inlineStr">
        <is>
          <t>m³</t>
        </is>
      </c>
      <c r="F154" s="13" t="n">
        <v>12.3</v>
      </c>
    </row>
    <row r="155" ht="14" customHeight="1">
      <c r="A155" s="8" t="inlineStr">
        <is>
          <t>Kalıp, yapı iskelesi işleri</t>
        </is>
      </c>
      <c r="B155" s="9" t="n">
        <v>1</v>
      </c>
      <c r="C155" s="10" t="inlineStr">
        <is>
          <t>15.180.1003</t>
        </is>
      </c>
      <c r="D155" s="11" t="inlineStr">
        <is>
          <t>Plywood ile düz yüzeyli betonarme kalıbı yapılması</t>
        </is>
      </c>
      <c r="E155" s="12" t="inlineStr">
        <is>
          <t>m²</t>
        </is>
      </c>
      <c r="F155" s="13" t="n">
        <v>79.8</v>
      </c>
    </row>
    <row r="156" ht="21" customHeight="1">
      <c r="A156" s="8" t="inlineStr">
        <is>
          <t>Demir-inşaat işleri</t>
        </is>
      </c>
      <c r="B156" s="9" t="n">
        <v>1</v>
      </c>
      <c r="C156" s="10" t="inlineStr">
        <is>
          <t>15.160.1003</t>
        </is>
      </c>
      <c r="D156" s="11" t="inlineStr">
        <is>
          <t>Ø 8 - Ø 12 mm nervürlü beton çelik çubuğu, çubukların kesilmesi, bükülmesi ve yerine konulması</t>
        </is>
      </c>
      <c r="E156" s="12" t="inlineStr">
        <is>
          <t>ton</t>
        </is>
      </c>
      <c r="F156" s="13" t="n">
        <v>1.23</v>
      </c>
    </row>
    <row r="157"/>
    <row r="158" ht="20" customHeight="1">
      <c r="A158" s="4" t="inlineStr">
        <is>
          <t>&lt; Çevre Düzenlemesi ve Saha Altyapısı &gt;</t>
        </is>
      </c>
    </row>
    <row r="159" ht="24" customHeight="1">
      <c r="A159" s="5" t="inlineStr">
        <is>
          <t>Parsel çevresi çit, tesis içi yol platformu ve yapılar arası altyapı hatları.</t>
        </is>
      </c>
      <c r="B159" s="6" t="n"/>
      <c r="C159" s="6" t="n"/>
      <c r="D159" s="6" t="n"/>
      <c r="E159" s="6" t="n"/>
      <c r="F159" s="6" t="n"/>
    </row>
    <row r="160" ht="28" customHeight="1">
      <c r="A160" s="7" t="inlineStr">
        <is>
          <t>Uygun Harcama Kaleminin EK-1'de yer alan adı</t>
        </is>
      </c>
      <c r="B160" s="7" t="inlineStr">
        <is>
          <t>No</t>
        </is>
      </c>
      <c r="C160" s="7" t="inlineStr">
        <is>
          <t>Poz No</t>
        </is>
      </c>
      <c r="D160" s="7" t="inlineStr">
        <is>
          <t>Yapım İşinin Adı</t>
        </is>
      </c>
      <c r="E160" s="7" t="inlineStr">
        <is>
          <t>Birimi</t>
        </is>
      </c>
      <c r="F160" s="7" t="inlineStr">
        <is>
          <t>Miktarı</t>
        </is>
      </c>
    </row>
    <row r="161" ht="14" customHeight="1">
      <c r="A161" s="8" t="inlineStr">
        <is>
          <t>Kazı, dolgu ve reglaj işleri</t>
        </is>
      </c>
      <c r="B161" s="9" t="n">
        <v>1</v>
      </c>
      <c r="C161" s="10" t="inlineStr">
        <is>
          <t>15.120.1001</t>
        </is>
      </c>
      <c r="D161" s="11" t="inlineStr">
        <is>
          <t>Makine ile yumuşak ve sert toprak kazılması</t>
        </is>
      </c>
      <c r="E161" s="12" t="inlineStr">
        <is>
          <t>m³</t>
        </is>
      </c>
      <c r="F161" s="13" t="n">
        <v>260.943</v>
      </c>
    </row>
    <row r="162" ht="31.5" customHeight="1">
      <c r="A162" s="8" t="inlineStr">
        <is>
          <t>Betonarme işleri</t>
        </is>
      </c>
      <c r="B162" s="9" t="n">
        <v>1</v>
      </c>
      <c r="C162" s="10" t="inlineStr">
        <is>
          <t>15.150.1005</t>
        </is>
      </c>
      <c r="D162" s="11" t="inlineStr">
        <is>
          <t>Beton santralinde üretilen veya satın alınan ve beton pompasıyla basılan, C 25/30 basınç dayanım sınıfında, gri renkte, normal hazır beton dökülmesi (beton nakli dahil)</t>
        </is>
      </c>
      <c r="E162" s="12" t="inlineStr">
        <is>
          <t>m³</t>
        </is>
      </c>
      <c r="F162" s="13" t="n">
        <v>1.566</v>
      </c>
    </row>
    <row r="163" ht="14" customHeight="1">
      <c r="A163" s="8" t="inlineStr">
        <is>
          <t>Kalıp, yapı iskelesi işleri</t>
        </is>
      </c>
      <c r="B163" s="9" t="n">
        <v>1</v>
      </c>
      <c r="C163" s="10" t="inlineStr">
        <is>
          <t>15.180.1003</t>
        </is>
      </c>
      <c r="D163" s="11" t="inlineStr">
        <is>
          <t>Plywood ile düz yüzeyli betonarme kalıbı yapılması</t>
        </is>
      </c>
      <c r="E163" s="12" t="inlineStr">
        <is>
          <t>m²</t>
        </is>
      </c>
      <c r="F163" s="13" t="n">
        <v>14.4</v>
      </c>
    </row>
    <row r="164" ht="21" customHeight="1">
      <c r="A164" s="8" t="inlineStr">
        <is>
          <t>Demir-inşaat işleri</t>
        </is>
      </c>
      <c r="B164" s="9" t="n">
        <v>1</v>
      </c>
      <c r="C164" s="10" t="inlineStr">
        <is>
          <t>15.160.1003</t>
        </is>
      </c>
      <c r="D164" s="11" t="inlineStr">
        <is>
          <t>Ø 8 - Ø 12 mm nervürlü beton çelik çubuğu, çubukların kesilmesi, bükülmesi ve yerine konulması</t>
        </is>
      </c>
      <c r="E164" s="12" t="inlineStr">
        <is>
          <t>ton</t>
        </is>
      </c>
      <c r="F164" s="13" t="n">
        <v>0.141</v>
      </c>
    </row>
    <row r="165" ht="14" customHeight="1">
      <c r="A165" s="8" t="inlineStr">
        <is>
          <t>Çevre düzenlemesi ve çit işleri</t>
        </is>
      </c>
      <c r="B165" s="9" t="n">
        <v>1</v>
      </c>
      <c r="C165" s="10" t="inlineStr">
        <is>
          <t>TKDK-0091</t>
        </is>
      </c>
      <c r="D165" s="11" t="inlineStr">
        <is>
          <t>Betonarme direkli galvanizli tel örgü çit yapılması (Tip-1)</t>
        </is>
      </c>
      <c r="E165" s="12" t="inlineStr">
        <is>
          <t>m</t>
        </is>
      </c>
      <c r="F165" s="13" t="n">
        <v>361.04</v>
      </c>
    </row>
    <row r="166" ht="21" customHeight="1">
      <c r="A166" s="8" t="inlineStr">
        <is>
          <t>Kanalizasyon işleri</t>
        </is>
      </c>
      <c r="B166" s="9" t="n">
        <v>1</v>
      </c>
      <c r="C166" s="10" t="inlineStr">
        <is>
          <t>43.527.1001</t>
        </is>
      </c>
      <c r="D166" s="11" t="inlineStr">
        <is>
          <t>Çapı 150 mm HDPE koruge boru döşenmesi (SN 8, lastik conta ve boru bedeli dahil)</t>
        </is>
      </c>
      <c r="E166" s="12" t="inlineStr">
        <is>
          <t>m</t>
        </is>
      </c>
      <c r="F166" s="13" t="n">
        <v>50</v>
      </c>
    </row>
    <row r="167" ht="14" customHeight="1">
      <c r="A167" s="15" t="n"/>
      <c r="B167" s="9" t="n">
        <v>2</v>
      </c>
      <c r="C167" s="10" t="inlineStr">
        <is>
          <t>15.560.1003</t>
        </is>
      </c>
      <c r="D167" s="11" t="inlineStr">
        <is>
          <t>Betonarme kompozit rögar kapağı temini ve yerine konulması</t>
        </is>
      </c>
      <c r="E167" s="12" t="inlineStr">
        <is>
          <t>ad</t>
        </is>
      </c>
      <c r="F167" s="13" t="n">
        <v>4</v>
      </c>
    </row>
    <row r="168" ht="21" customHeight="1">
      <c r="A168" s="8" t="inlineStr">
        <is>
          <t>Elektrik tesisatı ve aydınlatma</t>
        </is>
      </c>
      <c r="B168" s="9" t="n">
        <v>1</v>
      </c>
      <c r="C168" s="10" t="inlineStr">
        <is>
          <t>30.100.1104</t>
        </is>
      </c>
      <c r="D168" s="11" t="inlineStr">
        <is>
          <t>Ana dağıtım panosu (dikili tip galvanizli sac, en az 700 mm en, 400 mm derinlik) (%25 müteahhit kârı dahil)</t>
        </is>
      </c>
      <c r="E168" s="12" t="inlineStr">
        <is>
          <t>ad</t>
        </is>
      </c>
      <c r="F168" s="13" t="n">
        <v>1</v>
      </c>
    </row>
    <row r="169" ht="21" customHeight="1">
      <c r="A169" s="14" t="n"/>
      <c r="B169" s="9" t="n">
        <v>2</v>
      </c>
      <c r="C169" s="10" t="inlineStr">
        <is>
          <t>30.100.2106</t>
        </is>
      </c>
      <c r="D169" s="11" t="inlineStr">
        <is>
          <t>Sayaç panosu (sıva üstü galvanizli sac tablo, 0,50-0,60 m²) (%25 müteahhit kârı dahil)</t>
        </is>
      </c>
      <c r="E169" s="12" t="inlineStr">
        <is>
          <t>ad</t>
        </is>
      </c>
      <c r="F169" s="13" t="n">
        <v>1</v>
      </c>
    </row>
    <row r="170" ht="21" customHeight="1">
      <c r="A170" s="14" t="n"/>
      <c r="B170" s="9" t="n">
        <v>3</v>
      </c>
      <c r="C170" s="10" t="inlineStr">
        <is>
          <t>30.135.3201</t>
        </is>
      </c>
      <c r="D170" s="11" t="inlineStr">
        <is>
          <t>Üç fazlı zaman tarifeli elektronik aktif sayaç, en az 5(100) A, 3x230/400 V (%25 müteahhit kârı dahil)</t>
        </is>
      </c>
      <c r="E170" s="12" t="inlineStr">
        <is>
          <t>ad</t>
        </is>
      </c>
      <c r="F170" s="13" t="n">
        <v>1</v>
      </c>
    </row>
    <row r="171" ht="21" customHeight="1">
      <c r="A171" s="14" t="n"/>
      <c r="B171" s="9" t="n">
        <v>4</v>
      </c>
      <c r="C171" s="10" t="inlineStr">
        <is>
          <t>30.110.1104</t>
        </is>
      </c>
      <c r="D171" s="11" t="inlineStr">
        <is>
          <t>Termik-manyetik kompakt şalter 3x160 A, Icu 35 kA — ana giriş (%25 müteahhit kârı dahil)</t>
        </is>
      </c>
      <c r="E171" s="12" t="inlineStr">
        <is>
          <t>ad</t>
        </is>
      </c>
      <c r="F171" s="13" t="n">
        <v>1</v>
      </c>
    </row>
    <row r="172" ht="14" customHeight="1">
      <c r="A172" s="14" t="n"/>
      <c r="B172" s="9" t="n">
        <v>5</v>
      </c>
      <c r="C172" s="10" t="inlineStr">
        <is>
          <t>30.115.1003</t>
        </is>
      </c>
      <c r="D172" s="11" t="inlineStr">
        <is>
          <t>Kaçak akım koruma şalteri 2x63 A, 30 mA (%25 müteahhit kârı dahil)</t>
        </is>
      </c>
      <c r="E172" s="12" t="inlineStr">
        <is>
          <t>ad</t>
        </is>
      </c>
      <c r="F172" s="13" t="n">
        <v>2</v>
      </c>
    </row>
    <row r="173" ht="21" customHeight="1">
      <c r="A173" s="14" t="n"/>
      <c r="B173" s="9" t="n">
        <v>6</v>
      </c>
      <c r="C173" s="10" t="inlineStr">
        <is>
          <t>30.140.3105</t>
        </is>
      </c>
      <c r="D173" s="11" t="inlineStr">
        <is>
          <t>YVV (NYY) 1 kV yeraltı kablosu ile besleme hattı tesisi — 1x35 mm² (%25 müteahhit kârı dahil)</t>
        </is>
      </c>
      <c r="E173" s="12" t="inlineStr">
        <is>
          <t>m</t>
        </is>
      </c>
      <c r="F173" s="13" t="n">
        <v>50</v>
      </c>
    </row>
    <row r="174" ht="21" customHeight="1">
      <c r="A174" s="14" t="n"/>
      <c r="B174" s="9" t="n">
        <v>7</v>
      </c>
      <c r="C174" s="10" t="inlineStr">
        <is>
          <t>30.140.3101</t>
        </is>
      </c>
      <c r="D174" s="11" t="inlineStr">
        <is>
          <t>YVV (NYY) 1 kV yeraltı kablosu ile besleme hattı tesisi — 1x6 mm² (%25 müteahhit kârı dahil)</t>
        </is>
      </c>
      <c r="E174" s="12" t="inlineStr">
        <is>
          <t>m</t>
        </is>
      </c>
      <c r="F174" s="13" t="n">
        <v>50</v>
      </c>
    </row>
    <row r="175" ht="21" customHeight="1">
      <c r="A175" s="14" t="n"/>
      <c r="B175" s="9" t="n">
        <v>8</v>
      </c>
      <c r="C175" s="10" t="inlineStr">
        <is>
          <t>30.172.1706</t>
        </is>
      </c>
      <c r="D175" s="11" t="inlineStr">
        <is>
          <t>Aydınlatma direği — taban çapı en az 80 mm, yükseklik en az 4,00 m (%25 müteahhit kârı dahil)</t>
        </is>
      </c>
      <c r="E175" s="12" t="inlineStr">
        <is>
          <t>ad</t>
        </is>
      </c>
      <c r="F175" s="13" t="n">
        <v>4</v>
      </c>
    </row>
    <row r="176" ht="14" customHeight="1">
      <c r="A176" s="15" t="n"/>
      <c r="B176" s="9" t="n">
        <v>9</v>
      </c>
      <c r="C176" s="10" t="inlineStr">
        <is>
          <t>30.170.4002</t>
        </is>
      </c>
      <c r="D176" s="11" t="inlineStr">
        <is>
          <t>LED projektör, ışık akısı en az 5100 lm (%25 müteahhit kârı dahil)</t>
        </is>
      </c>
      <c r="E176" s="12" t="inlineStr">
        <is>
          <t>ad</t>
        </is>
      </c>
      <c r="F176" s="13" t="n">
        <v>4</v>
      </c>
    </row>
    <row r="177"/>
    <row r="178">
      <c r="A178" s="17" t="inlineStr">
        <is>
          <t>AÇIKLAMALAR</t>
        </is>
      </c>
      <c r="B178" s="6" t="n"/>
      <c r="C178" s="6" t="n"/>
      <c r="D178" s="6" t="n"/>
      <c r="E178" s="6" t="n"/>
      <c r="F178" s="6" t="n"/>
    </row>
    <row r="179" ht="13" customHeight="1">
      <c r="A179" s="18" t="inlineStr">
        <is>
          <t>•  Keşif özetinde birim fiyat ve tutar sütunu bulunmaz; bunlar teklif davet mektubu ekindeki ayrı cetvelde yer alır.</t>
        </is>
      </c>
    </row>
    <row r="180" ht="22" customHeight="1">
      <c r="A180" s="18" t="inlineStr">
        <is>
          <t>•  YEŞİL zemindeki poz numaraları TKDK'nın 17.02.2026 tarihli Özel Poz Tablosundan, renksiz olanlar Çevre, Şehircilik ve İklim Değişikliği Bakanlığı 2026 birim fiyat kitabından alınmıştır. Keşifteki her kalem bir birim fiyat kitabı pozudur.</t>
        </is>
      </c>
    </row>
    <row r="181" ht="13" customHeight="1">
      <c r="A181" s="18" t="inlineStr">
        <is>
          <t>•  Kümes A ve B blok özdeş olduğundan tek başlık altında toplanmıştır; miktarlar iki bloğun toplamıdır.</t>
        </is>
      </c>
    </row>
    <row r="182" ht="13" customHeight="1">
      <c r="A182" s="18" t="inlineStr">
        <is>
          <t>•  Elektrik tesisatı bölümü, kuvvetli akım birim fiyat listesi temin edildikten sonra tamamlanacaktır.</t>
        </is>
      </c>
    </row>
  </sheetData>
  <mergeCells count="91">
    <mergeCell ref="A147"/>
    <mergeCell ref="A20:A22"/>
    <mergeCell ref="A156"/>
    <mergeCell ref="A72:A74"/>
    <mergeCell ref="A158:F158"/>
    <mergeCell ref="A165"/>
    <mergeCell ref="A23:A25"/>
    <mergeCell ref="A3:F3"/>
    <mergeCell ref="A55:F55"/>
    <mergeCell ref="A155"/>
    <mergeCell ref="A5:F5"/>
    <mergeCell ref="A150:F150"/>
    <mergeCell ref="A159:F159"/>
    <mergeCell ref="A138"/>
    <mergeCell ref="A119"/>
    <mergeCell ref="A77:A78"/>
    <mergeCell ref="A118"/>
    <mergeCell ref="A110:A111"/>
    <mergeCell ref="A144"/>
    <mergeCell ref="A166:A167"/>
    <mergeCell ref="A12:A14"/>
    <mergeCell ref="A106"/>
    <mergeCell ref="A134"/>
    <mergeCell ref="A152"/>
    <mergeCell ref="A149:F149"/>
    <mergeCell ref="A161"/>
    <mergeCell ref="A2:F2"/>
    <mergeCell ref="A31"/>
    <mergeCell ref="A58"/>
    <mergeCell ref="A26:A27"/>
    <mergeCell ref="A141:F141"/>
    <mergeCell ref="A107"/>
    <mergeCell ref="A60"/>
    <mergeCell ref="A122:F122"/>
    <mergeCell ref="A146"/>
    <mergeCell ref="A69:A71"/>
    <mergeCell ref="A108"/>
    <mergeCell ref="A114:F114"/>
    <mergeCell ref="A32:A52"/>
    <mergeCell ref="A182:F182"/>
    <mergeCell ref="A163"/>
    <mergeCell ref="A178:F178"/>
    <mergeCell ref="A126"/>
    <mergeCell ref="A54:F54"/>
    <mergeCell ref="A135"/>
    <mergeCell ref="A17:A19"/>
    <mergeCell ref="A125"/>
    <mergeCell ref="A179:F179"/>
    <mergeCell ref="A127"/>
    <mergeCell ref="A30"/>
    <mergeCell ref="A181:F181"/>
    <mergeCell ref="A59"/>
    <mergeCell ref="A131:F131"/>
    <mergeCell ref="A140:F140"/>
    <mergeCell ref="A180:F180"/>
    <mergeCell ref="A79"/>
    <mergeCell ref="A153"/>
    <mergeCell ref="A162"/>
    <mergeCell ref="A137"/>
    <mergeCell ref="A61:A63"/>
    <mergeCell ref="A164"/>
    <mergeCell ref="A145"/>
    <mergeCell ref="A154"/>
    <mergeCell ref="A1:F1"/>
    <mergeCell ref="A103:F103"/>
    <mergeCell ref="A129"/>
    <mergeCell ref="A81:A101"/>
    <mergeCell ref="A116"/>
    <mergeCell ref="A8"/>
    <mergeCell ref="A109"/>
    <mergeCell ref="A168:A176"/>
    <mergeCell ref="A10"/>
    <mergeCell ref="A104:F104"/>
    <mergeCell ref="A117"/>
    <mergeCell ref="A113:F113"/>
    <mergeCell ref="A75:A76"/>
    <mergeCell ref="A9"/>
    <mergeCell ref="A143"/>
    <mergeCell ref="A11"/>
    <mergeCell ref="A128"/>
    <mergeCell ref="A80"/>
    <mergeCell ref="A66:A68"/>
    <mergeCell ref="A120"/>
    <mergeCell ref="A123:F123"/>
    <mergeCell ref="A136"/>
    <mergeCell ref="A28:A29"/>
    <mergeCell ref="A132:F132"/>
    <mergeCell ref="A15:A16"/>
    <mergeCell ref="A57"/>
    <mergeCell ref="A6:F6"/>
    <mergeCell ref="A64:A65"/>
  </mergeCells>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J557"/>
  <sheetViews>
    <sheetView showGridLines="0" workbookViewId="0">
      <pane ySplit="4" topLeftCell="A5" activePane="bottomLeft" state="frozen"/>
      <selection pane="bottomLeft" activeCell="A1" sqref="A1"/>
    </sheetView>
  </sheetViews>
  <sheetFormatPr baseColWidth="8" defaultRowHeight="15"/>
  <cols>
    <col width="5" customWidth="1" min="1" max="1"/>
    <col width="14" customWidth="1" min="2" max="2"/>
    <col width="62" customWidth="1" min="3" max="3"/>
    <col width="7" customWidth="1" min="4" max="4"/>
    <col width="8" customWidth="1" min="5" max="5"/>
    <col width="9" customWidth="1" min="6" max="6"/>
    <col width="9" customWidth="1" min="7" max="7"/>
    <col width="11" customWidth="1" min="8" max="8"/>
    <col width="12" customWidth="1" min="9" max="9"/>
    <col width="13" customWidth="1" min="10" max="10"/>
  </cols>
  <sheetData>
    <row r="1" ht="26" customHeight="1">
      <c r="A1" s="1" t="inlineStr">
        <is>
          <t>METRAJ CETVELİ</t>
        </is>
      </c>
    </row>
    <row r="2">
      <c r="A2" s="2" t="inlineStr">
        <is>
          <t>MUSAB EDER ÇİFTLİĞİ KANATLI (ETLİK PİLİÇ) KÜMESİ — Kocaeli İli Karamürsel İlçesi İnebeyli Mahallesi 138 ada 17 parsel (7.966,67 m²)</t>
        </is>
      </c>
    </row>
    <row r="3">
      <c r="A3" s="3" t="inlineStr">
        <is>
          <t>Her imalat kalemi, ölçünün alındığı yer ve boyutlarıyla birlikte gösterilmiştir. Miktar formülleri o satırdaki ölçü hücrelerini çarpar.</t>
        </is>
      </c>
    </row>
    <row r="4"/>
    <row r="5" ht="20" customHeight="1">
      <c r="A5" s="19" t="inlineStr">
        <is>
          <t>Yapı/Bina Adı: KÜMES A BLOK</t>
        </is>
      </c>
    </row>
    <row r="6" ht="28" customHeight="1">
      <c r="A6" s="7" t="inlineStr">
        <is>
          <t>No</t>
        </is>
      </c>
      <c r="B6" s="7" t="inlineStr">
        <is>
          <t>Poz No</t>
        </is>
      </c>
      <c r="C6" s="7" t="inlineStr">
        <is>
          <t>Tanımı / Ölçünün Alındığı Yer</t>
        </is>
      </c>
      <c r="D6" s="7" t="inlineStr">
        <is>
          <t>Birimi</t>
        </is>
      </c>
      <c r="E6" s="7" t="inlineStr">
        <is>
          <t>Adet</t>
        </is>
      </c>
      <c r="F6" s="7" t="inlineStr">
        <is>
          <t>En (m)</t>
        </is>
      </c>
      <c r="G6" s="7" t="inlineStr">
        <is>
          <t>Boy (m)</t>
        </is>
      </c>
      <c r="H6" s="7" t="inlineStr">
        <is>
          <t>Yükseklik (m)</t>
        </is>
      </c>
      <c r="I6" s="7" t="inlineStr">
        <is>
          <t>Miktar</t>
        </is>
      </c>
      <c r="J6" s="7" t="inlineStr">
        <is>
          <t>Toplam Miktar</t>
        </is>
      </c>
    </row>
    <row r="7" ht="15" customHeight="1">
      <c r="A7" s="20" t="n">
        <v>1</v>
      </c>
      <c r="B7" s="21" t="inlineStr">
        <is>
          <t>15.120.1001</t>
        </is>
      </c>
      <c r="C7" s="8" t="inlineStr">
        <is>
          <t>[M01]  Makine ile kazı yapılması — kümes A ve B blok</t>
        </is>
      </c>
      <c r="D7" s="22" t="inlineStr">
        <is>
          <t>m³</t>
        </is>
      </c>
      <c r="E7" s="23" t="n"/>
      <c r="F7" s="23" t="n"/>
      <c r="G7" s="23" t="n"/>
      <c r="H7" s="23" t="n"/>
      <c r="I7" s="23" t="n"/>
      <c r="J7" s="23" t="n"/>
    </row>
    <row r="8" ht="20" customHeight="1">
      <c r="A8" s="6" t="n"/>
      <c r="B8" s="6" t="n"/>
      <c r="C8" s="24" t="inlineStr">
        <is>
          <t>A blok — harita mühendisi onaylı kübaj cetveli toplamı 3.368,77 m³, iki bloğa eşit paylaştırılmıştır</t>
        </is>
      </c>
      <c r="D8" s="6" t="n"/>
      <c r="E8" s="6" t="n"/>
      <c r="F8" s="6" t="n"/>
      <c r="G8" s="6" t="n"/>
      <c r="H8" s="6" t="n"/>
      <c r="I8" s="25" t="n">
        <v>1684.385</v>
      </c>
      <c r="J8" s="6" t="n"/>
    </row>
    <row r="9">
      <c r="A9" s="23" t="n"/>
      <c r="B9" s="23" t="n"/>
      <c r="C9" s="26" t="inlineStr">
        <is>
          <t>M01 TOPLAMI</t>
        </is>
      </c>
      <c r="D9" s="27" t="inlineStr">
        <is>
          <t>m³</t>
        </is>
      </c>
      <c r="E9" s="23" t="n"/>
      <c r="F9" s="23" t="n"/>
      <c r="G9" s="23" t="n"/>
      <c r="H9" s="23" t="n"/>
      <c r="I9" s="23" t="n"/>
      <c r="J9" s="28">
        <f>SUM(I8:I8)</f>
        <v/>
      </c>
    </row>
    <row r="10" ht="15" customHeight="1">
      <c r="A10" s="20" t="n">
        <v>2</v>
      </c>
      <c r="B10" s="21" t="inlineStr">
        <is>
          <t>15.150.1003</t>
        </is>
      </c>
      <c r="C10" s="8" t="inlineStr">
        <is>
          <t>[M09]  C 16/20 hazır beton dökülmesi — kümes temel altı grobeton</t>
        </is>
      </c>
      <c r="D10" s="22" t="inlineStr">
        <is>
          <t>m³</t>
        </is>
      </c>
      <c r="E10" s="23" t="n"/>
      <c r="F10" s="23" t="n"/>
      <c r="G10" s="23" t="n"/>
      <c r="H10" s="23" t="n"/>
      <c r="I10" s="23" t="n"/>
      <c r="J10" s="23" t="n"/>
    </row>
    <row r="11" ht="20" customHeight="1">
      <c r="A11" s="6" t="n"/>
      <c r="B11" s="6" t="n"/>
      <c r="C11" s="24" t="inlineStr">
        <is>
          <t>Şerit temel altı: 21 aks x 2 blok; genişlik 0,50 + iki yanda 0,10 taşma = 0,70 m; kalınlık 0,10 m — bu yapıya düşen pay 0.500000</t>
        </is>
      </c>
      <c r="D11" s="6" t="n"/>
      <c r="E11" s="29" t="n">
        <v>42</v>
      </c>
      <c r="F11" s="30" t="n">
        <v>0.7</v>
      </c>
      <c r="G11" s="30" t="n">
        <v>13.55</v>
      </c>
      <c r="H11" s="30" t="n">
        <v>0.1</v>
      </c>
      <c r="I11" s="25">
        <f>E11*F11*G11*H11*J11</f>
        <v/>
      </c>
      <c r="J11" s="31" t="n">
        <v>0.5</v>
      </c>
    </row>
    <row r="12" ht="20" customHeight="1">
      <c r="A12" s="6" t="n"/>
      <c r="B12" s="6" t="n"/>
      <c r="C12" s="24" t="inlineStr">
        <is>
          <t>Bağ kirişi altı: 4 hat x 2 blok; kesişimler düşülmüş boy 57.55 m; genişlik 0,30+2x0,10 = 0,50 m — bu yapıya düşen pay 0.500000</t>
        </is>
      </c>
      <c r="D12" s="6" t="n"/>
      <c r="E12" s="29" t="n">
        <v>8</v>
      </c>
      <c r="F12" s="30" t="n">
        <v>0.5</v>
      </c>
      <c r="G12" s="30" t="n">
        <v>57.55</v>
      </c>
      <c r="H12" s="30" t="n">
        <v>0.1</v>
      </c>
      <c r="I12" s="25">
        <f>E12*F12*G12*H12*J12</f>
        <v/>
      </c>
      <c r="J12" s="31" t="n">
        <v>0.5</v>
      </c>
    </row>
    <row r="13">
      <c r="A13" s="23" t="n"/>
      <c r="B13" s="23" t="n"/>
      <c r="C13" s="26" t="inlineStr">
        <is>
          <t>M09 TOPLAMI</t>
        </is>
      </c>
      <c r="D13" s="27" t="inlineStr">
        <is>
          <t>m³</t>
        </is>
      </c>
      <c r="E13" s="23" t="n"/>
      <c r="F13" s="23" t="n"/>
      <c r="G13" s="23" t="n"/>
      <c r="H13" s="23" t="n"/>
      <c r="I13" s="23" t="n"/>
      <c r="J13" s="28">
        <f>SUM(I11:I12)</f>
        <v/>
      </c>
    </row>
    <row r="14" ht="22" customHeight="1">
      <c r="A14" s="20" t="n">
        <v>3</v>
      </c>
      <c r="B14" s="21" t="inlineStr">
        <is>
          <t>15.150.1005</t>
        </is>
      </c>
      <c r="C14" s="8" t="inlineStr">
        <is>
          <t>[M12]  C 25/30 hazır beton dökülmesi — kümes şerit temel ve bağ kirişleri</t>
        </is>
      </c>
      <c r="D14" s="22" t="inlineStr">
        <is>
          <t>m³</t>
        </is>
      </c>
      <c r="E14" s="23" t="n"/>
      <c r="F14" s="23" t="n"/>
      <c r="G14" s="23" t="n"/>
      <c r="H14" s="23" t="n"/>
      <c r="I14" s="23" t="n"/>
      <c r="J14" s="23" t="n"/>
    </row>
    <row r="15" ht="20" customHeight="1">
      <c r="A15" s="6" t="n"/>
      <c r="B15" s="6" t="n"/>
      <c r="C15" s="24" t="inlineStr">
        <is>
          <t>Şerit temel T1…T21 (50/60): 21 aks x 2 blok, aks boyu 13,55 m — bu yapıya düşen pay 0.500000</t>
        </is>
      </c>
      <c r="D15" s="6" t="n"/>
      <c r="E15" s="29" t="n">
        <v>42</v>
      </c>
      <c r="F15" s="30" t="n">
        <v>0.5</v>
      </c>
      <c r="G15" s="30" t="n">
        <v>13.55</v>
      </c>
      <c r="H15" s="30" t="n">
        <v>0.6</v>
      </c>
      <c r="I15" s="25">
        <f>E15*F15*G15*H15*J15</f>
        <v/>
      </c>
      <c r="J15" s="31" t="n">
        <v>0.5</v>
      </c>
    </row>
    <row r="16" ht="20" customHeight="1">
      <c r="A16" s="6" t="n"/>
      <c r="B16" s="6" t="n"/>
      <c r="C16" s="24" t="inlineStr">
        <is>
          <t>Bağ kirişi BK (30/30): 4 hat x 2 blok; şerit temellerle kesişen 21x0,50 m düşülmüş boy 78.55-10.50 = 68.05 m — bu yapıya düşen pay 0.500000</t>
        </is>
      </c>
      <c r="D16" s="6" t="n"/>
      <c r="E16" s="29" t="n">
        <v>8</v>
      </c>
      <c r="F16" s="30" t="n">
        <v>0.3</v>
      </c>
      <c r="G16" s="30" t="n">
        <v>68.05</v>
      </c>
      <c r="H16" s="30" t="n">
        <v>0.3</v>
      </c>
      <c r="I16" s="25">
        <f>E16*F16*G16*H16*J16</f>
        <v/>
      </c>
      <c r="J16" s="31" t="n">
        <v>0.5</v>
      </c>
    </row>
    <row r="17" ht="30" customHeight="1">
      <c r="A17" s="6" t="n"/>
      <c r="B17" s="6" t="n"/>
      <c r="C17" s="24" t="inlineStr">
        <is>
          <t>Kolon guseleri, temel taşmaları ve birleşim bölgeleri — betonarme proje METRAJ tablosuna tamamlama (115.71-109.863 = 5.847 m³/blok) — bu yapıya düşen pay 0.500000</t>
        </is>
      </c>
      <c r="D17" s="6" t="n"/>
      <c r="E17" s="29" t="n">
        <v>2</v>
      </c>
      <c r="F17" s="6" t="n"/>
      <c r="G17" s="30" t="n">
        <v>5.847</v>
      </c>
      <c r="H17" s="6" t="n"/>
      <c r="I17" s="25">
        <f>E17*G17*J17</f>
        <v/>
      </c>
      <c r="J17" s="31" t="n">
        <v>0.5</v>
      </c>
    </row>
    <row r="18">
      <c r="A18" s="23" t="n"/>
      <c r="B18" s="23" t="n"/>
      <c r="C18" s="26" t="inlineStr">
        <is>
          <t>M12 TOPLAMI</t>
        </is>
      </c>
      <c r="D18" s="27" t="inlineStr">
        <is>
          <t>m³</t>
        </is>
      </c>
      <c r="E18" s="23" t="n"/>
      <c r="F18" s="23" t="n"/>
      <c r="G18" s="23" t="n"/>
      <c r="H18" s="23" t="n"/>
      <c r="I18" s="23" t="n"/>
      <c r="J18" s="28">
        <f>SUM(I15:I17)</f>
        <v/>
      </c>
    </row>
    <row r="19" ht="22" customHeight="1">
      <c r="A19" s="20" t="n">
        <v>4</v>
      </c>
      <c r="B19" s="21" t="inlineStr">
        <is>
          <t>15.150.1005</t>
        </is>
      </c>
      <c r="C19" s="8" t="inlineStr">
        <is>
          <t>[M13]  C 25/30 hazır beton dökülmesi — kümes zemin döşemeleri (15 cm)</t>
        </is>
      </c>
      <c r="D19" s="22" t="inlineStr">
        <is>
          <t>m³</t>
        </is>
      </c>
      <c r="E19" s="23" t="n"/>
      <c r="F19" s="23" t="n"/>
      <c r="G19" s="23" t="n"/>
      <c r="H19" s="23" t="n"/>
      <c r="I19" s="23" t="n"/>
      <c r="J19" s="23" t="n"/>
    </row>
    <row r="20" ht="20" customHeight="1">
      <c r="A20" s="6" t="n"/>
      <c r="B20" s="6" t="n"/>
      <c r="C20" s="24" t="inlineStr">
        <is>
          <t>Kümes iç alanı 78.00x13,90 (servis bölümü hariç), kalınlık 0,15 m; 2 blok — bu yapıya düşen pay 0.500000</t>
        </is>
      </c>
      <c r="D20" s="6" t="n"/>
      <c r="E20" s="29" t="n">
        <v>2</v>
      </c>
      <c r="F20" s="30" t="n">
        <v>13.9</v>
      </c>
      <c r="G20" s="30" t="n">
        <v>78</v>
      </c>
      <c r="H20" s="30" t="n">
        <v>0.15</v>
      </c>
      <c r="I20" s="25">
        <f>E20*F20*G20*H20*J20</f>
        <v/>
      </c>
      <c r="J20" s="31" t="n">
        <v>0.5</v>
      </c>
    </row>
    <row r="21">
      <c r="A21" s="23" t="n"/>
      <c r="B21" s="23" t="n"/>
      <c r="C21" s="26" t="inlineStr">
        <is>
          <t>M13 TOPLAMI</t>
        </is>
      </c>
      <c r="D21" s="27" t="inlineStr">
        <is>
          <t>m³</t>
        </is>
      </c>
      <c r="E21" s="23" t="n"/>
      <c r="F21" s="23" t="n"/>
      <c r="G21" s="23" t="n"/>
      <c r="H21" s="23" t="n"/>
      <c r="I21" s="23" t="n"/>
      <c r="J21" s="28">
        <f>SUM(I20:I20)</f>
        <v/>
      </c>
    </row>
    <row r="22" ht="15" customHeight="1">
      <c r="A22" s="20" t="n">
        <v>5</v>
      </c>
      <c r="B22" s="21" t="inlineStr">
        <is>
          <t>15.180.1003</t>
        </is>
      </c>
      <c r="C22" s="8" t="inlineStr">
        <is>
          <t>[M18]  Plywood ile düz yüzeyli betonarme kalıbı — kümes temelleri</t>
        </is>
      </c>
      <c r="D22" s="22" t="inlineStr">
        <is>
          <t>m²</t>
        </is>
      </c>
      <c r="E22" s="23" t="n"/>
      <c r="F22" s="23" t="n"/>
      <c r="G22" s="23" t="n"/>
      <c r="H22" s="23" t="n"/>
      <c r="I22" s="23" t="n"/>
      <c r="J22" s="23" t="n"/>
    </row>
    <row r="23" ht="20" customHeight="1">
      <c r="A23" s="6" t="n"/>
      <c r="B23" s="6" t="n"/>
      <c r="C23" s="24" t="inlineStr">
        <is>
          <t>Şerit temel yan yüzleri: 21 aks x 2 yüz x 2 blok = 84; boy 13,55 m, yükseklik 0,60 m — bu yapıya düşen pay 0.500000</t>
        </is>
      </c>
      <c r="D23" s="6" t="n"/>
      <c r="E23" s="29" t="n">
        <v>84</v>
      </c>
      <c r="F23" s="6" t="n"/>
      <c r="G23" s="30" t="n">
        <v>13.55</v>
      </c>
      <c r="H23" s="30" t="n">
        <v>0.6</v>
      </c>
      <c r="I23" s="25">
        <f>E23*G23*H23*J23</f>
        <v/>
      </c>
      <c r="J23" s="31" t="n">
        <v>0.5</v>
      </c>
    </row>
    <row r="24" ht="20" customHeight="1">
      <c r="A24" s="6" t="n"/>
      <c r="B24" s="6" t="n"/>
      <c r="C24" s="24" t="inlineStr">
        <is>
          <t>Bağ kirişi yan yüzleri: 4 hat x 2 yüz x 2 blok = 16; kesişimler düşülmüş boy 68.05 m, yükseklik 0,30 m — bu yapıya düşen pay 0.500000</t>
        </is>
      </c>
      <c r="D24" s="6" t="n"/>
      <c r="E24" s="29" t="n">
        <v>16</v>
      </c>
      <c r="F24" s="6" t="n"/>
      <c r="G24" s="30" t="n">
        <v>68.05</v>
      </c>
      <c r="H24" s="30" t="n">
        <v>0.3</v>
      </c>
      <c r="I24" s="25">
        <f>E24*G24*H24*J24</f>
        <v/>
      </c>
      <c r="J24" s="31" t="n">
        <v>0.5</v>
      </c>
    </row>
    <row r="25" ht="30" customHeight="1">
      <c r="A25" s="6" t="n"/>
      <c r="B25" s="6" t="n"/>
      <c r="C25" s="24" t="inlineStr">
        <is>
          <t>Uç yüzeyler, gus ve birleşim bölgeleri — betonarme proje METRAJ tablosuna tamamlama (551.26-504.78 = 46.480 m²/blok) — bu yapıya düşen pay 0.500000</t>
        </is>
      </c>
      <c r="D25" s="6" t="n"/>
      <c r="E25" s="29" t="n">
        <v>2</v>
      </c>
      <c r="F25" s="6" t="n"/>
      <c r="G25" s="30" t="n">
        <v>46.48</v>
      </c>
      <c r="H25" s="6" t="n"/>
      <c r="I25" s="25">
        <f>E25*G25*J25</f>
        <v/>
      </c>
      <c r="J25" s="31" t="n">
        <v>0.5</v>
      </c>
    </row>
    <row r="26">
      <c r="A26" s="23" t="n"/>
      <c r="B26" s="23" t="n"/>
      <c r="C26" s="26" t="inlineStr">
        <is>
          <t>M18 TOPLAMI</t>
        </is>
      </c>
      <c r="D26" s="27" t="inlineStr">
        <is>
          <t>m²</t>
        </is>
      </c>
      <c r="E26" s="23" t="n"/>
      <c r="F26" s="23" t="n"/>
      <c r="G26" s="23" t="n"/>
      <c r="H26" s="23" t="n"/>
      <c r="I26" s="23" t="n"/>
      <c r="J26" s="28">
        <f>SUM(I23:I25)</f>
        <v/>
      </c>
    </row>
    <row r="27" ht="15" customHeight="1">
      <c r="A27" s="20" t="n">
        <v>6</v>
      </c>
      <c r="B27" s="21" t="inlineStr">
        <is>
          <t>15.160.1003</t>
        </is>
      </c>
      <c r="C27" s="8" t="inlineStr">
        <is>
          <t>[M22]  Ø8-Ø12 nervürlü beton çelik çubuğu — kümes temelleri</t>
        </is>
      </c>
      <c r="D27" s="22" t="inlineStr">
        <is>
          <t>ton</t>
        </is>
      </c>
      <c r="E27" s="23" t="n"/>
      <c r="F27" s="23" t="n"/>
      <c r="G27" s="23" t="n"/>
      <c r="H27" s="23" t="n"/>
      <c r="I27" s="23" t="n"/>
      <c r="J27" s="23" t="n"/>
    </row>
    <row r="28" ht="20" customHeight="1">
      <c r="A28" s="6" t="n"/>
      <c r="B28" s="6" t="n"/>
      <c r="C28" s="24" t="inlineStr">
        <is>
          <t>Betonarme proje METRAJ tablosu 4.159,89 kg/blok, boy oranı (1.000000) ile ölçeklenmiş: 4159.89 kg/blok; 2 blok — bu yapıya düşen pay 0.500000</t>
        </is>
      </c>
      <c r="D28" s="6" t="n"/>
      <c r="E28" s="29" t="n">
        <v>2</v>
      </c>
      <c r="F28" s="6" t="n"/>
      <c r="G28" s="6" t="n"/>
      <c r="H28" s="6" t="n"/>
      <c r="I28" s="25">
        <f>E28*J28</f>
        <v/>
      </c>
      <c r="J28" s="31" t="n">
        <v>2.079945</v>
      </c>
    </row>
    <row r="29">
      <c r="A29" s="23" t="n"/>
      <c r="B29" s="23" t="n"/>
      <c r="C29" s="26" t="inlineStr">
        <is>
          <t>M22 TOPLAMI</t>
        </is>
      </c>
      <c r="D29" s="27" t="inlineStr">
        <is>
          <t>ton</t>
        </is>
      </c>
      <c r="E29" s="23" t="n"/>
      <c r="F29" s="23" t="n"/>
      <c r="G29" s="23" t="n"/>
      <c r="H29" s="23" t="n"/>
      <c r="I29" s="23" t="n"/>
      <c r="J29" s="28">
        <f>SUM(I28:I28)</f>
        <v/>
      </c>
    </row>
    <row r="30" ht="15" customHeight="1">
      <c r="A30" s="20" t="n">
        <v>7</v>
      </c>
      <c r="B30" s="21" t="inlineStr">
        <is>
          <t>15.160.1004</t>
        </is>
      </c>
      <c r="C30" s="8" t="inlineStr">
        <is>
          <t>[M23]  Ø14-Ø28 nervürlü beton çelik çubuğu — kümes temelleri</t>
        </is>
      </c>
      <c r="D30" s="22" t="inlineStr">
        <is>
          <t>ton</t>
        </is>
      </c>
      <c r="E30" s="23" t="n"/>
      <c r="F30" s="23" t="n"/>
      <c r="G30" s="23" t="n"/>
      <c r="H30" s="23" t="n"/>
      <c r="I30" s="23" t="n"/>
      <c r="J30" s="23" t="n"/>
    </row>
    <row r="31" ht="20" customHeight="1">
      <c r="A31" s="6" t="n"/>
      <c r="B31" s="6" t="n"/>
      <c r="C31" s="24" t="inlineStr">
        <is>
          <t>Betonarme proje METRAJ tablosu 7.287,50 kg/blok, boy oranı (1.000000) ile ölçeklenmiş: 7287.50 kg/blok; 2 blok — bu yapıya düşen pay 0.500000</t>
        </is>
      </c>
      <c r="D31" s="6" t="n"/>
      <c r="E31" s="29" t="n">
        <v>2</v>
      </c>
      <c r="F31" s="6" t="n"/>
      <c r="G31" s="6" t="n"/>
      <c r="H31" s="6" t="n"/>
      <c r="I31" s="25">
        <f>E31*J31</f>
        <v/>
      </c>
      <c r="J31" s="31" t="n">
        <v>3.64375</v>
      </c>
    </row>
    <row r="32">
      <c r="A32" s="23" t="n"/>
      <c r="B32" s="23" t="n"/>
      <c r="C32" s="26" t="inlineStr">
        <is>
          <t>M23 TOPLAMI</t>
        </is>
      </c>
      <c r="D32" s="27" t="inlineStr">
        <is>
          <t>ton</t>
        </is>
      </c>
      <c r="E32" s="23" t="n"/>
      <c r="F32" s="23" t="n"/>
      <c r="G32" s="23" t="n"/>
      <c r="H32" s="23" t="n"/>
      <c r="I32" s="23" t="n"/>
      <c r="J32" s="28">
        <f>SUM(I31:I31)</f>
        <v/>
      </c>
    </row>
    <row r="33" ht="15" customHeight="1">
      <c r="A33" s="20" t="n">
        <v>8</v>
      </c>
      <c r="B33" s="21" t="inlineStr">
        <is>
          <t>15.160.1002</t>
        </is>
      </c>
      <c r="C33" s="8" t="inlineStr">
        <is>
          <t>[M27]  Nervürlü çelik hasırın yerine konulması — kümes döşemeleri</t>
        </is>
      </c>
      <c r="D33" s="22" t="inlineStr">
        <is>
          <t>ton</t>
        </is>
      </c>
      <c r="E33" s="23" t="n"/>
      <c r="F33" s="23" t="n"/>
      <c r="G33" s="23" t="n"/>
      <c r="H33" s="23" t="n"/>
      <c r="I33" s="23" t="n"/>
      <c r="J33" s="23" t="n"/>
    </row>
    <row r="34" ht="20" customHeight="1">
      <c r="A34" s="6" t="n"/>
      <c r="B34" s="6" t="n"/>
      <c r="C34" s="24" t="inlineStr">
        <is>
          <t>Kümes iç alanı 78.00x13,90 (2 blok); Q188 = 3,05 kg/m², %10 bindirme payı -&gt; 3,05x1,10/1000 = 0,003355 ton/m² — bu yapıya düşen pay 0.500000</t>
        </is>
      </c>
      <c r="D34" s="6" t="n"/>
      <c r="E34" s="29" t="n">
        <v>2</v>
      </c>
      <c r="F34" s="30" t="n">
        <v>13.9</v>
      </c>
      <c r="G34" s="30" t="n">
        <v>78</v>
      </c>
      <c r="H34" s="6" t="n"/>
      <c r="I34" s="25">
        <f>E34*F34*G34*J34</f>
        <v/>
      </c>
      <c r="J34" s="31" t="n">
        <v>0.0016775</v>
      </c>
    </row>
    <row r="35">
      <c r="A35" s="23" t="n"/>
      <c r="B35" s="23" t="n"/>
      <c r="C35" s="26" t="inlineStr">
        <is>
          <t>M27 TOPLAMI</t>
        </is>
      </c>
      <c r="D35" s="27" t="inlineStr">
        <is>
          <t>ton</t>
        </is>
      </c>
      <c r="E35" s="23" t="n"/>
      <c r="F35" s="23" t="n"/>
      <c r="G35" s="23" t="n"/>
      <c r="H35" s="23" t="n"/>
      <c r="I35" s="23" t="n"/>
      <c r="J35" s="28">
        <f>SUM(I34:I34)</f>
        <v/>
      </c>
    </row>
    <row r="36" ht="33" customHeight="1">
      <c r="A36" s="20" t="n">
        <v>9</v>
      </c>
      <c r="B36" s="21" t="inlineStr">
        <is>
          <t>15.165.1003</t>
        </is>
      </c>
      <c r="C36" s="8" t="inlineStr">
        <is>
          <t>[M31]  Her çeşit profil, çelik çubuk ve saclarla karkas (çerçeve) inşaat yapılması, yerine tespiti — kümes çelik taşıyıcı sistemi</t>
        </is>
      </c>
      <c r="D36" s="22" t="inlineStr">
        <is>
          <t>ton</t>
        </is>
      </c>
      <c r="E36" s="23" t="n"/>
      <c r="F36" s="23" t="n"/>
      <c r="G36" s="23" t="n"/>
      <c r="H36" s="23" t="n"/>
      <c r="I36" s="23" t="n"/>
      <c r="J36" s="23" t="n"/>
    </row>
    <row r="37" ht="20" customHeight="1">
      <c r="A37" s="6" t="n"/>
      <c r="B37" s="6" t="n"/>
      <c r="C37" s="24" t="inlineStr">
        <is>
          <t>SHS 150x150x6 kolon, ana kiriş ve boyuna kirişler: 802.09 m x 26,89 kg/m (2 blok) — bu yapıya düşen pay 0.500000</t>
        </is>
      </c>
      <c r="D37" s="6" t="n"/>
      <c r="E37" s="29" t="n">
        <v>2</v>
      </c>
      <c r="F37" s="6" t="n"/>
      <c r="G37" s="30" t="n">
        <v>802.09</v>
      </c>
      <c r="H37" s="6" t="n"/>
      <c r="I37" s="25">
        <f>E37*G37*J37</f>
        <v/>
      </c>
      <c r="J37" s="31" t="n">
        <v>0.013445</v>
      </c>
    </row>
    <row r="38" ht="20" customHeight="1">
      <c r="A38" s="6" t="n"/>
      <c r="B38" s="6" t="n"/>
      <c r="C38" s="24" t="inlineStr">
        <is>
          <t>RHS 100x50x3 çatı aşıkları, yan aşıklar ve kuşaklar: 2269.20 m x 6,72 kg/m (2 blok) — bu yapıya düşen pay 0.500000</t>
        </is>
      </c>
      <c r="D38" s="6" t="n"/>
      <c r="E38" s="29" t="n">
        <v>2</v>
      </c>
      <c r="F38" s="6" t="n"/>
      <c r="G38" s="30" t="n">
        <v>2269.2</v>
      </c>
      <c r="H38" s="6" t="n"/>
      <c r="I38" s="25">
        <f>E38*G38*J38</f>
        <v/>
      </c>
      <c r="J38" s="31" t="n">
        <v>0.00336</v>
      </c>
    </row>
    <row r="39" ht="20" customHeight="1">
      <c r="A39" s="6" t="n"/>
      <c r="B39" s="6" t="n"/>
      <c r="C39" s="24" t="inlineStr">
        <is>
          <t>SHS 100x100x4 çatı ve cephe çaprazları: 270.00 m x 11,95 kg/m (2 blok) — bu yapıya düşen pay 0.500000</t>
        </is>
      </c>
      <c r="D39" s="6" t="n"/>
      <c r="E39" s="29" t="n">
        <v>2</v>
      </c>
      <c r="F39" s="6" t="n"/>
      <c r="G39" s="30" t="n">
        <v>270</v>
      </c>
      <c r="H39" s="6" t="n"/>
      <c r="I39" s="25">
        <f>E39*G39*J39</f>
        <v/>
      </c>
      <c r="J39" s="31" t="n">
        <v>0.005975</v>
      </c>
    </row>
    <row r="40" ht="20" customHeight="1">
      <c r="A40" s="6" t="n"/>
      <c r="B40" s="6" t="n"/>
      <c r="C40" s="24" t="inlineStr">
        <is>
          <t>Gusse, alın levhası, taban plakası ve bulonlar — profil ağırlığının %10'u — bu yapıya düşen pay 0.500000</t>
        </is>
      </c>
      <c r="D40" s="6" t="n"/>
      <c r="E40" s="29" t="n">
        <v>2</v>
      </c>
      <c r="F40" s="6" t="n"/>
      <c r="G40" s="30" t="n">
        <v>40.0437</v>
      </c>
      <c r="H40" s="6" t="n"/>
      <c r="I40" s="25">
        <f>E40*G40*J40</f>
        <v/>
      </c>
      <c r="J40" s="31" t="n">
        <v>0.05</v>
      </c>
    </row>
    <row r="41">
      <c r="A41" s="23" t="n"/>
      <c r="B41" s="23" t="n"/>
      <c r="C41" s="26" t="inlineStr">
        <is>
          <t>M31 TOPLAMI</t>
        </is>
      </c>
      <c r="D41" s="27" t="inlineStr">
        <is>
          <t>ton</t>
        </is>
      </c>
      <c r="E41" s="23" t="n"/>
      <c r="F41" s="23" t="n"/>
      <c r="G41" s="23" t="n"/>
      <c r="H41" s="23" t="n"/>
      <c r="I41" s="23" t="n"/>
      <c r="J41" s="28">
        <f>SUM(I37:I40)</f>
        <v/>
      </c>
    </row>
    <row r="42" ht="33" customHeight="1">
      <c r="A42" s="20" t="n">
        <v>10</v>
      </c>
      <c r="B42" s="21" t="inlineStr">
        <is>
          <t>TKDK-0042</t>
        </is>
      </c>
      <c r="C42" s="8" t="inlineStr">
        <is>
          <t>[M32]  6 cm poliüretan dolgulu (üst min. 0,40 mm, alt min. 0,30 mm) boyalı galvanizli sac levhalar ile ısı yalıtımlı çatı kaplaması yapılması</t>
        </is>
      </c>
      <c r="D42" s="22" t="inlineStr">
        <is>
          <t>m²</t>
        </is>
      </c>
      <c r="E42" s="23" t="n"/>
      <c r="F42" s="23" t="n"/>
      <c r="G42" s="23" t="n"/>
      <c r="H42" s="23" t="n"/>
      <c r="I42" s="23" t="n"/>
      <c r="J42" s="23" t="n"/>
    </row>
    <row r="43" ht="30" customHeight="1">
      <c r="A43" s="6" t="n"/>
      <c r="B43" s="6" t="n"/>
      <c r="C43" s="24" t="inlineStr">
        <is>
          <t>Eğik çatı yüzeyi: gelişmiş genişlik 2x7,55 = 15,10 m (A-A kesitindeki 1510 ölçüsü); boy 79.00 + 2x0,40 saçak = 79.80 m; 2 blok — bu yapıya düşen pay 0.500000</t>
        </is>
      </c>
      <c r="D43" s="6" t="n"/>
      <c r="E43" s="29" t="n">
        <v>2</v>
      </c>
      <c r="F43" s="30" t="n">
        <v>15.1</v>
      </c>
      <c r="G43" s="30" t="n">
        <v>79.8</v>
      </c>
      <c r="H43" s="6" t="n"/>
      <c r="I43" s="25">
        <f>E43*F43*G43*J43</f>
        <v/>
      </c>
      <c r="J43" s="31" t="n">
        <v>0.5</v>
      </c>
    </row>
    <row r="44">
      <c r="A44" s="23" t="n"/>
      <c r="B44" s="23" t="n"/>
      <c r="C44" s="26" t="inlineStr">
        <is>
          <t>M32 TOPLAMI</t>
        </is>
      </c>
      <c r="D44" s="27" t="inlineStr">
        <is>
          <t>m²</t>
        </is>
      </c>
      <c r="E44" s="23" t="n"/>
      <c r="F44" s="23" t="n"/>
      <c r="G44" s="23" t="n"/>
      <c r="H44" s="23" t="n"/>
      <c r="I44" s="23" t="n"/>
      <c r="J44" s="28">
        <f>SUM(I43:I43)</f>
        <v/>
      </c>
    </row>
    <row r="45" ht="22" customHeight="1">
      <c r="A45" s="20" t="n">
        <v>11</v>
      </c>
      <c r="B45" s="21" t="inlineStr">
        <is>
          <t>15.225.1410</t>
        </is>
      </c>
      <c r="C45" s="8" t="inlineStr">
        <is>
          <t>[M33A]  20 cm kalınlığındaki teçhizatlı gazbeton lento temini ve yerine konulması — boşluk üstü lento ve yatay hatıl</t>
        </is>
      </c>
      <c r="D45" s="22" t="inlineStr">
        <is>
          <t>m²</t>
        </is>
      </c>
      <c r="E45" s="23" t="n"/>
      <c r="F45" s="23" t="n"/>
      <c r="G45" s="23" t="n"/>
      <c r="H45" s="23" t="n"/>
      <c r="I45" s="23" t="n"/>
      <c r="J45" s="23" t="n"/>
    </row>
    <row r="46" ht="20" customHeight="1">
      <c r="A46" s="6" t="n"/>
      <c r="B46" s="6" t="n"/>
      <c r="C46" s="24" t="inlineStr">
        <is>
          <t>Yükleme kapısı lentosu: açıklık 3,00 + 2x0,20 mesnet = 3,40 m; lento yüksekliği 0,25 m; 2 adet — bu yapıya düşen pay 0.500000</t>
        </is>
      </c>
      <c r="D46" s="6" t="n"/>
      <c r="E46" s="29" t="n">
        <v>2</v>
      </c>
      <c r="F46" s="6" t="n"/>
      <c r="G46" s="30" t="n">
        <v>3.4</v>
      </c>
      <c r="H46" s="30" t="n">
        <v>0.25</v>
      </c>
      <c r="I46" s="25">
        <f>E46*G46*H46*J46</f>
        <v/>
      </c>
      <c r="J46" s="31" t="n">
        <v>0.5</v>
      </c>
    </row>
    <row r="47" ht="20" customHeight="1">
      <c r="A47" s="6" t="n"/>
      <c r="B47" s="6" t="n"/>
      <c r="C47" s="24" t="inlineStr">
        <is>
          <t>Servis kapısı lentosu: açıklık 1,00 + 2x0,20 = 1,40 m; yükseklik 0,25 m; 4 adet — bu yapıya düşen pay 0.500000</t>
        </is>
      </c>
      <c r="D47" s="6" t="n"/>
      <c r="E47" s="29" t="n">
        <v>4</v>
      </c>
      <c r="F47" s="6" t="n"/>
      <c r="G47" s="30" t="n">
        <v>1.4</v>
      </c>
      <c r="H47" s="30" t="n">
        <v>0.25</v>
      </c>
      <c r="I47" s="25">
        <f>E47*G47*H47*J47</f>
        <v/>
      </c>
      <c r="J47" s="31" t="n">
        <v>0.5</v>
      </c>
    </row>
    <row r="48" ht="20" customHeight="1">
      <c r="A48" s="6" t="n"/>
      <c r="B48" s="6" t="n"/>
      <c r="C48" s="24" t="inlineStr">
        <is>
          <t>Tünel fan menfezi lentosu: açıklık 1,40 + 2x0,20 = 1,80 m; yükseklik 0,25 m; 8 adet — bu yapıya düşen pay 0.500000</t>
        </is>
      </c>
      <c r="D48" s="6" t="n"/>
      <c r="E48" s="29" t="n">
        <v>8</v>
      </c>
      <c r="F48" s="6" t="n"/>
      <c r="G48" s="30" t="n">
        <v>1.8</v>
      </c>
      <c r="H48" s="30" t="n">
        <v>0.25</v>
      </c>
      <c r="I48" s="25">
        <f>E48*G48*H48*J48</f>
        <v/>
      </c>
      <c r="J48" s="31" t="n">
        <v>0.5</v>
      </c>
    </row>
    <row r="49" ht="30" customHeight="1">
      <c r="A49" s="6" t="n"/>
      <c r="B49" s="6" t="n"/>
      <c r="C49" s="24" t="inlineStr">
        <is>
          <t>Uzun cephelerde +3,00 kotunda yatay hatıl (duvar yüksekliği 3,00 m &gt; 2,75 m): 2 cephe x 2 blok = 4; boy 79.00 m; yükseklik 0,25 m — bu yapıya düşen pay 0.500000</t>
        </is>
      </c>
      <c r="D49" s="6" t="n"/>
      <c r="E49" s="29" t="n">
        <v>4</v>
      </c>
      <c r="F49" s="6" t="n"/>
      <c r="G49" s="30" t="n">
        <v>79</v>
      </c>
      <c r="H49" s="30" t="n">
        <v>0.25</v>
      </c>
      <c r="I49" s="25">
        <f>E49*G49*H49*J49</f>
        <v/>
      </c>
      <c r="J49" s="31" t="n">
        <v>0.5</v>
      </c>
    </row>
    <row r="50" ht="20" customHeight="1">
      <c r="A50" s="6" t="n"/>
      <c r="B50" s="6" t="n"/>
      <c r="C50" s="24" t="inlineStr">
        <is>
          <t>Alınlık cephelerinde +3,00 kotunda yatay hatıl: 4; boy 14,00 m; yükseklik 0,25 m — bu yapıya düşen pay 0.500000</t>
        </is>
      </c>
      <c r="D50" s="6" t="n"/>
      <c r="E50" s="29" t="n">
        <v>4</v>
      </c>
      <c r="F50" s="6" t="n"/>
      <c r="G50" s="30" t="n">
        <v>14</v>
      </c>
      <c r="H50" s="30" t="n">
        <v>0.25</v>
      </c>
      <c r="I50" s="25">
        <f>E50*G50*H50*J50</f>
        <v/>
      </c>
      <c r="J50" s="31" t="n">
        <v>0.5</v>
      </c>
    </row>
    <row r="51">
      <c r="A51" s="23" t="n"/>
      <c r="B51" s="23" t="n"/>
      <c r="C51" s="26" t="inlineStr">
        <is>
          <t>M33A TOPLAMI</t>
        </is>
      </c>
      <c r="D51" s="27" t="inlineStr">
        <is>
          <t>m²</t>
        </is>
      </c>
      <c r="E51" s="23" t="n"/>
      <c r="F51" s="23" t="n"/>
      <c r="G51" s="23" t="n"/>
      <c r="H51" s="23" t="n"/>
      <c r="I51" s="23" t="n"/>
      <c r="J51" s="28">
        <f>SUM(I46:I50)</f>
        <v/>
      </c>
    </row>
    <row r="52" ht="22" customHeight="1">
      <c r="A52" s="20" t="n">
        <v>12</v>
      </c>
      <c r="B52" s="21" t="inlineStr">
        <is>
          <t>15.225.1010</t>
        </is>
      </c>
      <c r="C52" s="8" t="inlineStr">
        <is>
          <t>[M33]  20 cm kalınlığındaki teçhizatsız gazbeton duvar blokları ile duvar yapılması (gazbeton tutkalı ile) — cephe duvarı</t>
        </is>
      </c>
      <c r="D52" s="22" t="inlineStr">
        <is>
          <t>m²</t>
        </is>
      </c>
      <c r="E52" s="23" t="n"/>
      <c r="F52" s="23" t="n"/>
      <c r="G52" s="23" t="n"/>
      <c r="H52" s="23" t="n"/>
      <c r="I52" s="23" t="n"/>
      <c r="J52" s="23" t="n"/>
    </row>
    <row r="53" ht="20" customHeight="1">
      <c r="A53" s="6" t="n"/>
      <c r="B53" s="6" t="n"/>
      <c r="C53" s="24" t="inlineStr">
        <is>
          <t>Uzun cepheler: 2 cephe x 2 blok = 4; boy 79.00 m, saçak kotu 3,00 m — bu yapıya düşen pay 0.500000</t>
        </is>
      </c>
      <c r="D53" s="6" t="n"/>
      <c r="E53" s="29" t="n">
        <v>4</v>
      </c>
      <c r="F53" s="6" t="n"/>
      <c r="G53" s="30" t="n">
        <v>79</v>
      </c>
      <c r="H53" s="30" t="n">
        <v>3</v>
      </c>
      <c r="I53" s="25">
        <f>E53*G53*H53*J53</f>
        <v/>
      </c>
      <c r="J53" s="31" t="n">
        <v>0.5</v>
      </c>
    </row>
    <row r="54" ht="20" customHeight="1">
      <c r="A54" s="6" t="n"/>
      <c r="B54" s="6" t="n"/>
      <c r="C54" s="24" t="inlineStr">
        <is>
          <t>Alınlık cepheleri dikdörtgen kısmı: 2 cephe x 2 blok = 4; boy 14,00 m, yükseklik 3,00 m — bu yapıya düşen pay 0.500000</t>
        </is>
      </c>
      <c r="D54" s="6" t="n"/>
      <c r="E54" s="29" t="n">
        <v>4</v>
      </c>
      <c r="F54" s="6" t="n"/>
      <c r="G54" s="30" t="n">
        <v>14</v>
      </c>
      <c r="H54" s="30" t="n">
        <v>3</v>
      </c>
      <c r="I54" s="25">
        <f>E54*G54*H54*J54</f>
        <v/>
      </c>
      <c r="J54" s="31" t="n">
        <v>0.5</v>
      </c>
    </row>
    <row r="55" ht="20" customHeight="1">
      <c r="A55" s="6" t="n"/>
      <c r="B55" s="6" t="n"/>
      <c r="C55" s="24" t="inlineStr">
        <is>
          <t>Alınlık üçgeni: taban 14,00 m, yükseklik 4,50-3,00 = 1,50 m, üçgen çarpanı 0,50; 4 adet — bu yapıya düşen pay 0.500000</t>
        </is>
      </c>
      <c r="D55" s="6" t="n"/>
      <c r="E55" s="29" t="n">
        <v>4</v>
      </c>
      <c r="F55" s="6" t="n"/>
      <c r="G55" s="30" t="n">
        <v>14</v>
      </c>
      <c r="H55" s="30" t="n">
        <v>1.5</v>
      </c>
      <c r="I55" s="25">
        <f>E55*G55*H55*J55</f>
        <v/>
      </c>
      <c r="J55" s="31" t="n">
        <v>0.25</v>
      </c>
    </row>
    <row r="56" ht="12" customHeight="1">
      <c r="A56" s="6" t="n"/>
      <c r="B56" s="6" t="n"/>
      <c r="C56" s="24" t="inlineStr">
        <is>
          <t>Yükleme kapısı boşlukları (3,00x3,00), 2 adet — bu yapıya düşen pay 0.500000</t>
        </is>
      </c>
      <c r="D56" s="6" t="n"/>
      <c r="E56" s="29" t="n">
        <v>2</v>
      </c>
      <c r="F56" s="6" t="n"/>
      <c r="G56" s="30" t="n">
        <v>3</v>
      </c>
      <c r="H56" s="30" t="n">
        <v>3</v>
      </c>
      <c r="I56" s="25">
        <f>-E56*G56*H56*J56</f>
        <v/>
      </c>
      <c r="J56" s="31" t="n">
        <v>0.5</v>
      </c>
    </row>
    <row r="57" ht="12" customHeight="1">
      <c r="A57" s="6" t="n"/>
      <c r="B57" s="6" t="n"/>
      <c r="C57" s="24" t="inlineStr">
        <is>
          <t>Servis kapısı boşlukları (1,00x2,20), 4 adet — bu yapıya düşen pay 0.500000</t>
        </is>
      </c>
      <c r="D57" s="6" t="n"/>
      <c r="E57" s="29" t="n">
        <v>4</v>
      </c>
      <c r="F57" s="6" t="n"/>
      <c r="G57" s="30" t="n">
        <v>1</v>
      </c>
      <c r="H57" s="30" t="n">
        <v>2.2</v>
      </c>
      <c r="I57" s="25">
        <f>-E57*G57*H57*J57</f>
        <v/>
      </c>
      <c r="J57" s="31" t="n">
        <v>0.5</v>
      </c>
    </row>
    <row r="58" ht="12" customHeight="1">
      <c r="A58" s="6" t="n"/>
      <c r="B58" s="6" t="n"/>
      <c r="C58" s="24" t="inlineStr">
        <is>
          <t>Tünel fan boşlukları (1,40x1,40), 8 adet — bu yapıya düşen pay 0.500000</t>
        </is>
      </c>
      <c r="D58" s="6" t="n"/>
      <c r="E58" s="29" t="n">
        <v>8</v>
      </c>
      <c r="F58" s="6" t="n"/>
      <c r="G58" s="30" t="n">
        <v>1.4</v>
      </c>
      <c r="H58" s="30" t="n">
        <v>1.4</v>
      </c>
      <c r="I58" s="25">
        <f>-E58*G58*H58*J58</f>
        <v/>
      </c>
      <c r="J58" s="31" t="n">
        <v>0.5</v>
      </c>
    </row>
    <row r="59" ht="12" customHeight="1">
      <c r="A59" s="6" t="n"/>
      <c r="B59" s="6" t="n"/>
      <c r="C59" s="24" t="inlineStr">
        <is>
          <t>Lento ve yatay hatıl alanı düşülmüştür (M33A)</t>
        </is>
      </c>
      <c r="D59" s="6" t="n"/>
      <c r="E59" s="6" t="n"/>
      <c r="F59" s="6" t="n"/>
      <c r="G59" s="6" t="n"/>
      <c r="H59" s="6" t="n"/>
      <c r="I59" s="25">
        <f>-J51</f>
        <v/>
      </c>
      <c r="J59" s="6" t="n"/>
    </row>
    <row r="60">
      <c r="A60" s="23" t="n"/>
      <c r="B60" s="23" t="n"/>
      <c r="C60" s="26" t="inlineStr">
        <is>
          <t>M33 TOPLAMI</t>
        </is>
      </c>
      <c r="D60" s="27" t="inlineStr">
        <is>
          <t>m²</t>
        </is>
      </c>
      <c r="E60" s="23" t="n"/>
      <c r="F60" s="23" t="n"/>
      <c r="G60" s="23" t="n"/>
      <c r="H60" s="23" t="n"/>
      <c r="I60" s="23" t="n"/>
      <c r="J60" s="28">
        <f>SUM(I53:I59)</f>
        <v/>
      </c>
    </row>
    <row r="61" ht="22" customHeight="1">
      <c r="A61" s="20" t="n">
        <v>13</v>
      </c>
      <c r="B61" s="21" t="inlineStr">
        <is>
          <t>15.275.1116</t>
        </is>
      </c>
      <c r="C61" s="8" t="inlineStr">
        <is>
          <t>[M33B]  250 kg çimento dozlu harç ile kaba sıva yapılması — cephe duvarı dış yüzü</t>
        </is>
      </c>
      <c r="D61" s="22" t="inlineStr">
        <is>
          <t>m²</t>
        </is>
      </c>
      <c r="E61" s="23" t="n"/>
      <c r="F61" s="23" t="n"/>
      <c r="G61" s="23" t="n"/>
      <c r="H61" s="23" t="n"/>
      <c r="I61" s="23" t="n"/>
      <c r="J61" s="23" t="n"/>
    </row>
    <row r="62" ht="12" customHeight="1">
      <c r="A62" s="6" t="n"/>
      <c r="B62" s="6" t="n"/>
      <c r="C62" s="24" t="inlineStr">
        <is>
          <t>Gazbeton duvar dış yüzü (M33)</t>
        </is>
      </c>
      <c r="D62" s="6" t="n"/>
      <c r="E62" s="6" t="n"/>
      <c r="F62" s="6" t="n"/>
      <c r="G62" s="6" t="n"/>
      <c r="H62" s="6" t="n"/>
      <c r="I62" s="25">
        <f>J60</f>
        <v/>
      </c>
      <c r="J62" s="6" t="n"/>
    </row>
    <row r="63" ht="12" customHeight="1">
      <c r="A63" s="6" t="n"/>
      <c r="B63" s="6" t="n"/>
      <c r="C63" s="24" t="inlineStr">
        <is>
          <t>Lento ve yatay hatıl dış yüzü (M33A)</t>
        </is>
      </c>
      <c r="D63" s="6" t="n"/>
      <c r="E63" s="6" t="n"/>
      <c r="F63" s="6" t="n"/>
      <c r="G63" s="6" t="n"/>
      <c r="H63" s="6" t="n"/>
      <c r="I63" s="25">
        <f>J51</f>
        <v/>
      </c>
      <c r="J63" s="6" t="n"/>
    </row>
    <row r="64">
      <c r="A64" s="23" t="n"/>
      <c r="B64" s="23" t="n"/>
      <c r="C64" s="26" t="inlineStr">
        <is>
          <t>M33B TOPLAMI</t>
        </is>
      </c>
      <c r="D64" s="27" t="inlineStr">
        <is>
          <t>m²</t>
        </is>
      </c>
      <c r="E64" s="23" t="n"/>
      <c r="F64" s="23" t="n"/>
      <c r="G64" s="23" t="n"/>
      <c r="H64" s="23" t="n"/>
      <c r="I64" s="23" t="n"/>
      <c r="J64" s="28">
        <f>SUM(I62:I63)</f>
        <v/>
      </c>
    </row>
    <row r="65" ht="22" customHeight="1">
      <c r="A65" s="20" t="n">
        <v>14</v>
      </c>
      <c r="B65" s="21" t="inlineStr">
        <is>
          <t>15.275.1117</t>
        </is>
      </c>
      <c r="C65" s="8" t="inlineStr">
        <is>
          <t>[M33C]  200 kg çimento ve kireç karışımı harç ile kaba sıva yapılması (iç cephe) — cephe duvarı iç yüzü</t>
        </is>
      </c>
      <c r="D65" s="22" t="inlineStr">
        <is>
          <t>m²</t>
        </is>
      </c>
      <c r="E65" s="23" t="n"/>
      <c r="F65" s="23" t="n"/>
      <c r="G65" s="23" t="n"/>
      <c r="H65" s="23" t="n"/>
      <c r="I65" s="23" t="n"/>
      <c r="J65" s="23" t="n"/>
    </row>
    <row r="66" ht="12" customHeight="1">
      <c r="A66" s="6" t="n"/>
      <c r="B66" s="6" t="n"/>
      <c r="C66" s="24" t="inlineStr">
        <is>
          <t>Gazbeton duvar iç yüzü (M33)</t>
        </is>
      </c>
      <c r="D66" s="6" t="n"/>
      <c r="E66" s="6" t="n"/>
      <c r="F66" s="6" t="n"/>
      <c r="G66" s="6" t="n"/>
      <c r="H66" s="6" t="n"/>
      <c r="I66" s="25">
        <f>J60</f>
        <v/>
      </c>
      <c r="J66" s="6" t="n"/>
    </row>
    <row r="67" ht="12" customHeight="1">
      <c r="A67" s="6" t="n"/>
      <c r="B67" s="6" t="n"/>
      <c r="C67" s="24" t="inlineStr">
        <is>
          <t>Lento ve yatay hatıl iç yüzü (M33A)</t>
        </is>
      </c>
      <c r="D67" s="6" t="n"/>
      <c r="E67" s="6" t="n"/>
      <c r="F67" s="6" t="n"/>
      <c r="G67" s="6" t="n"/>
      <c r="H67" s="6" t="n"/>
      <c r="I67" s="25">
        <f>J51</f>
        <v/>
      </c>
      <c r="J67" s="6" t="n"/>
    </row>
    <row r="68">
      <c r="A68" s="23" t="n"/>
      <c r="B68" s="23" t="n"/>
      <c r="C68" s="26" t="inlineStr">
        <is>
          <t>M33C TOPLAMI</t>
        </is>
      </c>
      <c r="D68" s="27" t="inlineStr">
        <is>
          <t>m²</t>
        </is>
      </c>
      <c r="E68" s="23" t="n"/>
      <c r="F68" s="23" t="n"/>
      <c r="G68" s="23" t="n"/>
      <c r="H68" s="23" t="n"/>
      <c r="I68" s="23" t="n"/>
      <c r="J68" s="28">
        <f>SUM(I66:I67)</f>
        <v/>
      </c>
    </row>
    <row r="69" ht="22" customHeight="1">
      <c r="A69" s="20" t="n">
        <v>15</v>
      </c>
      <c r="B69" s="21" t="inlineStr">
        <is>
          <t>15.540.1606</t>
        </is>
      </c>
      <c r="C69" s="8" t="inlineStr">
        <is>
          <t>[M33D]  Brüt beton, sıvalı veya eski boyalı yüzeylere astar uygulanarak silikon esaslı su bazlı dış cephe boyası</t>
        </is>
      </c>
      <c r="D69" s="22" t="inlineStr">
        <is>
          <t>m²</t>
        </is>
      </c>
      <c r="E69" s="23" t="n"/>
      <c r="F69" s="23" t="n"/>
      <c r="G69" s="23" t="n"/>
      <c r="H69" s="23" t="n"/>
      <c r="I69" s="23" t="n"/>
      <c r="J69" s="23" t="n"/>
    </row>
    <row r="70" ht="12" customHeight="1">
      <c r="A70" s="6" t="n"/>
      <c r="B70" s="6" t="n"/>
      <c r="C70" s="24" t="inlineStr">
        <is>
          <t>Dış yüzde sıvalı alanın tamamı (M33B)</t>
        </is>
      </c>
      <c r="D70" s="6" t="n"/>
      <c r="E70" s="6" t="n"/>
      <c r="F70" s="6" t="n"/>
      <c r="G70" s="6" t="n"/>
      <c r="H70" s="6" t="n"/>
      <c r="I70" s="25">
        <f>J64</f>
        <v/>
      </c>
      <c r="J70" s="6" t="n"/>
    </row>
    <row r="71">
      <c r="A71" s="23" t="n"/>
      <c r="B71" s="23" t="n"/>
      <c r="C71" s="26" t="inlineStr">
        <is>
          <t>M33D TOPLAMI</t>
        </is>
      </c>
      <c r="D71" s="27" t="inlineStr">
        <is>
          <t>m²</t>
        </is>
      </c>
      <c r="E71" s="23" t="n"/>
      <c r="F71" s="23" t="n"/>
      <c r="G71" s="23" t="n"/>
      <c r="H71" s="23" t="n"/>
      <c r="I71" s="23" t="n"/>
      <c r="J71" s="28">
        <f>SUM(I70:I70)</f>
        <v/>
      </c>
    </row>
    <row r="72" ht="22" customHeight="1">
      <c r="A72" s="20" t="n">
        <v>16</v>
      </c>
      <c r="B72" s="21" t="inlineStr">
        <is>
          <t>15.540.1537</t>
        </is>
      </c>
      <c r="C72" s="8" t="inlineStr">
        <is>
          <t>[M33E]  Yeni sıva yüzeylere astar uygulanarak iki kat su bazlı plastik antibakteriyel iç cephe boyası</t>
        </is>
      </c>
      <c r="D72" s="22" t="inlineStr">
        <is>
          <t>m²</t>
        </is>
      </c>
      <c r="E72" s="23" t="n"/>
      <c r="F72" s="23" t="n"/>
      <c r="G72" s="23" t="n"/>
      <c r="H72" s="23" t="n"/>
      <c r="I72" s="23" t="n"/>
      <c r="J72" s="23" t="n"/>
    </row>
    <row r="73" ht="12" customHeight="1">
      <c r="A73" s="6" t="n"/>
      <c r="B73" s="6" t="n"/>
      <c r="C73" s="24" t="inlineStr">
        <is>
          <t>İç yüzde sıvalı alanın tamamı (M33C)</t>
        </is>
      </c>
      <c r="D73" s="6" t="n"/>
      <c r="E73" s="6" t="n"/>
      <c r="F73" s="6" t="n"/>
      <c r="G73" s="6" t="n"/>
      <c r="H73" s="6" t="n"/>
      <c r="I73" s="25">
        <f>J68</f>
        <v/>
      </c>
      <c r="J73" s="6" t="n"/>
    </row>
    <row r="74">
      <c r="A74" s="23" t="n"/>
      <c r="B74" s="23" t="n"/>
      <c r="C74" s="26" t="inlineStr">
        <is>
          <t>M33E TOPLAMI</t>
        </is>
      </c>
      <c r="D74" s="27" t="inlineStr">
        <is>
          <t>m²</t>
        </is>
      </c>
      <c r="E74" s="23" t="n"/>
      <c r="F74" s="23" t="n"/>
      <c r="G74" s="23" t="n"/>
      <c r="H74" s="23" t="n"/>
      <c r="I74" s="23" t="n"/>
      <c r="J74" s="28">
        <f>SUM(I73:I73)</f>
        <v/>
      </c>
    </row>
    <row r="75" ht="22" customHeight="1">
      <c r="A75" s="20" t="n">
        <v>17</v>
      </c>
      <c r="B75" s="21" t="inlineStr">
        <is>
          <t>15.550.1202</t>
        </is>
      </c>
      <c r="C75" s="8" t="inlineStr">
        <is>
          <t>[M34]  Lama ve profil demirlerden mahya, saçak ve köşe kapama profilleri</t>
        </is>
      </c>
      <c r="D75" s="22" t="inlineStr">
        <is>
          <t>kg</t>
        </is>
      </c>
      <c r="E75" s="23" t="n"/>
      <c r="F75" s="23" t="n"/>
      <c r="G75" s="23" t="n"/>
      <c r="H75" s="23" t="n"/>
      <c r="I75" s="23" t="n"/>
      <c r="J75" s="23" t="n"/>
    </row>
    <row r="76" ht="12" customHeight="1">
      <c r="A76" s="6" t="n"/>
      <c r="B76" s="6" t="n"/>
      <c r="C76" s="24" t="inlineStr">
        <is>
          <t>Mahya hattı (2 blok), 2,50 kg/m — bu yapıya düşen pay 0.500000</t>
        </is>
      </c>
      <c r="D76" s="6" t="n"/>
      <c r="E76" s="29" t="n">
        <v>2</v>
      </c>
      <c r="F76" s="6" t="n"/>
      <c r="G76" s="30" t="n">
        <v>79.8</v>
      </c>
      <c r="H76" s="6" t="n"/>
      <c r="I76" s="25">
        <f>E76*G76*J76</f>
        <v/>
      </c>
      <c r="J76" s="31" t="n">
        <v>1.25</v>
      </c>
    </row>
    <row r="77" ht="12" customHeight="1">
      <c r="A77" s="6" t="n"/>
      <c r="B77" s="6" t="n"/>
      <c r="C77" s="24" t="inlineStr">
        <is>
          <t>Saçak hattı: 2 kenar x 2 blok, 2,50 kg/m — bu yapıya düşen pay 0.500000</t>
        </is>
      </c>
      <c r="D77" s="6" t="n"/>
      <c r="E77" s="29" t="n">
        <v>4</v>
      </c>
      <c r="F77" s="6" t="n"/>
      <c r="G77" s="30" t="n">
        <v>79.8</v>
      </c>
      <c r="H77" s="6" t="n"/>
      <c r="I77" s="25">
        <f>E77*G77*J77</f>
        <v/>
      </c>
      <c r="J77" s="31" t="n">
        <v>1.25</v>
      </c>
    </row>
    <row r="78" ht="20" customHeight="1">
      <c r="A78" s="6" t="n"/>
      <c r="B78" s="6" t="n"/>
      <c r="C78" s="24" t="inlineStr">
        <is>
          <t>Alınlık eğim kapamaları: 2 alınlık x 2 eğim x 2 blok, eğik boy 7,55 m, 2,50 kg/m — bu yapıya düşen pay 0.500000</t>
        </is>
      </c>
      <c r="D78" s="6" t="n"/>
      <c r="E78" s="29" t="n">
        <v>8</v>
      </c>
      <c r="F78" s="6" t="n"/>
      <c r="G78" s="30" t="n">
        <v>7.55</v>
      </c>
      <c r="H78" s="6" t="n"/>
      <c r="I78" s="25">
        <f>E78*G78*J78</f>
        <v/>
      </c>
      <c r="J78" s="31" t="n">
        <v>1.25</v>
      </c>
    </row>
    <row r="79">
      <c r="A79" s="23" t="n"/>
      <c r="B79" s="23" t="n"/>
      <c r="C79" s="26" t="inlineStr">
        <is>
          <t>M34 TOPLAMI</t>
        </is>
      </c>
      <c r="D79" s="27" t="inlineStr">
        <is>
          <t>kg</t>
        </is>
      </c>
      <c r="E79" s="23" t="n"/>
      <c r="F79" s="23" t="n"/>
      <c r="G79" s="23" t="n"/>
      <c r="H79" s="23" t="n"/>
      <c r="I79" s="23" t="n"/>
      <c r="J79" s="28">
        <f>SUM(I76:I78)</f>
        <v/>
      </c>
    </row>
    <row r="80" ht="15" customHeight="1">
      <c r="A80" s="20" t="n">
        <v>18</v>
      </c>
      <c r="B80" s="21" t="inlineStr">
        <is>
          <t>TKDK-0115</t>
        </is>
      </c>
      <c r="C80" s="8" t="inlineStr">
        <is>
          <t>[M35]  Galvanizli düz sacdan yağmur oluğu yapılması — dere</t>
        </is>
      </c>
      <c r="D80" s="22" t="inlineStr">
        <is>
          <t>kg</t>
        </is>
      </c>
      <c r="E80" s="23" t="n"/>
      <c r="F80" s="23" t="n"/>
      <c r="G80" s="23" t="n"/>
      <c r="H80" s="23" t="n"/>
      <c r="I80" s="23" t="n"/>
      <c r="J80" s="23" t="n"/>
    </row>
    <row r="81" ht="40" customHeight="1">
      <c r="A81" s="6" t="n"/>
      <c r="B81" s="6" t="n"/>
      <c r="C81" s="24" t="inlineStr">
        <is>
          <t>Uzun cepheler boyunca: 2 kenar x 2 blok, saçaklı boy 79.80 m; gelişmiş genişlik 0,50 m, 0,50 mm galvanizli sac -&gt; 0,50 x 0,0005 x 7.850 = 1,96 kg/m, birleşim ve kenet payı ile 2,00 kg/m — bu yapıya düşen pay 0.500000</t>
        </is>
      </c>
      <c r="D81" s="6" t="n"/>
      <c r="E81" s="29" t="n">
        <v>4</v>
      </c>
      <c r="F81" s="6" t="n"/>
      <c r="G81" s="30" t="n">
        <v>79.8</v>
      </c>
      <c r="H81" s="6" t="n"/>
      <c r="I81" s="25">
        <f>E81*G81*J81</f>
        <v/>
      </c>
      <c r="J81" s="31" t="n">
        <v>1</v>
      </c>
    </row>
    <row r="82">
      <c r="A82" s="23" t="n"/>
      <c r="B82" s="23" t="n"/>
      <c r="C82" s="26" t="inlineStr">
        <is>
          <t>M35 TOPLAMI</t>
        </is>
      </c>
      <c r="D82" s="27" t="inlineStr">
        <is>
          <t>kg</t>
        </is>
      </c>
      <c r="E82" s="23" t="n"/>
      <c r="F82" s="23" t="n"/>
      <c r="G82" s="23" t="n"/>
      <c r="H82" s="23" t="n"/>
      <c r="I82" s="23" t="n"/>
      <c r="J82" s="28">
        <f>SUM(I81:I81)</f>
        <v/>
      </c>
    </row>
    <row r="83" ht="22" customHeight="1">
      <c r="A83" s="20" t="n">
        <v>19</v>
      </c>
      <c r="B83" s="21" t="inlineStr">
        <is>
          <t>15.315.1001</t>
        </is>
      </c>
      <c r="C83" s="8" t="inlineStr">
        <is>
          <t>[M36]  Ø70 sert PVC yağmur suyu iniş borusu temini ve yerine tesbiti</t>
        </is>
      </c>
      <c r="D83" s="22" t="inlineStr">
        <is>
          <t>m</t>
        </is>
      </c>
      <c r="E83" s="23" t="n"/>
      <c r="F83" s="23" t="n"/>
      <c r="G83" s="23" t="n"/>
      <c r="H83" s="23" t="n"/>
      <c r="I83" s="23" t="n"/>
      <c r="J83" s="23" t="n"/>
    </row>
    <row r="84" ht="30" customHeight="1">
      <c r="A84" s="6" t="n"/>
      <c r="B84" s="6" t="n"/>
      <c r="C84" s="24" t="inlineStr">
        <is>
          <t>Sıhhi tesisat projesi: blok başına 16 adet Ø70 iniş borusu (Y1-Y16), 2 blok = 32 adet; boy 3.00 m saçak kotu + 0,20 m zemin altı = 3,20 m — bu yapıya düşen pay 0.500000</t>
        </is>
      </c>
      <c r="D84" s="6" t="n"/>
      <c r="E84" s="29" t="n">
        <v>32</v>
      </c>
      <c r="F84" s="6" t="n"/>
      <c r="G84" s="30" t="n">
        <v>3.2</v>
      </c>
      <c r="H84" s="6" t="n"/>
      <c r="I84" s="25">
        <f>E84*G84*J84</f>
        <v/>
      </c>
      <c r="J84" s="31" t="n">
        <v>0.5</v>
      </c>
    </row>
    <row r="85">
      <c r="A85" s="23" t="n"/>
      <c r="B85" s="23" t="n"/>
      <c r="C85" s="26" t="inlineStr">
        <is>
          <t>M36 TOPLAMI</t>
        </is>
      </c>
      <c r="D85" s="27" t="inlineStr">
        <is>
          <t>m</t>
        </is>
      </c>
      <c r="E85" s="23" t="n"/>
      <c r="F85" s="23" t="n"/>
      <c r="G85" s="23" t="n"/>
      <c r="H85" s="23" t="n"/>
      <c r="I85" s="23" t="n"/>
      <c r="J85" s="28">
        <f>SUM(I84:I84)</f>
        <v/>
      </c>
    </row>
    <row r="86" ht="22" customHeight="1">
      <c r="A86" s="20" t="n">
        <v>20</v>
      </c>
      <c r="B86" s="21" t="inlineStr">
        <is>
          <t>TKDK-0151</t>
        </is>
      </c>
      <c r="C86" s="8" t="inlineStr">
        <is>
          <t>[M39]  5 cm poliüretan dolgulu panel ile ısı yalıtımlı kapı yapılması — kümes servis kapısı 100/220</t>
        </is>
      </c>
      <c r="D86" s="22" t="inlineStr">
        <is>
          <t>m²</t>
        </is>
      </c>
      <c r="E86" s="23" t="n"/>
      <c r="F86" s="23" t="n"/>
      <c r="G86" s="23" t="n"/>
      <c r="H86" s="23" t="n"/>
      <c r="I86" s="23" t="n"/>
      <c r="J86" s="23" t="n"/>
    </row>
    <row r="87" ht="20" customHeight="1">
      <c r="A87" s="6" t="n"/>
      <c r="B87" s="6" t="n"/>
      <c r="C87" s="24" t="inlineStr">
        <is>
          <t>Blok başına 2 adet (her iki alınlıkta birer), 2 blok = 4 adet; 1,00 x 2,20 = 2,20 m²/adet — bu yapıya düşen pay 0.500000</t>
        </is>
      </c>
      <c r="D87" s="6" t="n"/>
      <c r="E87" s="29" t="n">
        <v>4</v>
      </c>
      <c r="F87" s="30" t="n">
        <v>2.2</v>
      </c>
      <c r="G87" s="30" t="n">
        <v>1</v>
      </c>
      <c r="H87" s="6" t="n"/>
      <c r="I87" s="25">
        <f>E87*F87*G87*J87</f>
        <v/>
      </c>
      <c r="J87" s="31" t="n">
        <v>0.5</v>
      </c>
    </row>
    <row r="88">
      <c r="A88" s="23" t="n"/>
      <c r="B88" s="23" t="n"/>
      <c r="C88" s="26" t="inlineStr">
        <is>
          <t>M39 TOPLAMI</t>
        </is>
      </c>
      <c r="D88" s="27" t="inlineStr">
        <is>
          <t>m²</t>
        </is>
      </c>
      <c r="E88" s="23" t="n"/>
      <c r="F88" s="23" t="n"/>
      <c r="G88" s="23" t="n"/>
      <c r="H88" s="23" t="n"/>
      <c r="I88" s="23" t="n"/>
      <c r="J88" s="28">
        <f>SUM(I87:I87)</f>
        <v/>
      </c>
    </row>
    <row r="89" ht="22" customHeight="1">
      <c r="A89" s="20" t="n">
        <v>21</v>
      </c>
      <c r="B89" s="21" t="inlineStr">
        <is>
          <t>TKDK-0151</t>
        </is>
      </c>
      <c r="C89" s="8" t="inlineStr">
        <is>
          <t>[M40]  5 cm poliüretan dolgulu panel ile ısı yalıtımlı kapı yapılması — yükleme/temizlik kapısı 300/300 sürgülü</t>
        </is>
      </c>
      <c r="D89" s="22" t="inlineStr">
        <is>
          <t>m²</t>
        </is>
      </c>
      <c r="E89" s="23" t="n"/>
      <c r="F89" s="23" t="n"/>
      <c r="G89" s="23" t="n"/>
      <c r="H89" s="23" t="n"/>
      <c r="I89" s="23" t="n"/>
      <c r="J89" s="23" t="n"/>
    </row>
    <row r="90" ht="20" customHeight="1">
      <c r="A90" s="6" t="n"/>
      <c r="B90" s="6" t="n"/>
      <c r="C90" s="24" t="inlineStr">
        <is>
          <t>Blok başına 1 adet, 2 blok = 2 adet; 3,00 x 3,00 = 9,00 m²/adet — bu yapıya düşen pay 0.500000</t>
        </is>
      </c>
      <c r="D90" s="6" t="n"/>
      <c r="E90" s="29" t="n">
        <v>2</v>
      </c>
      <c r="F90" s="30" t="n">
        <v>3</v>
      </c>
      <c r="G90" s="30" t="n">
        <v>3</v>
      </c>
      <c r="H90" s="6" t="n"/>
      <c r="I90" s="25">
        <f>E90*F90*G90*J90</f>
        <v/>
      </c>
      <c r="J90" s="31" t="n">
        <v>0.5</v>
      </c>
    </row>
    <row r="91">
      <c r="A91" s="23" t="n"/>
      <c r="B91" s="23" t="n"/>
      <c r="C91" s="26" t="inlineStr">
        <is>
          <t>M40 TOPLAMI</t>
        </is>
      </c>
      <c r="D91" s="27" t="inlineStr">
        <is>
          <t>m²</t>
        </is>
      </c>
      <c r="E91" s="23" t="n"/>
      <c r="F91" s="23" t="n"/>
      <c r="G91" s="23" t="n"/>
      <c r="H91" s="23" t="n"/>
      <c r="I91" s="23" t="n"/>
      <c r="J91" s="28">
        <f>SUM(I90:I90)</f>
        <v/>
      </c>
    </row>
    <row r="92" ht="22" customHeight="1">
      <c r="A92" s="20" t="n">
        <v>22</v>
      </c>
      <c r="B92" s="21" t="inlineStr">
        <is>
          <t>15.225.1004</t>
        </is>
      </c>
      <c r="C92" s="8" t="inlineStr">
        <is>
          <t>[M43A]  10 cm kalınlığındaki teçhizatsız gazbeton duvar blokları ile bölme duvar yapılması — servis bölümü</t>
        </is>
      </c>
      <c r="D92" s="22" t="inlineStr">
        <is>
          <t>m²</t>
        </is>
      </c>
      <c r="E92" s="23" t="n"/>
      <c r="F92" s="23" t="n"/>
      <c r="G92" s="23" t="n"/>
      <c r="H92" s="23" t="n"/>
      <c r="I92" s="23" t="n"/>
      <c r="J92" s="23" t="n"/>
    </row>
    <row r="93" ht="12" customHeight="1">
      <c r="A93" s="6" t="n"/>
      <c r="B93" s="6" t="n"/>
      <c r="C93" s="24" t="inlineStr">
        <is>
          <t>Bölme duvar boyu 15,00 m, kat yüksekliği 3,00 m; 2 blok — bu yapıya düşen pay 0.500000</t>
        </is>
      </c>
      <c r="D93" s="6" t="n"/>
      <c r="E93" s="29" t="n">
        <v>2</v>
      </c>
      <c r="F93" s="6" t="n"/>
      <c r="G93" s="30" t="n">
        <v>15</v>
      </c>
      <c r="H93" s="30" t="n">
        <v>3</v>
      </c>
      <c r="I93" s="25">
        <f>E93*G93*H93*J93</f>
        <v/>
      </c>
      <c r="J93" s="31" t="n">
        <v>0.5</v>
      </c>
    </row>
    <row r="94">
      <c r="A94" s="23" t="n"/>
      <c r="B94" s="23" t="n"/>
      <c r="C94" s="26" t="inlineStr">
        <is>
          <t>M43A TOPLAMI</t>
        </is>
      </c>
      <c r="D94" s="27" t="inlineStr">
        <is>
          <t>m²</t>
        </is>
      </c>
      <c r="E94" s="23" t="n"/>
      <c r="F94" s="23" t="n"/>
      <c r="G94" s="23" t="n"/>
      <c r="H94" s="23" t="n"/>
      <c r="I94" s="23" t="n"/>
      <c r="J94" s="28">
        <f>SUM(I93:I93)</f>
        <v/>
      </c>
    </row>
    <row r="95" ht="22" customHeight="1">
      <c r="A95" s="20" t="n">
        <v>23</v>
      </c>
      <c r="B95" s="21" t="inlineStr">
        <is>
          <t>15.275.1117</t>
        </is>
      </c>
      <c r="C95" s="8" t="inlineStr">
        <is>
          <t>[M43B]  200 kg çimento ve kireç karışımı harç ile kaba sıva yapılması — servis bölümü bölme duvarları</t>
        </is>
      </c>
      <c r="D95" s="22" t="inlineStr">
        <is>
          <t>m²</t>
        </is>
      </c>
      <c r="E95" s="23" t="n"/>
      <c r="F95" s="23" t="n"/>
      <c r="G95" s="23" t="n"/>
      <c r="H95" s="23" t="n"/>
      <c r="I95" s="23" t="n"/>
      <c r="J95" s="23" t="n"/>
    </row>
    <row r="96" ht="12" customHeight="1">
      <c r="A96" s="6" t="n"/>
      <c r="B96" s="6" t="n"/>
      <c r="C96" s="24" t="inlineStr">
        <is>
          <t>Bölme duvarların iki yüzü: 15,00 x 3,00 x 2 yüz; 2 blok — bu yapıya düşen pay 0.500000</t>
        </is>
      </c>
      <c r="D96" s="6" t="n"/>
      <c r="E96" s="29" t="n">
        <v>2</v>
      </c>
      <c r="F96" s="30" t="n">
        <v>2</v>
      </c>
      <c r="G96" s="30" t="n">
        <v>15</v>
      </c>
      <c r="H96" s="30" t="n">
        <v>3</v>
      </c>
      <c r="I96" s="25">
        <f>E96*F96*G96*H96*J96</f>
        <v/>
      </c>
      <c r="J96" s="31" t="n">
        <v>0.5</v>
      </c>
    </row>
    <row r="97">
      <c r="A97" s="23" t="n"/>
      <c r="B97" s="23" t="n"/>
      <c r="C97" s="26" t="inlineStr">
        <is>
          <t>M43B TOPLAMI</t>
        </is>
      </c>
      <c r="D97" s="27" t="inlineStr">
        <is>
          <t>m²</t>
        </is>
      </c>
      <c r="E97" s="23" t="n"/>
      <c r="F97" s="23" t="n"/>
      <c r="G97" s="23" t="n"/>
      <c r="H97" s="23" t="n"/>
      <c r="I97" s="23" t="n"/>
      <c r="J97" s="28">
        <f>SUM(I96:I96)</f>
        <v/>
      </c>
    </row>
    <row r="98" ht="22" customHeight="1">
      <c r="A98" s="20" t="n">
        <v>24</v>
      </c>
      <c r="B98" s="21" t="inlineStr">
        <is>
          <t>TKDK-0177</t>
        </is>
      </c>
      <c r="C98" s="8" t="inlineStr">
        <is>
          <t>[M43C]  Duvar karosu ile 3 mm derz aralıklı döşeme ve duvar kaplaması yapılması — servis bölümü</t>
        </is>
      </c>
      <c r="D98" s="22" t="inlineStr">
        <is>
          <t>m²</t>
        </is>
      </c>
      <c r="E98" s="23" t="n"/>
      <c r="F98" s="23" t="n"/>
      <c r="G98" s="23" t="n"/>
      <c r="H98" s="23" t="n"/>
      <c r="I98" s="23" t="n"/>
      <c r="J98" s="23" t="n"/>
    </row>
    <row r="99" ht="12" customHeight="1">
      <c r="A99" s="6" t="n"/>
      <c r="B99" s="6" t="n"/>
      <c r="C99" s="24" t="inlineStr">
        <is>
          <t>Zemin kaplaması: servis bölümü alanı 25,00 m²; 2 blok — bu yapıya düşen pay 0.500000</t>
        </is>
      </c>
      <c r="D99" s="6" t="n"/>
      <c r="E99" s="29" t="n">
        <v>2</v>
      </c>
      <c r="F99" s="6" t="n"/>
      <c r="G99" s="30" t="n">
        <v>25</v>
      </c>
      <c r="H99" s="6" t="n"/>
      <c r="I99" s="25">
        <f>E99*G99*J99</f>
        <v/>
      </c>
      <c r="J99" s="31" t="n">
        <v>0.5</v>
      </c>
    </row>
    <row r="100" ht="20" customHeight="1">
      <c r="A100" s="6" t="n"/>
      <c r="B100" s="6" t="n"/>
      <c r="C100" s="24" t="inlineStr">
        <is>
          <t>Duvar kaplaması: WC ve hijyen bölmesi çevresi 17,50 m, kaplama yüksekliği 2,00 m; 2 blok — bu yapıya düşen pay 0.500000</t>
        </is>
      </c>
      <c r="D100" s="6" t="n"/>
      <c r="E100" s="29" t="n">
        <v>2</v>
      </c>
      <c r="F100" s="6" t="n"/>
      <c r="G100" s="30" t="n">
        <v>17.5</v>
      </c>
      <c r="H100" s="30" t="n">
        <v>2</v>
      </c>
      <c r="I100" s="25">
        <f>E100*G100*H100*J100</f>
        <v/>
      </c>
      <c r="J100" s="31" t="n">
        <v>0.5</v>
      </c>
    </row>
    <row r="101">
      <c r="A101" s="23" t="n"/>
      <c r="B101" s="23" t="n"/>
      <c r="C101" s="26" t="inlineStr">
        <is>
          <t>M43C TOPLAMI</t>
        </is>
      </c>
      <c r="D101" s="27" t="inlineStr">
        <is>
          <t>m²</t>
        </is>
      </c>
      <c r="E101" s="23" t="n"/>
      <c r="F101" s="23" t="n"/>
      <c r="G101" s="23" t="n"/>
      <c r="H101" s="23" t="n"/>
      <c r="I101" s="23" t="n"/>
      <c r="J101" s="28">
        <f>SUM(I99:I100)</f>
        <v/>
      </c>
    </row>
    <row r="102" ht="22" customHeight="1">
      <c r="A102" s="20" t="n">
        <v>25</v>
      </c>
      <c r="B102" s="21" t="inlineStr">
        <is>
          <t>15.540.1537</t>
        </is>
      </c>
      <c r="C102" s="8" t="inlineStr">
        <is>
          <t>[M43D]  Yeni sıva yüzeylere astar uygulanarak iki kat su bazlı plastik antibakteriyel boya — servis bölümü</t>
        </is>
      </c>
      <c r="D102" s="22" t="inlineStr">
        <is>
          <t>m²</t>
        </is>
      </c>
      <c r="E102" s="23" t="n"/>
      <c r="F102" s="23" t="n"/>
      <c r="G102" s="23" t="n"/>
      <c r="H102" s="23" t="n"/>
      <c r="I102" s="23" t="n"/>
      <c r="J102" s="23" t="n"/>
    </row>
    <row r="103" ht="12" customHeight="1">
      <c r="A103" s="6" t="n"/>
      <c r="B103" s="6" t="n"/>
      <c r="C103" s="24" t="inlineStr">
        <is>
          <t>Sıvalı yüzeyin tamamı: 15,00 x 3,00 x 2 yüz; 2 blok — bu yapıya düşen pay 0.500000</t>
        </is>
      </c>
      <c r="D103" s="6" t="n"/>
      <c r="E103" s="29" t="n">
        <v>2</v>
      </c>
      <c r="F103" s="30" t="n">
        <v>2</v>
      </c>
      <c r="G103" s="30" t="n">
        <v>15</v>
      </c>
      <c r="H103" s="30" t="n">
        <v>3</v>
      </c>
      <c r="I103" s="25">
        <f>E103*F103*G103*H103*J103</f>
        <v/>
      </c>
      <c r="J103" s="31" t="n">
        <v>0.5</v>
      </c>
    </row>
    <row r="104" ht="20" customHeight="1">
      <c r="A104" s="6" t="n"/>
      <c r="B104" s="6" t="n"/>
      <c r="C104" s="24" t="inlineStr">
        <is>
          <t>Seramik kaplanan duvar yüzeyi düşülür: 17,50 x 2,00; 2 blok — bu yapıya düşen pay 0.500000</t>
        </is>
      </c>
      <c r="D104" s="6" t="n"/>
      <c r="E104" s="29" t="n">
        <v>2</v>
      </c>
      <c r="F104" s="6" t="n"/>
      <c r="G104" s="30" t="n">
        <v>17.5</v>
      </c>
      <c r="H104" s="30" t="n">
        <v>2</v>
      </c>
      <c r="I104" s="25">
        <f>-E104*G104*H104*J104</f>
        <v/>
      </c>
      <c r="J104" s="31" t="n">
        <v>0.5</v>
      </c>
    </row>
    <row r="105">
      <c r="A105" s="23" t="n"/>
      <c r="B105" s="23" t="n"/>
      <c r="C105" s="26" t="inlineStr">
        <is>
          <t>M43D TOPLAMI</t>
        </is>
      </c>
      <c r="D105" s="27" t="inlineStr">
        <is>
          <t>m²</t>
        </is>
      </c>
      <c r="E105" s="23" t="n"/>
      <c r="F105" s="23" t="n"/>
      <c r="G105" s="23" t="n"/>
      <c r="H105" s="23" t="n"/>
      <c r="I105" s="23" t="n"/>
      <c r="J105" s="28">
        <f>SUM(I103:I104)</f>
        <v/>
      </c>
    </row>
    <row r="106" ht="22" customHeight="1">
      <c r="A106" s="20" t="n">
        <v>26</v>
      </c>
      <c r="B106" s="21" t="inlineStr">
        <is>
          <t>TKDK-0175</t>
        </is>
      </c>
      <c r="C106" s="8" t="inlineStr">
        <is>
          <t>[M43E]  PVC kaplamalı MDF presli iç kapı kanadı yapılması, yerinde takılması — servis bölümü</t>
        </is>
      </c>
      <c r="D106" s="22" t="inlineStr">
        <is>
          <t>m²</t>
        </is>
      </c>
      <c r="E106" s="23" t="n"/>
      <c r="F106" s="23" t="n"/>
      <c r="G106" s="23" t="n"/>
      <c r="H106" s="23" t="n"/>
      <c r="I106" s="23" t="n"/>
      <c r="J106" s="23" t="n"/>
    </row>
    <row r="107" ht="20" customHeight="1">
      <c r="A107" s="6" t="n"/>
      <c r="B107" s="6" t="n"/>
      <c r="C107" s="24" t="inlineStr">
        <is>
          <t>Blok başına 3 adet (hijyen, ofis, WC); 0,90 x 2,10 = 1,89 m²/adet — bu yapıya düşen pay 0.500000</t>
        </is>
      </c>
      <c r="D107" s="6" t="n"/>
      <c r="E107" s="29" t="n">
        <v>6</v>
      </c>
      <c r="F107" s="30" t="n">
        <v>2.1</v>
      </c>
      <c r="G107" s="30" t="n">
        <v>0.9</v>
      </c>
      <c r="H107" s="6" t="n"/>
      <c r="I107" s="25">
        <f>E107*F107*G107*J107</f>
        <v/>
      </c>
      <c r="J107" s="31" t="n">
        <v>0.5</v>
      </c>
    </row>
    <row r="108">
      <c r="A108" s="23" t="n"/>
      <c r="B108" s="23" t="n"/>
      <c r="C108" s="26" t="inlineStr">
        <is>
          <t>M43E TOPLAMI</t>
        </is>
      </c>
      <c r="D108" s="27" t="inlineStr">
        <is>
          <t>m²</t>
        </is>
      </c>
      <c r="E108" s="23" t="n"/>
      <c r="F108" s="23" t="n"/>
      <c r="G108" s="23" t="n"/>
      <c r="H108" s="23" t="n"/>
      <c r="I108" s="23" t="n"/>
      <c r="J108" s="28">
        <f>SUM(I107:I107)</f>
        <v/>
      </c>
    </row>
    <row r="109" ht="22" customHeight="1">
      <c r="A109" s="20" t="n">
        <v>27</v>
      </c>
      <c r="B109" s="21" t="inlineStr">
        <is>
          <t>15.550.1002</t>
        </is>
      </c>
      <c r="C109" s="8" t="inlineStr">
        <is>
          <t>[M43F]  1,50 mm sacdan bükme kapı kasası yapılması ve yerine konulması — servis bölümü iç kapıları</t>
        </is>
      </c>
      <c r="D109" s="22" t="inlineStr">
        <is>
          <t>kg</t>
        </is>
      </c>
      <c r="E109" s="23" t="n"/>
      <c r="F109" s="23" t="n"/>
      <c r="G109" s="23" t="n"/>
      <c r="H109" s="23" t="n"/>
      <c r="I109" s="23" t="n"/>
      <c r="J109" s="23" t="n"/>
    </row>
    <row r="110" ht="20" customHeight="1">
      <c r="A110" s="6" t="n"/>
      <c r="B110" s="6" t="n"/>
      <c r="C110" s="24" t="inlineStr">
        <is>
          <t>Blok başına 3 adet; kasa çevresi 2x2,10+0,90 = 5,10 m, 1,50 mm sacdan bükme kasa 3,55 kg/m -&gt; 18,10 kg/adet — bu yapıya düşen pay 0.500000</t>
        </is>
      </c>
      <c r="D110" s="6" t="n"/>
      <c r="E110" s="29" t="n">
        <v>6</v>
      </c>
      <c r="F110" s="6" t="n"/>
      <c r="G110" s="30" t="n">
        <v>5.1</v>
      </c>
      <c r="H110" s="6" t="n"/>
      <c r="I110" s="25">
        <f>E110*G110*J110</f>
        <v/>
      </c>
      <c r="J110" s="31" t="n">
        <v>1.775</v>
      </c>
    </row>
    <row r="111">
      <c r="A111" s="23" t="n"/>
      <c r="B111" s="23" t="n"/>
      <c r="C111" s="26" t="inlineStr">
        <is>
          <t>M43F TOPLAMI</t>
        </is>
      </c>
      <c r="D111" s="27" t="inlineStr">
        <is>
          <t>kg</t>
        </is>
      </c>
      <c r="E111" s="23" t="n"/>
      <c r="F111" s="23" t="n"/>
      <c r="G111" s="23" t="n"/>
      <c r="H111" s="23" t="n"/>
      <c r="I111" s="23" t="n"/>
      <c r="J111" s="28">
        <f>SUM(I110:I110)</f>
        <v/>
      </c>
    </row>
    <row r="112" ht="22" customHeight="1">
      <c r="A112" s="20" t="n">
        <v>28</v>
      </c>
      <c r="B112" s="21" t="inlineStr">
        <is>
          <t>43.527.1001</t>
        </is>
      </c>
      <c r="C112" s="8" t="inlineStr">
        <is>
          <t>[M59]  ø150 HDPE koruge boru ile pissu hattı döşenmesi (SN 8, lastik conta ve boru bedeli dahil)</t>
        </is>
      </c>
      <c r="D112" s="22" t="inlineStr">
        <is>
          <t>m</t>
        </is>
      </c>
      <c r="E112" s="23" t="n"/>
      <c r="F112" s="23" t="n"/>
      <c r="G112" s="23" t="n"/>
      <c r="H112" s="23" t="n"/>
      <c r="I112" s="23" t="n"/>
      <c r="J112" s="23" t="n"/>
    </row>
    <row r="113" ht="12" customHeight="1">
      <c r="A113" s="6" t="n"/>
      <c r="B113" s="6" t="n"/>
      <c r="C113" s="24" t="inlineStr">
        <is>
          <t>Servis bölümleri iç hatları (2 blok) — bu yapıya düşen pay 0.500000</t>
        </is>
      </c>
      <c r="D113" s="6" t="n"/>
      <c r="E113" s="29" t="n">
        <v>2</v>
      </c>
      <c r="F113" s="6" t="n"/>
      <c r="G113" s="30" t="n">
        <v>25</v>
      </c>
      <c r="H113" s="6" t="n"/>
      <c r="I113" s="25">
        <f>E113*G113*J113</f>
        <v/>
      </c>
      <c r="J113" s="31" t="n">
        <v>0.5</v>
      </c>
    </row>
    <row r="114">
      <c r="A114" s="23" t="n"/>
      <c r="B114" s="23" t="n"/>
      <c r="C114" s="26" t="inlineStr">
        <is>
          <t>M59 TOPLAMI</t>
        </is>
      </c>
      <c r="D114" s="27" t="inlineStr">
        <is>
          <t>m</t>
        </is>
      </c>
      <c r="E114" s="23" t="n"/>
      <c r="F114" s="23" t="n"/>
      <c r="G114" s="23" t="n"/>
      <c r="H114" s="23" t="n"/>
      <c r="I114" s="23" t="n"/>
      <c r="J114" s="28">
        <f>SUM(I113:I113)</f>
        <v/>
      </c>
    </row>
    <row r="115" ht="22" customHeight="1">
      <c r="A115" s="20" t="n">
        <v>29</v>
      </c>
      <c r="B115" s="21" t="inlineStr">
        <is>
          <t>30.100.2105</t>
        </is>
      </c>
      <c r="C115" s="8" t="inlineStr">
        <is>
          <t>[M67]  Kümes dağıtım panosu (sıva üstü galvanizli sac tablo, 0,40-0,50 m²)</t>
        </is>
      </c>
      <c r="D115" s="22" t="inlineStr">
        <is>
          <t>ad</t>
        </is>
      </c>
      <c r="E115" s="23" t="n"/>
      <c r="F115" s="23" t="n"/>
      <c r="G115" s="23" t="n"/>
      <c r="H115" s="23" t="n"/>
      <c r="I115" s="23" t="n"/>
      <c r="J115" s="23" t="n"/>
    </row>
    <row r="116" ht="12" customHeight="1">
      <c r="A116" s="6" t="n"/>
      <c r="B116" s="6" t="n"/>
      <c r="C116" s="24" t="inlineStr">
        <is>
          <t>Blok başına 1 adet, 2 blok — bu yapıya düşen pay 0.500000</t>
        </is>
      </c>
      <c r="D116" s="6" t="n"/>
      <c r="E116" s="29" t="n">
        <v>1</v>
      </c>
      <c r="F116" s="6" t="n"/>
      <c r="G116" s="6" t="n"/>
      <c r="H116" s="6" t="n"/>
      <c r="I116" s="25">
        <f>E116*J116</f>
        <v/>
      </c>
      <c r="J116" s="31" t="n">
        <v>1</v>
      </c>
    </row>
    <row r="117">
      <c r="A117" s="23" t="n"/>
      <c r="B117" s="23" t="n"/>
      <c r="C117" s="26" t="inlineStr">
        <is>
          <t>M67 TOPLAMI</t>
        </is>
      </c>
      <c r="D117" s="27" t="inlineStr">
        <is>
          <t>ad</t>
        </is>
      </c>
      <c r="E117" s="23" t="n"/>
      <c r="F117" s="23" t="n"/>
      <c r="G117" s="23" t="n"/>
      <c r="H117" s="23" t="n"/>
      <c r="I117" s="23" t="n"/>
      <c r="J117" s="28">
        <f>SUM(I116:I116)</f>
        <v/>
      </c>
    </row>
    <row r="118" ht="22" customHeight="1">
      <c r="A118" s="20" t="n">
        <v>30</v>
      </c>
      <c r="B118" s="21" t="inlineStr">
        <is>
          <t>30.110.1102</t>
        </is>
      </c>
      <c r="C118" s="8" t="inlineStr">
        <is>
          <t>[M68]  Termik-manyetik kompakt şalter 3x100 A, Icu 35 kA — kümes besleme</t>
        </is>
      </c>
      <c r="D118" s="22" t="inlineStr">
        <is>
          <t>ad</t>
        </is>
      </c>
      <c r="E118" s="23" t="n"/>
      <c r="F118" s="23" t="n"/>
      <c r="G118" s="23" t="n"/>
      <c r="H118" s="23" t="n"/>
      <c r="I118" s="23" t="n"/>
      <c r="J118" s="23" t="n"/>
    </row>
    <row r="119" ht="12" customHeight="1">
      <c r="A119" s="6" t="n"/>
      <c r="B119" s="6" t="n"/>
      <c r="C119" s="24" t="inlineStr">
        <is>
          <t>Blok başına 1 adet, 2 blok — bu yapıya düşen pay 0.500000</t>
        </is>
      </c>
      <c r="D119" s="6" t="n"/>
      <c r="E119" s="29" t="n">
        <v>1</v>
      </c>
      <c r="F119" s="6" t="n"/>
      <c r="G119" s="6" t="n"/>
      <c r="H119" s="6" t="n"/>
      <c r="I119" s="25">
        <f>E119*J119</f>
        <v/>
      </c>
      <c r="J119" s="31" t="n">
        <v>1</v>
      </c>
    </row>
    <row r="120">
      <c r="A120" s="23" t="n"/>
      <c r="B120" s="23" t="n"/>
      <c r="C120" s="26" t="inlineStr">
        <is>
          <t>M68 TOPLAMI</t>
        </is>
      </c>
      <c r="D120" s="27" t="inlineStr">
        <is>
          <t>ad</t>
        </is>
      </c>
      <c r="E120" s="23" t="n"/>
      <c r="F120" s="23" t="n"/>
      <c r="G120" s="23" t="n"/>
      <c r="H120" s="23" t="n"/>
      <c r="I120" s="23" t="n"/>
      <c r="J120" s="28">
        <f>SUM(I119:I119)</f>
        <v/>
      </c>
    </row>
    <row r="121" ht="15" customHeight="1">
      <c r="A121" s="20" t="n">
        <v>31</v>
      </c>
      <c r="B121" s="21" t="inlineStr">
        <is>
          <t>30.115.1003</t>
        </is>
      </c>
      <c r="C121" s="8" t="inlineStr">
        <is>
          <t>[M69]  Kaçak akım koruma şalteri 2x63 A, 30 mA</t>
        </is>
      </c>
      <c r="D121" s="22" t="inlineStr">
        <is>
          <t>ad</t>
        </is>
      </c>
      <c r="E121" s="23" t="n"/>
      <c r="F121" s="23" t="n"/>
      <c r="G121" s="23" t="n"/>
      <c r="H121" s="23" t="n"/>
      <c r="I121" s="23" t="n"/>
      <c r="J121" s="23" t="n"/>
    </row>
    <row r="122" ht="12" customHeight="1">
      <c r="A122" s="6" t="n"/>
      <c r="B122" s="6" t="n"/>
      <c r="C122" s="24" t="inlineStr">
        <is>
          <t>Kümes panolarında blok başına 2 adet — bu yapıya düşen pay 0.500000</t>
        </is>
      </c>
      <c r="D122" s="6" t="n"/>
      <c r="E122" s="29" t="n">
        <v>1</v>
      </c>
      <c r="F122" s="6" t="n"/>
      <c r="G122" s="6" t="n"/>
      <c r="H122" s="6" t="n"/>
      <c r="I122" s="25">
        <f>E122*J122</f>
        <v/>
      </c>
      <c r="J122" s="31" t="n">
        <v>2</v>
      </c>
    </row>
    <row r="123">
      <c r="A123" s="23" t="n"/>
      <c r="B123" s="23" t="n"/>
      <c r="C123" s="26" t="inlineStr">
        <is>
          <t>M69 TOPLAMI</t>
        </is>
      </c>
      <c r="D123" s="27" t="inlineStr">
        <is>
          <t>ad</t>
        </is>
      </c>
      <c r="E123" s="23" t="n"/>
      <c r="F123" s="23" t="n"/>
      <c r="G123" s="23" t="n"/>
      <c r="H123" s="23" t="n"/>
      <c r="I123" s="23" t="n"/>
      <c r="J123" s="28">
        <f>SUM(I122:I122)</f>
        <v/>
      </c>
    </row>
    <row r="124" ht="22" customHeight="1">
      <c r="A124" s="20" t="n">
        <v>32</v>
      </c>
      <c r="B124" s="21" t="inlineStr">
        <is>
          <t>30.140.3104</t>
        </is>
      </c>
      <c r="C124" s="8" t="inlineStr">
        <is>
          <t>[M71]  YVV (NYY) 1 kV yeraltı kablosu ile kolon hattı tesisi — 1x25 mm²</t>
        </is>
      </c>
      <c r="D124" s="22" t="inlineStr">
        <is>
          <t>m</t>
        </is>
      </c>
      <c r="E124" s="23" t="n"/>
      <c r="F124" s="23" t="n"/>
      <c r="G124" s="23" t="n"/>
      <c r="H124" s="23" t="n"/>
      <c r="I124" s="23" t="n"/>
      <c r="J124" s="23" t="n"/>
    </row>
    <row r="125" ht="12" customHeight="1">
      <c r="A125" s="6" t="n"/>
      <c r="B125" s="6" t="n"/>
      <c r="C125" s="24" t="inlineStr">
        <is>
          <t>Ana pano - kümes A blok panosu, 60 m x 4 damar — bu yapıya düşen pay 0.500000</t>
        </is>
      </c>
      <c r="D125" s="6" t="n"/>
      <c r="E125" s="29" t="n">
        <v>1</v>
      </c>
      <c r="F125" s="6" t="n"/>
      <c r="G125" s="6" t="n"/>
      <c r="H125" s="6" t="n"/>
      <c r="I125" s="25">
        <f>E125*J125</f>
        <v/>
      </c>
      <c r="J125" s="31" t="n">
        <v>120</v>
      </c>
    </row>
    <row r="126" ht="12" customHeight="1">
      <c r="A126" s="6" t="n"/>
      <c r="B126" s="6" t="n"/>
      <c r="C126" s="24" t="inlineStr">
        <is>
          <t>Ana pano - kümes B blok panosu, 90 m x 4 damar — bu yapıya düşen pay 0.500000</t>
        </is>
      </c>
      <c r="D126" s="6" t="n"/>
      <c r="E126" s="29" t="n">
        <v>1</v>
      </c>
      <c r="F126" s="6" t="n"/>
      <c r="G126" s="6" t="n"/>
      <c r="H126" s="6" t="n"/>
      <c r="I126" s="25">
        <f>E126*J126</f>
        <v/>
      </c>
      <c r="J126" s="31" t="n">
        <v>180</v>
      </c>
    </row>
    <row r="127">
      <c r="A127" s="23" t="n"/>
      <c r="B127" s="23" t="n"/>
      <c r="C127" s="26" t="inlineStr">
        <is>
          <t>M71 TOPLAMI</t>
        </is>
      </c>
      <c r="D127" s="27" t="inlineStr">
        <is>
          <t>m</t>
        </is>
      </c>
      <c r="E127" s="23" t="n"/>
      <c r="F127" s="23" t="n"/>
      <c r="G127" s="23" t="n"/>
      <c r="H127" s="23" t="n"/>
      <c r="I127" s="23" t="n"/>
      <c r="J127" s="28">
        <f>SUM(I125:I126)</f>
        <v/>
      </c>
    </row>
    <row r="128" ht="22" customHeight="1">
      <c r="A128" s="20" t="n">
        <v>33</v>
      </c>
      <c r="B128" s="21" t="inlineStr">
        <is>
          <t>30.170.1602</t>
        </is>
      </c>
      <c r="C128" s="8" t="inlineStr">
        <is>
          <t>[M73]  LED sıva üstü etanj armatür (polikarbon gövdeli), ışık akısı en az 2700 lm — kümes genel aydınlatması</t>
        </is>
      </c>
      <c r="D128" s="22" t="inlineStr">
        <is>
          <t>ad</t>
        </is>
      </c>
      <c r="E128" s="23" t="n"/>
      <c r="F128" s="23" t="n"/>
      <c r="G128" s="23" t="n"/>
      <c r="H128" s="23" t="n"/>
      <c r="I128" s="23" t="n"/>
      <c r="J128" s="23" t="n"/>
    </row>
    <row r="129" ht="12" customHeight="1">
      <c r="A129" s="6" t="n"/>
      <c r="B129" s="6" t="n"/>
      <c r="C129" s="24" t="inlineStr">
        <is>
          <t>Blok başına 3 sıra x 10 adet = 30 adet, 2 blok — bu yapıya düşen pay 0.500000</t>
        </is>
      </c>
      <c r="D129" s="6" t="n"/>
      <c r="E129" s="29" t="n">
        <v>1</v>
      </c>
      <c r="F129" s="6" t="n"/>
      <c r="G129" s="6" t="n"/>
      <c r="H129" s="6" t="n"/>
      <c r="I129" s="25">
        <f>E129*J129</f>
        <v/>
      </c>
      <c r="J129" s="31" t="n">
        <v>30</v>
      </c>
    </row>
    <row r="130">
      <c r="A130" s="23" t="n"/>
      <c r="B130" s="23" t="n"/>
      <c r="C130" s="26" t="inlineStr">
        <is>
          <t>M73 TOPLAMI</t>
        </is>
      </c>
      <c r="D130" s="27" t="inlineStr">
        <is>
          <t>ad</t>
        </is>
      </c>
      <c r="E130" s="23" t="n"/>
      <c r="F130" s="23" t="n"/>
      <c r="G130" s="23" t="n"/>
      <c r="H130" s="23" t="n"/>
      <c r="I130" s="23" t="n"/>
      <c r="J130" s="28">
        <f>SUM(I129:I129)</f>
        <v/>
      </c>
    </row>
    <row r="131" ht="22" customHeight="1">
      <c r="A131" s="20" t="n">
        <v>34</v>
      </c>
      <c r="B131" s="21" t="inlineStr">
        <is>
          <t>30.170.1601</t>
        </is>
      </c>
      <c r="C131" s="8" t="inlineStr">
        <is>
          <t>[M74]  LED sıva üstü etanj armatür (polikarbon gövdeli), ışık akısı en az 1800 lm — servis bölümü</t>
        </is>
      </c>
      <c r="D131" s="22" t="inlineStr">
        <is>
          <t>ad</t>
        </is>
      </c>
      <c r="E131" s="23" t="n"/>
      <c r="F131" s="23" t="n"/>
      <c r="G131" s="23" t="n"/>
      <c r="H131" s="23" t="n"/>
      <c r="I131" s="23" t="n"/>
      <c r="J131" s="23" t="n"/>
    </row>
    <row r="132" ht="12" customHeight="1">
      <c r="A132" s="6" t="n"/>
      <c r="B132" s="6" t="n"/>
      <c r="C132" s="24" t="inlineStr">
        <is>
          <t>Blok başına 2 adet, 2 blok — bu yapıya düşen pay 0.500000</t>
        </is>
      </c>
      <c r="D132" s="6" t="n"/>
      <c r="E132" s="29" t="n">
        <v>1</v>
      </c>
      <c r="F132" s="6" t="n"/>
      <c r="G132" s="6" t="n"/>
      <c r="H132" s="6" t="n"/>
      <c r="I132" s="25">
        <f>E132*J132</f>
        <v/>
      </c>
      <c r="J132" s="31" t="n">
        <v>2</v>
      </c>
    </row>
    <row r="133">
      <c r="A133" s="23" t="n"/>
      <c r="B133" s="23" t="n"/>
      <c r="C133" s="26" t="inlineStr">
        <is>
          <t>M74 TOPLAMI</t>
        </is>
      </c>
      <c r="D133" s="27" t="inlineStr">
        <is>
          <t>ad</t>
        </is>
      </c>
      <c r="E133" s="23" t="n"/>
      <c r="F133" s="23" t="n"/>
      <c r="G133" s="23" t="n"/>
      <c r="H133" s="23" t="n"/>
      <c r="I133" s="23" t="n"/>
      <c r="J133" s="28">
        <f>SUM(I132:I132)</f>
        <v/>
      </c>
    </row>
    <row r="134" ht="15" customHeight="1">
      <c r="A134" s="20" t="n">
        <v>35</v>
      </c>
      <c r="B134" s="21" t="inlineStr">
        <is>
          <t>30.160.6102</t>
        </is>
      </c>
      <c r="C134" s="8" t="inlineStr">
        <is>
          <t>[M75]  Boş boru döşemesi — 25-32 mm PVC boru</t>
        </is>
      </c>
      <c r="D134" s="22" t="inlineStr">
        <is>
          <t>m</t>
        </is>
      </c>
      <c r="E134" s="23" t="n"/>
      <c r="F134" s="23" t="n"/>
      <c r="G134" s="23" t="n"/>
      <c r="H134" s="23" t="n"/>
      <c r="I134" s="23" t="n"/>
      <c r="J134" s="23" t="n"/>
    </row>
    <row r="135" ht="12" customHeight="1">
      <c r="A135" s="6" t="n"/>
      <c r="B135" s="6" t="n"/>
      <c r="C135" s="24" t="inlineStr">
        <is>
          <t>Kümes içi aydınlatma ve priz tesisatı, blok başına 500 m — bu yapıya düşen pay 0.500000</t>
        </is>
      </c>
      <c r="D135" s="6" t="n"/>
      <c r="E135" s="29" t="n">
        <v>1</v>
      </c>
      <c r="F135" s="6" t="n"/>
      <c r="G135" s="6" t="n"/>
      <c r="H135" s="6" t="n"/>
      <c r="I135" s="25">
        <f>E135*J135</f>
        <v/>
      </c>
      <c r="J135" s="31" t="n">
        <v>500</v>
      </c>
    </row>
    <row r="136">
      <c r="A136" s="23" t="n"/>
      <c r="B136" s="23" t="n"/>
      <c r="C136" s="26" t="inlineStr">
        <is>
          <t>M75 TOPLAMI</t>
        </is>
      </c>
      <c r="D136" s="27" t="inlineStr">
        <is>
          <t>m</t>
        </is>
      </c>
      <c r="E136" s="23" t="n"/>
      <c r="F136" s="23" t="n"/>
      <c r="G136" s="23" t="n"/>
      <c r="H136" s="23" t="n"/>
      <c r="I136" s="23" t="n"/>
      <c r="J136" s="28">
        <f>SUM(I135:I135)</f>
        <v/>
      </c>
    </row>
    <row r="137" ht="15" customHeight="1">
      <c r="A137" s="20" t="n">
        <v>36</v>
      </c>
      <c r="B137" s="21" t="inlineStr">
        <is>
          <t>30.150.1402</t>
        </is>
      </c>
      <c r="C137" s="8" t="inlineStr">
        <is>
          <t>[M76]  Halojensiz H07Z tipi iletken 1x2,5 mm² ile tesisat</t>
        </is>
      </c>
      <c r="D137" s="22" t="inlineStr">
        <is>
          <t>m</t>
        </is>
      </c>
      <c r="E137" s="23" t="n"/>
      <c r="F137" s="23" t="n"/>
      <c r="G137" s="23" t="n"/>
      <c r="H137" s="23" t="n"/>
      <c r="I137" s="23" t="n"/>
      <c r="J137" s="23" t="n"/>
    </row>
    <row r="138" ht="12" customHeight="1">
      <c r="A138" s="6" t="n"/>
      <c r="B138" s="6" t="n"/>
      <c r="C138" s="24" t="inlineStr">
        <is>
          <t>Aydınlatma ve priz hatları, blok başına 2.000 m; 2 blok — bu yapıya düşen pay 0.500000</t>
        </is>
      </c>
      <c r="D138" s="6" t="n"/>
      <c r="E138" s="29" t="n">
        <v>2</v>
      </c>
      <c r="F138" s="6" t="n"/>
      <c r="G138" s="6" t="n"/>
      <c r="H138" s="6" t="n"/>
      <c r="I138" s="25">
        <f>E138*J138</f>
        <v/>
      </c>
      <c r="J138" s="31" t="n">
        <v>1000</v>
      </c>
    </row>
    <row r="139">
      <c r="A139" s="23" t="n"/>
      <c r="B139" s="23" t="n"/>
      <c r="C139" s="26" t="inlineStr">
        <is>
          <t>M76 TOPLAMI</t>
        </is>
      </c>
      <c r="D139" s="27" t="inlineStr">
        <is>
          <t>m</t>
        </is>
      </c>
      <c r="E139" s="23" t="n"/>
      <c r="F139" s="23" t="n"/>
      <c r="G139" s="23" t="n"/>
      <c r="H139" s="23" t="n"/>
      <c r="I139" s="23" t="n"/>
      <c r="J139" s="28">
        <f>SUM(I138:I138)</f>
        <v/>
      </c>
    </row>
    <row r="140" ht="15" customHeight="1">
      <c r="A140" s="20" t="n">
        <v>37</v>
      </c>
      <c r="B140" s="21" t="inlineStr">
        <is>
          <t>30.150.1401</t>
        </is>
      </c>
      <c r="C140" s="8" t="inlineStr">
        <is>
          <t>[M77]  Halojensiz H07Z tipi iletken 1x1,5 mm² ile kumanda tesisatı</t>
        </is>
      </c>
      <c r="D140" s="22" t="inlineStr">
        <is>
          <t>m</t>
        </is>
      </c>
      <c r="E140" s="23" t="n"/>
      <c r="F140" s="23" t="n"/>
      <c r="G140" s="23" t="n"/>
      <c r="H140" s="23" t="n"/>
      <c r="I140" s="23" t="n"/>
      <c r="J140" s="23" t="n"/>
    </row>
    <row r="141" ht="12" customHeight="1">
      <c r="A141" s="6" t="n"/>
      <c r="B141" s="6" t="n"/>
      <c r="C141" s="24" t="inlineStr">
        <is>
          <t>Kumanda ve dimmer hatları, blok başına 600 m — bu yapıya düşen pay 0.500000</t>
        </is>
      </c>
      <c r="D141" s="6" t="n"/>
      <c r="E141" s="29" t="n">
        <v>1</v>
      </c>
      <c r="F141" s="6" t="n"/>
      <c r="G141" s="6" t="n"/>
      <c r="H141" s="6" t="n"/>
      <c r="I141" s="25">
        <f>E141*J141</f>
        <v/>
      </c>
      <c r="J141" s="31" t="n">
        <v>600</v>
      </c>
    </row>
    <row r="142">
      <c r="A142" s="23" t="n"/>
      <c r="B142" s="23" t="n"/>
      <c r="C142" s="26" t="inlineStr">
        <is>
          <t>M77 TOPLAMI</t>
        </is>
      </c>
      <c r="D142" s="27" t="inlineStr">
        <is>
          <t>m</t>
        </is>
      </c>
      <c r="E142" s="23" t="n"/>
      <c r="F142" s="23" t="n"/>
      <c r="G142" s="23" t="n"/>
      <c r="H142" s="23" t="n"/>
      <c r="I142" s="23" t="n"/>
      <c r="J142" s="28">
        <f>SUM(I141:I141)</f>
        <v/>
      </c>
    </row>
    <row r="143" ht="22" customHeight="1">
      <c r="A143" s="20" t="n">
        <v>38</v>
      </c>
      <c r="B143" s="21" t="inlineStr">
        <is>
          <t>30.140.1105</t>
        </is>
      </c>
      <c r="C143" s="8" t="inlineStr">
        <is>
          <t>[M78]  Çıplak bakır tel 25 mm² — eşpotansiyel bara ve topraklama iletkeni</t>
        </is>
      </c>
      <c r="D143" s="22" t="inlineStr">
        <is>
          <t>m</t>
        </is>
      </c>
      <c r="E143" s="23" t="n"/>
      <c r="F143" s="23" t="n"/>
      <c r="G143" s="23" t="n"/>
      <c r="H143" s="23" t="n"/>
      <c r="I143" s="23" t="n"/>
      <c r="J143" s="23" t="n"/>
    </row>
    <row r="144" ht="12" customHeight="1">
      <c r="A144" s="6" t="n"/>
      <c r="B144" s="6" t="n"/>
      <c r="C144" s="24" t="inlineStr">
        <is>
          <t>Blok başına 100 m, 2 blok — bu yapıya düşen pay 0.500000</t>
        </is>
      </c>
      <c r="D144" s="6" t="n"/>
      <c r="E144" s="29" t="n">
        <v>1</v>
      </c>
      <c r="F144" s="6" t="n"/>
      <c r="G144" s="6" t="n"/>
      <c r="H144" s="6" t="n"/>
      <c r="I144" s="25">
        <f>E144*J144</f>
        <v/>
      </c>
      <c r="J144" s="31" t="n">
        <v>100</v>
      </c>
    </row>
    <row r="145">
      <c r="A145" s="23" t="n"/>
      <c r="B145" s="23" t="n"/>
      <c r="C145" s="26" t="inlineStr">
        <is>
          <t>M78 TOPLAMI</t>
        </is>
      </c>
      <c r="D145" s="27" t="inlineStr">
        <is>
          <t>m</t>
        </is>
      </c>
      <c r="E145" s="23" t="n"/>
      <c r="F145" s="23" t="n"/>
      <c r="G145" s="23" t="n"/>
      <c r="H145" s="23" t="n"/>
      <c r="I145" s="23" t="n"/>
      <c r="J145" s="28">
        <f>SUM(I144:I144)</f>
        <v/>
      </c>
    </row>
    <row r="146" ht="22" customHeight="1">
      <c r="A146" s="20" t="n">
        <v>39</v>
      </c>
      <c r="B146" s="21" t="inlineStr">
        <is>
          <t>30.750.3002</t>
        </is>
      </c>
      <c r="C146" s="8" t="inlineStr">
        <is>
          <t>[M79]  Bina ihata iletkeni tesisatı — 30x3,5 mm galvanizli çelik lama (temel topraklaması)</t>
        </is>
      </c>
      <c r="D146" s="22" t="inlineStr">
        <is>
          <t>m</t>
        </is>
      </c>
      <c r="E146" s="23" t="n"/>
      <c r="F146" s="23" t="n"/>
      <c r="G146" s="23" t="n"/>
      <c r="H146" s="23" t="n"/>
      <c r="I146" s="23" t="n"/>
      <c r="J146" s="23" t="n"/>
    </row>
    <row r="147" ht="12" customHeight="1">
      <c r="A147" s="6" t="n"/>
      <c r="B147" s="6" t="n"/>
      <c r="C147" s="24" t="inlineStr">
        <is>
          <t>Kümes çevresi 2x(14,00+79,00) = 186,00 m, 2 blok — bu yapıya düşen pay 0.500000</t>
        </is>
      </c>
      <c r="D147" s="6" t="n"/>
      <c r="E147" s="29" t="n">
        <v>1</v>
      </c>
      <c r="F147" s="6" t="n"/>
      <c r="G147" s="6" t="n"/>
      <c r="H147" s="6" t="n"/>
      <c r="I147" s="25">
        <f>E147*J147</f>
        <v/>
      </c>
      <c r="J147" s="31" t="n">
        <v>186</v>
      </c>
    </row>
    <row r="148">
      <c r="A148" s="23" t="n"/>
      <c r="B148" s="23" t="n"/>
      <c r="C148" s="26" t="inlineStr">
        <is>
          <t>M79 TOPLAMI</t>
        </is>
      </c>
      <c r="D148" s="27" t="inlineStr">
        <is>
          <t>m</t>
        </is>
      </c>
      <c r="E148" s="23" t="n"/>
      <c r="F148" s="23" t="n"/>
      <c r="G148" s="23" t="n"/>
      <c r="H148" s="23" t="n"/>
      <c r="I148" s="23" t="n"/>
      <c r="J148" s="28">
        <f>SUM(I147:I147)</f>
        <v/>
      </c>
    </row>
    <row r="149" ht="15" customHeight="1">
      <c r="A149" s="20" t="n">
        <v>40</v>
      </c>
      <c r="B149" s="21" t="inlineStr">
        <is>
          <t>30.750.1502</t>
        </is>
      </c>
      <c r="C149" s="8" t="inlineStr">
        <is>
          <t>[M80]  Aktif yakalama ucu, ortalama uyarım yolu DL = 30-40 m</t>
        </is>
      </c>
      <c r="D149" s="22" t="inlineStr">
        <is>
          <t>ad</t>
        </is>
      </c>
      <c r="E149" s="23" t="n"/>
      <c r="F149" s="23" t="n"/>
      <c r="G149" s="23" t="n"/>
      <c r="H149" s="23" t="n"/>
      <c r="I149" s="23" t="n"/>
      <c r="J149" s="23" t="n"/>
    </row>
    <row r="150" ht="12" customHeight="1">
      <c r="A150" s="6" t="n"/>
      <c r="B150" s="6" t="n"/>
      <c r="C150" s="24" t="inlineStr">
        <is>
          <t>Blok başına 1 adet, 2 blok — bu yapıya düşen pay 0.500000</t>
        </is>
      </c>
      <c r="D150" s="6" t="n"/>
      <c r="E150" s="29" t="n">
        <v>1</v>
      </c>
      <c r="F150" s="6" t="n"/>
      <c r="G150" s="6" t="n"/>
      <c r="H150" s="6" t="n"/>
      <c r="I150" s="25">
        <f>E150*J150</f>
        <v/>
      </c>
      <c r="J150" s="31" t="n">
        <v>1</v>
      </c>
    </row>
    <row r="151">
      <c r="A151" s="23" t="n"/>
      <c r="B151" s="23" t="n"/>
      <c r="C151" s="26" t="inlineStr">
        <is>
          <t>M80 TOPLAMI</t>
        </is>
      </c>
      <c r="D151" s="27" t="inlineStr">
        <is>
          <t>ad</t>
        </is>
      </c>
      <c r="E151" s="23" t="n"/>
      <c r="F151" s="23" t="n"/>
      <c r="G151" s="23" t="n"/>
      <c r="H151" s="23" t="n"/>
      <c r="I151" s="23" t="n"/>
      <c r="J151" s="28">
        <f>SUM(I150:I150)</f>
        <v/>
      </c>
    </row>
    <row r="152" ht="22" customHeight="1">
      <c r="A152" s="20" t="n">
        <v>41</v>
      </c>
      <c r="B152" s="21" t="inlineStr">
        <is>
          <t>30.750.2001</t>
        </is>
      </c>
      <c r="C152" s="8" t="inlineStr">
        <is>
          <t>[M81]  Çatı ihata ve indirme iletkeni tesisatı — 50 mm² elektrolitik bakır tel</t>
        </is>
      </c>
      <c r="D152" s="22" t="inlineStr">
        <is>
          <t>m</t>
        </is>
      </c>
      <c r="E152" s="23" t="n"/>
      <c r="F152" s="23" t="n"/>
      <c r="G152" s="23" t="n"/>
      <c r="H152" s="23" t="n"/>
      <c r="I152" s="23" t="n"/>
      <c r="J152" s="23" t="n"/>
    </row>
    <row r="153" ht="12" customHeight="1">
      <c r="A153" s="6" t="n"/>
      <c r="B153" s="6" t="n"/>
      <c r="C153" s="24" t="inlineStr">
        <is>
          <t>Blok başına 2 iniş x 8,00 m, 2 blok — bu yapıya düşen pay 0.500000</t>
        </is>
      </c>
      <c r="D153" s="6" t="n"/>
      <c r="E153" s="29" t="n">
        <v>1</v>
      </c>
      <c r="F153" s="6" t="n"/>
      <c r="G153" s="6" t="n"/>
      <c r="H153" s="6" t="n"/>
      <c r="I153" s="25">
        <f>E153*J153</f>
        <v/>
      </c>
      <c r="J153" s="31" t="n">
        <v>16</v>
      </c>
    </row>
    <row r="154">
      <c r="A154" s="23" t="n"/>
      <c r="B154" s="23" t="n"/>
      <c r="C154" s="26" t="inlineStr">
        <is>
          <t>M81 TOPLAMI</t>
        </is>
      </c>
      <c r="D154" s="27" t="inlineStr">
        <is>
          <t>m</t>
        </is>
      </c>
      <c r="E154" s="23" t="n"/>
      <c r="F154" s="23" t="n"/>
      <c r="G154" s="23" t="n"/>
      <c r="H154" s="23" t="n"/>
      <c r="I154" s="23" t="n"/>
      <c r="J154" s="28">
        <f>SUM(I153:I153)</f>
        <v/>
      </c>
    </row>
    <row r="155" ht="22" customHeight="1">
      <c r="A155" s="20" t="n">
        <v>42</v>
      </c>
      <c r="B155" s="21" t="inlineStr">
        <is>
          <t>30.740.1106</t>
        </is>
      </c>
      <c r="C155" s="8" t="inlineStr">
        <is>
          <t>[M84]  Dizel elektrojen grubu (jeneratör) 63 kVA / 50 kW — dizel motoru su veya hava ile soğuyan cinsten, 1500 d/dak</t>
        </is>
      </c>
      <c r="D155" s="22" t="inlineStr">
        <is>
          <t>ad</t>
        </is>
      </c>
      <c r="E155" s="23" t="n"/>
      <c r="F155" s="23" t="n"/>
      <c r="G155" s="23" t="n"/>
      <c r="H155" s="23" t="n"/>
      <c r="I155" s="23" t="n"/>
      <c r="J155" s="23" t="n"/>
    </row>
    <row r="156" ht="12" customHeight="1">
      <c r="A156" s="6" t="n"/>
      <c r="B156" s="6" t="n"/>
      <c r="C156" s="24" t="inlineStr">
        <is>
          <t>Kümes A ve B blok — her bloğa 1 adet — bu yapıya düşen pay 0.500000</t>
        </is>
      </c>
      <c r="D156" s="6" t="n"/>
      <c r="E156" s="29" t="n">
        <v>2</v>
      </c>
      <c r="F156" s="6" t="n"/>
      <c r="G156" s="6" t="n"/>
      <c r="H156" s="6" t="n"/>
      <c r="I156" s="25">
        <f>E156*J156</f>
        <v/>
      </c>
      <c r="J156" s="31" t="n">
        <v>0.5</v>
      </c>
    </row>
    <row r="157">
      <c r="A157" s="23" t="n"/>
      <c r="B157" s="23" t="n"/>
      <c r="C157" s="26" t="inlineStr">
        <is>
          <t>M84 TOPLAMI</t>
        </is>
      </c>
      <c r="D157" s="27" t="inlineStr">
        <is>
          <t>ad</t>
        </is>
      </c>
      <c r="E157" s="23" t="n"/>
      <c r="F157" s="23" t="n"/>
      <c r="G157" s="23" t="n"/>
      <c r="H157" s="23" t="n"/>
      <c r="I157" s="23" t="n"/>
      <c r="J157" s="28">
        <f>SUM(I156:I156)</f>
        <v/>
      </c>
    </row>
    <row r="158" ht="15" customHeight="1">
      <c r="A158" s="20" t="n">
        <v>43</v>
      </c>
      <c r="B158" s="21" t="inlineStr">
        <is>
          <t>30.740.5406</t>
        </is>
      </c>
      <c r="C158" s="8" t="inlineStr">
        <is>
          <t>[M85]  Jeneratör ses izolasyon kabini — 63 kVA</t>
        </is>
      </c>
      <c r="D158" s="22" t="inlineStr">
        <is>
          <t>ad</t>
        </is>
      </c>
      <c r="E158" s="23" t="n"/>
      <c r="F158" s="23" t="n"/>
      <c r="G158" s="23" t="n"/>
      <c r="H158" s="23" t="n"/>
      <c r="I158" s="23" t="n"/>
      <c r="J158" s="23" t="n"/>
    </row>
    <row r="159" ht="12" customHeight="1">
      <c r="A159" s="6" t="n"/>
      <c r="B159" s="6" t="n"/>
      <c r="C159" s="24" t="inlineStr">
        <is>
          <t>Her jeneratör için 1 adet — bu yapıya düşen pay 0.500000</t>
        </is>
      </c>
      <c r="D159" s="6" t="n"/>
      <c r="E159" s="29" t="n">
        <v>2</v>
      </c>
      <c r="F159" s="6" t="n"/>
      <c r="G159" s="6" t="n"/>
      <c r="H159" s="6" t="n"/>
      <c r="I159" s="25">
        <f>E159*J159</f>
        <v/>
      </c>
      <c r="J159" s="31" t="n">
        <v>0.5</v>
      </c>
    </row>
    <row r="160">
      <c r="A160" s="23" t="n"/>
      <c r="B160" s="23" t="n"/>
      <c r="C160" s="26" t="inlineStr">
        <is>
          <t>M85 TOPLAMI</t>
        </is>
      </c>
      <c r="D160" s="27" t="inlineStr">
        <is>
          <t>ad</t>
        </is>
      </c>
      <c r="E160" s="23" t="n"/>
      <c r="F160" s="23" t="n"/>
      <c r="G160" s="23" t="n"/>
      <c r="H160" s="23" t="n"/>
      <c r="I160" s="23" t="n"/>
      <c r="J160" s="28">
        <f>SUM(I159:I159)</f>
        <v/>
      </c>
    </row>
    <row r="161" ht="22" customHeight="1">
      <c r="A161" s="20" t="n">
        <v>44</v>
      </c>
      <c r="B161" s="21" t="inlineStr">
        <is>
          <t>30.120.2016</t>
        </is>
      </c>
      <c r="C161" s="8" t="inlineStr">
        <is>
          <t>[M86]  Otomatik transfer şalteri 4 x 200 A — şebeke/jeneratör geçişi</t>
        </is>
      </c>
      <c r="D161" s="22" t="inlineStr">
        <is>
          <t>ad</t>
        </is>
      </c>
      <c r="E161" s="23" t="n"/>
      <c r="F161" s="23" t="n"/>
      <c r="G161" s="23" t="n"/>
      <c r="H161" s="23" t="n"/>
      <c r="I161" s="23" t="n"/>
      <c r="J161" s="23" t="n"/>
    </row>
    <row r="162" ht="12" customHeight="1">
      <c r="A162" s="6" t="n"/>
      <c r="B162" s="6" t="n"/>
      <c r="C162" s="24" t="inlineStr">
        <is>
          <t>Her jeneratör için 1 adet — bu yapıya düşen pay 0.500000</t>
        </is>
      </c>
      <c r="D162" s="6" t="n"/>
      <c r="E162" s="29" t="n">
        <v>2</v>
      </c>
      <c r="F162" s="6" t="n"/>
      <c r="G162" s="6" t="n"/>
      <c r="H162" s="6" t="n"/>
      <c r="I162" s="25">
        <f>E162*J162</f>
        <v/>
      </c>
      <c r="J162" s="31" t="n">
        <v>0.5</v>
      </c>
    </row>
    <row r="163">
      <c r="A163" s="23" t="n"/>
      <c r="B163" s="23" t="n"/>
      <c r="C163" s="26" t="inlineStr">
        <is>
          <t>M86 TOPLAMI</t>
        </is>
      </c>
      <c r="D163" s="27" t="inlineStr">
        <is>
          <t>ad</t>
        </is>
      </c>
      <c r="E163" s="23" t="n"/>
      <c r="F163" s="23" t="n"/>
      <c r="G163" s="23" t="n"/>
      <c r="H163" s="23" t="n"/>
      <c r="I163" s="23" t="n"/>
      <c r="J163" s="28">
        <f>SUM(I162:I162)</f>
        <v/>
      </c>
    </row>
    <row r="164" ht="22" customHeight="1">
      <c r="A164" s="20" t="n">
        <v>45</v>
      </c>
      <c r="B164" s="21" t="inlineStr">
        <is>
          <t>35.190.1100</t>
        </is>
      </c>
      <c r="C164" s="8" t="inlineStr">
        <is>
          <t>[M87]  Kablo tava sistemi — 200x60x1,0 mm sıcak daldırma galvanizli perfore kablo tavası (malzeme)</t>
        </is>
      </c>
      <c r="D164" s="22" t="inlineStr">
        <is>
          <t>kg</t>
        </is>
      </c>
      <c r="E164" s="23" t="n"/>
      <c r="F164" s="23" t="n"/>
      <c r="G164" s="23" t="n"/>
      <c r="H164" s="23" t="n"/>
      <c r="I164" s="23" t="n"/>
      <c r="J164" s="23" t="n"/>
    </row>
    <row r="165" ht="20" customHeight="1">
      <c r="A165" s="6" t="n"/>
      <c r="B165" s="6" t="n"/>
      <c r="C165" s="24" t="inlineStr">
        <is>
          <t>Kümes içi ana kablo güzergâhı; blok başına 200 m; açınım 0,320 m x 7,85 kg/m² = 2,510 kg/m — bu yapıya düşen pay 0.500000</t>
        </is>
      </c>
      <c r="D165" s="6" t="n"/>
      <c r="E165" s="29" t="n">
        <v>2</v>
      </c>
      <c r="F165" s="6" t="n"/>
      <c r="G165" s="30" t="n">
        <v>200</v>
      </c>
      <c r="H165" s="6" t="n"/>
      <c r="I165" s="25">
        <f>E165*G165*J165</f>
        <v/>
      </c>
      <c r="J165" s="31" t="n">
        <v>1.255</v>
      </c>
    </row>
    <row r="166">
      <c r="A166" s="23" t="n"/>
      <c r="B166" s="23" t="n"/>
      <c r="C166" s="26" t="inlineStr">
        <is>
          <t>M87 TOPLAMI</t>
        </is>
      </c>
      <c r="D166" s="27" t="inlineStr">
        <is>
          <t>kg</t>
        </is>
      </c>
      <c r="E166" s="23" t="n"/>
      <c r="F166" s="23" t="n"/>
      <c r="G166" s="23" t="n"/>
      <c r="H166" s="23" t="n"/>
      <c r="I166" s="23" t="n"/>
      <c r="J166" s="28">
        <f>SUM(I165:I165)</f>
        <v/>
      </c>
    </row>
    <row r="167" ht="22" customHeight="1">
      <c r="A167" s="20" t="n">
        <v>46</v>
      </c>
      <c r="B167" s="21" t="inlineStr">
        <is>
          <t>35.190.1101</t>
        </is>
      </c>
      <c r="C167" s="8" t="inlineStr">
        <is>
          <t>[M89]  Kablo tava sistemi kapak sacı — 1,0 mm sıcak daldırma galvanizli (malzeme)</t>
        </is>
      </c>
      <c r="D167" s="22" t="inlineStr">
        <is>
          <t>kg</t>
        </is>
      </c>
      <c r="E167" s="23" t="n"/>
      <c r="F167" s="23" t="n"/>
      <c r="G167" s="23" t="n"/>
      <c r="H167" s="23" t="n"/>
      <c r="I167" s="23" t="n"/>
      <c r="J167" s="23" t="n"/>
    </row>
    <row r="168" ht="20" customHeight="1">
      <c r="A168" s="6" t="n"/>
      <c r="B168" s="6" t="n"/>
      <c r="C168" s="24" t="inlineStr">
        <is>
          <t>Tava güzergâhının tamamı; blok başına 200 m; açınım 0,230 m x 7,85 kg/m² = 1,806 kg/m — bu yapıya düşen pay 0.500000</t>
        </is>
      </c>
      <c r="D168" s="6" t="n"/>
      <c r="E168" s="29" t="n">
        <v>2</v>
      </c>
      <c r="F168" s="6" t="n"/>
      <c r="G168" s="30" t="n">
        <v>200</v>
      </c>
      <c r="H168" s="6" t="n"/>
      <c r="I168" s="25">
        <f>E168*G168*J168</f>
        <v/>
      </c>
      <c r="J168" s="31" t="n">
        <v>0.903</v>
      </c>
    </row>
    <row r="169">
      <c r="A169" s="23" t="n"/>
      <c r="B169" s="23" t="n"/>
      <c r="C169" s="26" t="inlineStr">
        <is>
          <t>M89 TOPLAMI</t>
        </is>
      </c>
      <c r="D169" s="27" t="inlineStr">
        <is>
          <t>kg</t>
        </is>
      </c>
      <c r="E169" s="23" t="n"/>
      <c r="F169" s="23" t="n"/>
      <c r="G169" s="23" t="n"/>
      <c r="H169" s="23" t="n"/>
      <c r="I169" s="23" t="n"/>
      <c r="J169" s="28">
        <f>SUM(I168:I168)</f>
        <v/>
      </c>
    </row>
    <row r="170" ht="15" customHeight="1">
      <c r="A170" s="20" t="n">
        <v>47</v>
      </c>
      <c r="B170" s="21" t="inlineStr">
        <is>
          <t>30.190.1304</t>
        </is>
      </c>
      <c r="C170" s="8" t="inlineStr">
        <is>
          <t>[M90]  Sıva üstü PVC kablo kanalı — en az 100 x 35 mm, üç bölmeli</t>
        </is>
      </c>
      <c r="D170" s="22" t="inlineStr">
        <is>
          <t>m</t>
        </is>
      </c>
      <c r="E170" s="23" t="n"/>
      <c r="F170" s="23" t="n"/>
      <c r="G170" s="23" t="n"/>
      <c r="H170" s="23" t="n"/>
      <c r="I170" s="23" t="n"/>
      <c r="J170" s="23" t="n"/>
    </row>
    <row r="171" ht="20" customHeight="1">
      <c r="A171" s="6" t="n"/>
      <c r="B171" s="6" t="n"/>
      <c r="C171" s="24" t="inlineStr">
        <is>
          <t>Servis bölümü ve kümes içi kumanda tesisatı; blok başına 123 m — bu yapıya düşen pay 0.500000</t>
        </is>
      </c>
      <c r="D171" s="6" t="n"/>
      <c r="E171" s="29" t="n">
        <v>2</v>
      </c>
      <c r="F171" s="6" t="n"/>
      <c r="G171" s="30" t="n">
        <v>123</v>
      </c>
      <c r="H171" s="6" t="n"/>
      <c r="I171" s="25">
        <f>E171*G171*J171</f>
        <v/>
      </c>
      <c r="J171" s="31" t="n">
        <v>0.5</v>
      </c>
    </row>
    <row r="172">
      <c r="A172" s="23" t="n"/>
      <c r="B172" s="23" t="n"/>
      <c r="C172" s="26" t="inlineStr">
        <is>
          <t>M90 TOPLAMI</t>
        </is>
      </c>
      <c r="D172" s="27" t="inlineStr">
        <is>
          <t>m</t>
        </is>
      </c>
      <c r="E172" s="23" t="n"/>
      <c r="F172" s="23" t="n"/>
      <c r="G172" s="23" t="n"/>
      <c r="H172" s="23" t="n"/>
      <c r="I172" s="23" t="n"/>
      <c r="J172" s="28">
        <f>SUM(I171:I171)</f>
        <v/>
      </c>
    </row>
    <row r="173" ht="33" customHeight="1">
      <c r="A173" s="20" t="n">
        <v>48</v>
      </c>
      <c r="B173" s="22" t="inlineStr">
        <is>
          <t>35.190.1100 (montaj)</t>
        </is>
      </c>
      <c r="C173" s="8" t="inlineStr">
        <is>
          <t>[M87M]  Kablo tava sistemlerinin montajı — askı ve konsollarla tavana veya duvara tespiti; ek parça, konsol, askı tiji, vida ve somun bedelleri dâhildir, ayrıca ödenmez</t>
        </is>
      </c>
      <c r="D173" s="22" t="inlineStr">
        <is>
          <t>kg</t>
        </is>
      </c>
      <c r="E173" s="23" t="n"/>
      <c r="F173" s="23" t="n"/>
      <c r="G173" s="23" t="n"/>
      <c r="H173" s="23" t="n"/>
      <c r="I173" s="23" t="n"/>
      <c r="J173" s="23" t="n"/>
    </row>
    <row r="174" ht="12" customHeight="1">
      <c r="A174" s="6" t="n"/>
      <c r="B174" s="6" t="n"/>
      <c r="C174" s="24" t="inlineStr">
        <is>
          <t>M87 metrajının tamamı</t>
        </is>
      </c>
      <c r="D174" s="6" t="n"/>
      <c r="E174" s="6" t="n"/>
      <c r="F174" s="6" t="n"/>
      <c r="G174" s="6" t="n"/>
      <c r="H174" s="6" t="n"/>
      <c r="I174" s="25">
        <f>J166</f>
        <v/>
      </c>
      <c r="J174" s="6" t="n"/>
    </row>
    <row r="175">
      <c r="A175" s="23" t="n"/>
      <c r="B175" s="23" t="n"/>
      <c r="C175" s="26" t="inlineStr">
        <is>
          <t>M87M TOPLAMI</t>
        </is>
      </c>
      <c r="D175" s="27" t="inlineStr">
        <is>
          <t>kg</t>
        </is>
      </c>
      <c r="E175" s="23" t="n"/>
      <c r="F175" s="23" t="n"/>
      <c r="G175" s="23" t="n"/>
      <c r="H175" s="23" t="n"/>
      <c r="I175" s="23" t="n"/>
      <c r="J175" s="28">
        <f>SUM(I174:I174)</f>
        <v/>
      </c>
    </row>
    <row r="176" ht="33" customHeight="1">
      <c r="A176" s="20" t="n">
        <v>49</v>
      </c>
      <c r="B176" s="22" t="inlineStr">
        <is>
          <t>35.190.1101 (montaj)</t>
        </is>
      </c>
      <c r="C176" s="8" t="inlineStr">
        <is>
          <t>[M89M]  Kablo tava sistemleri kapak sacının montajı — onaylı projesinde belirtilen kanalların kapatılması; her türlü işçilik ve malzeme dâhil, işler hâlde teslim</t>
        </is>
      </c>
      <c r="D176" s="22" t="inlineStr">
        <is>
          <t>kg</t>
        </is>
      </c>
      <c r="E176" s="23" t="n"/>
      <c r="F176" s="23" t="n"/>
      <c r="G176" s="23" t="n"/>
      <c r="H176" s="23" t="n"/>
      <c r="I176" s="23" t="n"/>
      <c r="J176" s="23" t="n"/>
    </row>
    <row r="177" ht="12" customHeight="1">
      <c r="A177" s="6" t="n"/>
      <c r="B177" s="6" t="n"/>
      <c r="C177" s="24" t="inlineStr">
        <is>
          <t>M89 metrajının tamamı</t>
        </is>
      </c>
      <c r="D177" s="6" t="n"/>
      <c r="E177" s="6" t="n"/>
      <c r="F177" s="6" t="n"/>
      <c r="G177" s="6" t="n"/>
      <c r="H177" s="6" t="n"/>
      <c r="I177" s="25">
        <f>J169</f>
        <v/>
      </c>
      <c r="J177" s="6" t="n"/>
    </row>
    <row r="178">
      <c r="A178" s="23" t="n"/>
      <c r="B178" s="23" t="n"/>
      <c r="C178" s="26" t="inlineStr">
        <is>
          <t>M89M TOPLAMI</t>
        </is>
      </c>
      <c r="D178" s="27" t="inlineStr">
        <is>
          <t>kg</t>
        </is>
      </c>
      <c r="E178" s="23" t="n"/>
      <c r="F178" s="23" t="n"/>
      <c r="G178" s="23" t="n"/>
      <c r="H178" s="23" t="n"/>
      <c r="I178" s="23" t="n"/>
      <c r="J178" s="28">
        <f>SUM(I177:I177)</f>
        <v/>
      </c>
    </row>
    <row r="179"/>
    <row r="180" ht="20" customHeight="1">
      <c r="A180" s="19" t="inlineStr">
        <is>
          <t>Yapı/Bina Adı: KÜMES B BLOK</t>
        </is>
      </c>
    </row>
    <row r="181" ht="28" customHeight="1">
      <c r="A181" s="7" t="inlineStr">
        <is>
          <t>No</t>
        </is>
      </c>
      <c r="B181" s="7" t="inlineStr">
        <is>
          <t>Poz No</t>
        </is>
      </c>
      <c r="C181" s="7" t="inlineStr">
        <is>
          <t>Tanımı / Ölçünün Alındığı Yer</t>
        </is>
      </c>
      <c r="D181" s="7" t="inlineStr">
        <is>
          <t>Birimi</t>
        </is>
      </c>
      <c r="E181" s="7" t="inlineStr">
        <is>
          <t>Adet</t>
        </is>
      </c>
      <c r="F181" s="7" t="inlineStr">
        <is>
          <t>En (m)</t>
        </is>
      </c>
      <c r="G181" s="7" t="inlineStr">
        <is>
          <t>Boy (m)</t>
        </is>
      </c>
      <c r="H181" s="7" t="inlineStr">
        <is>
          <t>Yükseklik (m)</t>
        </is>
      </c>
      <c r="I181" s="7" t="inlineStr">
        <is>
          <t>Miktar</t>
        </is>
      </c>
      <c r="J181" s="7" t="inlineStr">
        <is>
          <t>Toplam Miktar</t>
        </is>
      </c>
    </row>
    <row r="182" ht="15" customHeight="1">
      <c r="A182" s="20" t="n">
        <v>1</v>
      </c>
      <c r="B182" s="21" t="inlineStr">
        <is>
          <t>15.120.1001</t>
        </is>
      </c>
      <c r="C182" s="8" t="inlineStr">
        <is>
          <t>[M01]  Makine ile kazı yapılması — kümes A ve B blok</t>
        </is>
      </c>
      <c r="D182" s="22" t="inlineStr">
        <is>
          <t>m³</t>
        </is>
      </c>
      <c r="E182" s="23" t="n"/>
      <c r="F182" s="23" t="n"/>
      <c r="G182" s="23" t="n"/>
      <c r="H182" s="23" t="n"/>
      <c r="I182" s="23" t="n"/>
      <c r="J182" s="23" t="n"/>
    </row>
    <row r="183" ht="12" customHeight="1">
      <c r="A183" s="6" t="n"/>
      <c r="B183" s="6" t="n"/>
      <c r="C183" s="24" t="inlineStr">
        <is>
          <t>B blok — onaylı kübaj cetveli toplamının diğer yarısı</t>
        </is>
      </c>
      <c r="D183" s="6" t="n"/>
      <c r="E183" s="6" t="n"/>
      <c r="F183" s="6" t="n"/>
      <c r="G183" s="6" t="n"/>
      <c r="H183" s="6" t="n"/>
      <c r="I183" s="25" t="n">
        <v>1684.385</v>
      </c>
      <c r="J183" s="6" t="n"/>
    </row>
    <row r="184">
      <c r="A184" s="23" t="n"/>
      <c r="B184" s="23" t="n"/>
      <c r="C184" s="26" t="inlineStr">
        <is>
          <t>M01 TOPLAMI</t>
        </is>
      </c>
      <c r="D184" s="27" t="inlineStr">
        <is>
          <t>m³</t>
        </is>
      </c>
      <c r="E184" s="23" t="n"/>
      <c r="F184" s="23" t="n"/>
      <c r="G184" s="23" t="n"/>
      <c r="H184" s="23" t="n"/>
      <c r="I184" s="23" t="n"/>
      <c r="J184" s="28">
        <f>SUM(I183:I183)</f>
        <v/>
      </c>
    </row>
    <row r="185" ht="15" customHeight="1">
      <c r="A185" s="20" t="n">
        <v>2</v>
      </c>
      <c r="B185" s="21" t="inlineStr">
        <is>
          <t>15.150.1003</t>
        </is>
      </c>
      <c r="C185" s="8" t="inlineStr">
        <is>
          <t>[M09]  C 16/20 hazır beton dökülmesi — kümes temel altı grobeton</t>
        </is>
      </c>
      <c r="D185" s="22" t="inlineStr">
        <is>
          <t>m³</t>
        </is>
      </c>
      <c r="E185" s="23" t="n"/>
      <c r="F185" s="23" t="n"/>
      <c r="G185" s="23" t="n"/>
      <c r="H185" s="23" t="n"/>
      <c r="I185" s="23" t="n"/>
      <c r="J185" s="23" t="n"/>
    </row>
    <row r="186" ht="20" customHeight="1">
      <c r="A186" s="6" t="n"/>
      <c r="B186" s="6" t="n"/>
      <c r="C186" s="24" t="inlineStr">
        <is>
          <t>Şerit temel altı: 21 aks x 2 blok; genişlik 0,50 + iki yanda 0,10 taşma = 0,70 m; kalınlık 0,10 m — bu yapıya düşen pay 0.500000</t>
        </is>
      </c>
      <c r="D186" s="6" t="n"/>
      <c r="E186" s="29" t="n">
        <v>42</v>
      </c>
      <c r="F186" s="30" t="n">
        <v>0.7</v>
      </c>
      <c r="G186" s="30" t="n">
        <v>13.55</v>
      </c>
      <c r="H186" s="30" t="n">
        <v>0.1</v>
      </c>
      <c r="I186" s="25">
        <f>E186*F186*G186*H186*J186</f>
        <v/>
      </c>
      <c r="J186" s="31" t="n">
        <v>0.5</v>
      </c>
    </row>
    <row r="187" ht="20" customHeight="1">
      <c r="A187" s="6" t="n"/>
      <c r="B187" s="6" t="n"/>
      <c r="C187" s="24" t="inlineStr">
        <is>
          <t>Bağ kirişi altı: 4 hat x 2 blok; kesişimler düşülmüş boy 57.55 m; genişlik 0,30+2x0,10 = 0,50 m — bu yapıya düşen pay 0.500000</t>
        </is>
      </c>
      <c r="D187" s="6" t="n"/>
      <c r="E187" s="29" t="n">
        <v>8</v>
      </c>
      <c r="F187" s="30" t="n">
        <v>0.5</v>
      </c>
      <c r="G187" s="30" t="n">
        <v>57.55</v>
      </c>
      <c r="H187" s="30" t="n">
        <v>0.1</v>
      </c>
      <c r="I187" s="25">
        <f>E187*F187*G187*H187*J187</f>
        <v/>
      </c>
      <c r="J187" s="31" t="n">
        <v>0.5</v>
      </c>
    </row>
    <row r="188">
      <c r="A188" s="23" t="n"/>
      <c r="B188" s="23" t="n"/>
      <c r="C188" s="26" t="inlineStr">
        <is>
          <t>M09 TOPLAMI</t>
        </is>
      </c>
      <c r="D188" s="27" t="inlineStr">
        <is>
          <t>m³</t>
        </is>
      </c>
      <c r="E188" s="23" t="n"/>
      <c r="F188" s="23" t="n"/>
      <c r="G188" s="23" t="n"/>
      <c r="H188" s="23" t="n"/>
      <c r="I188" s="23" t="n"/>
      <c r="J188" s="28">
        <f>SUM(I186:I187)</f>
        <v/>
      </c>
    </row>
    <row r="189" ht="22" customHeight="1">
      <c r="A189" s="20" t="n">
        <v>3</v>
      </c>
      <c r="B189" s="21" t="inlineStr">
        <is>
          <t>15.150.1005</t>
        </is>
      </c>
      <c r="C189" s="8" t="inlineStr">
        <is>
          <t>[M12]  C 25/30 hazır beton dökülmesi — kümes şerit temel ve bağ kirişleri</t>
        </is>
      </c>
      <c r="D189" s="22" t="inlineStr">
        <is>
          <t>m³</t>
        </is>
      </c>
      <c r="E189" s="23" t="n"/>
      <c r="F189" s="23" t="n"/>
      <c r="G189" s="23" t="n"/>
      <c r="H189" s="23" t="n"/>
      <c r="I189" s="23" t="n"/>
      <c r="J189" s="23" t="n"/>
    </row>
    <row r="190" ht="20" customHeight="1">
      <c r="A190" s="6" t="n"/>
      <c r="B190" s="6" t="n"/>
      <c r="C190" s="24" t="inlineStr">
        <is>
          <t>Şerit temel T1…T21 (50/60): 21 aks x 2 blok, aks boyu 13,55 m — bu yapıya düşen pay 0.500000</t>
        </is>
      </c>
      <c r="D190" s="6" t="n"/>
      <c r="E190" s="29" t="n">
        <v>42</v>
      </c>
      <c r="F190" s="30" t="n">
        <v>0.5</v>
      </c>
      <c r="G190" s="30" t="n">
        <v>13.55</v>
      </c>
      <c r="H190" s="30" t="n">
        <v>0.6</v>
      </c>
      <c r="I190" s="25">
        <f>E190*F190*G190*H190*J190</f>
        <v/>
      </c>
      <c r="J190" s="31" t="n">
        <v>0.5</v>
      </c>
    </row>
    <row r="191" ht="20" customHeight="1">
      <c r="A191" s="6" t="n"/>
      <c r="B191" s="6" t="n"/>
      <c r="C191" s="24" t="inlineStr">
        <is>
          <t>Bağ kirişi BK (30/30): 4 hat x 2 blok; şerit temellerle kesişen 21x0,50 m düşülmüş boy 78.55-10.50 = 68.05 m — bu yapıya düşen pay 0.500000</t>
        </is>
      </c>
      <c r="D191" s="6" t="n"/>
      <c r="E191" s="29" t="n">
        <v>8</v>
      </c>
      <c r="F191" s="30" t="n">
        <v>0.3</v>
      </c>
      <c r="G191" s="30" t="n">
        <v>68.05</v>
      </c>
      <c r="H191" s="30" t="n">
        <v>0.3</v>
      </c>
      <c r="I191" s="25">
        <f>E191*F191*G191*H191*J191</f>
        <v/>
      </c>
      <c r="J191" s="31" t="n">
        <v>0.5</v>
      </c>
    </row>
    <row r="192" ht="30" customHeight="1">
      <c r="A192" s="6" t="n"/>
      <c r="B192" s="6" t="n"/>
      <c r="C192" s="24" t="inlineStr">
        <is>
          <t>Kolon guseleri, temel taşmaları ve birleşim bölgeleri — betonarme proje METRAJ tablosuna tamamlama (115.71-109.863 = 5.847 m³/blok) — bu yapıya düşen pay 0.500000</t>
        </is>
      </c>
      <c r="D192" s="6" t="n"/>
      <c r="E192" s="29" t="n">
        <v>2</v>
      </c>
      <c r="F192" s="6" t="n"/>
      <c r="G192" s="30" t="n">
        <v>5.847</v>
      </c>
      <c r="H192" s="6" t="n"/>
      <c r="I192" s="25">
        <f>E192*G192*J192</f>
        <v/>
      </c>
      <c r="J192" s="31" t="n">
        <v>0.5</v>
      </c>
    </row>
    <row r="193">
      <c r="A193" s="23" t="n"/>
      <c r="B193" s="23" t="n"/>
      <c r="C193" s="26" t="inlineStr">
        <is>
          <t>M12 TOPLAMI</t>
        </is>
      </c>
      <c r="D193" s="27" t="inlineStr">
        <is>
          <t>m³</t>
        </is>
      </c>
      <c r="E193" s="23" t="n"/>
      <c r="F193" s="23" t="n"/>
      <c r="G193" s="23" t="n"/>
      <c r="H193" s="23" t="n"/>
      <c r="I193" s="23" t="n"/>
      <c r="J193" s="28">
        <f>SUM(I190:I192)</f>
        <v/>
      </c>
    </row>
    <row r="194" ht="22" customHeight="1">
      <c r="A194" s="20" t="n">
        <v>4</v>
      </c>
      <c r="B194" s="21" t="inlineStr">
        <is>
          <t>15.150.1005</t>
        </is>
      </c>
      <c r="C194" s="8" t="inlineStr">
        <is>
          <t>[M13]  C 25/30 hazır beton dökülmesi — kümes zemin döşemeleri (15 cm)</t>
        </is>
      </c>
      <c r="D194" s="22" t="inlineStr">
        <is>
          <t>m³</t>
        </is>
      </c>
      <c r="E194" s="23" t="n"/>
      <c r="F194" s="23" t="n"/>
      <c r="G194" s="23" t="n"/>
      <c r="H194" s="23" t="n"/>
      <c r="I194" s="23" t="n"/>
      <c r="J194" s="23" t="n"/>
    </row>
    <row r="195" ht="20" customHeight="1">
      <c r="A195" s="6" t="n"/>
      <c r="B195" s="6" t="n"/>
      <c r="C195" s="24" t="inlineStr">
        <is>
          <t>Kümes iç alanı 78.00x13,90 (servis bölümü hariç), kalınlık 0,15 m; 2 blok — bu yapıya düşen pay 0.500000</t>
        </is>
      </c>
      <c r="D195" s="6" t="n"/>
      <c r="E195" s="29" t="n">
        <v>2</v>
      </c>
      <c r="F195" s="30" t="n">
        <v>13.9</v>
      </c>
      <c r="G195" s="30" t="n">
        <v>78</v>
      </c>
      <c r="H195" s="30" t="n">
        <v>0.15</v>
      </c>
      <c r="I195" s="25">
        <f>E195*F195*G195*H195*J195</f>
        <v/>
      </c>
      <c r="J195" s="31" t="n">
        <v>0.5</v>
      </c>
    </row>
    <row r="196">
      <c r="A196" s="23" t="n"/>
      <c r="B196" s="23" t="n"/>
      <c r="C196" s="26" t="inlineStr">
        <is>
          <t>M13 TOPLAMI</t>
        </is>
      </c>
      <c r="D196" s="27" t="inlineStr">
        <is>
          <t>m³</t>
        </is>
      </c>
      <c r="E196" s="23" t="n"/>
      <c r="F196" s="23" t="n"/>
      <c r="G196" s="23" t="n"/>
      <c r="H196" s="23" t="n"/>
      <c r="I196" s="23" t="n"/>
      <c r="J196" s="28">
        <f>SUM(I195:I195)</f>
        <v/>
      </c>
    </row>
    <row r="197" ht="15" customHeight="1">
      <c r="A197" s="20" t="n">
        <v>5</v>
      </c>
      <c r="B197" s="21" t="inlineStr">
        <is>
          <t>15.180.1003</t>
        </is>
      </c>
      <c r="C197" s="8" t="inlineStr">
        <is>
          <t>[M18]  Plywood ile düz yüzeyli betonarme kalıbı — kümes temelleri</t>
        </is>
      </c>
      <c r="D197" s="22" t="inlineStr">
        <is>
          <t>m²</t>
        </is>
      </c>
      <c r="E197" s="23" t="n"/>
      <c r="F197" s="23" t="n"/>
      <c r="G197" s="23" t="n"/>
      <c r="H197" s="23" t="n"/>
      <c r="I197" s="23" t="n"/>
      <c r="J197" s="23" t="n"/>
    </row>
    <row r="198" ht="20" customHeight="1">
      <c r="A198" s="6" t="n"/>
      <c r="B198" s="6" t="n"/>
      <c r="C198" s="24" t="inlineStr">
        <is>
          <t>Şerit temel yan yüzleri: 21 aks x 2 yüz x 2 blok = 84; boy 13,55 m, yükseklik 0,60 m — bu yapıya düşen pay 0.500000</t>
        </is>
      </c>
      <c r="D198" s="6" t="n"/>
      <c r="E198" s="29" t="n">
        <v>84</v>
      </c>
      <c r="F198" s="6" t="n"/>
      <c r="G198" s="30" t="n">
        <v>13.55</v>
      </c>
      <c r="H198" s="30" t="n">
        <v>0.6</v>
      </c>
      <c r="I198" s="25">
        <f>E198*G198*H198*J198</f>
        <v/>
      </c>
      <c r="J198" s="31" t="n">
        <v>0.5</v>
      </c>
    </row>
    <row r="199" ht="20" customHeight="1">
      <c r="A199" s="6" t="n"/>
      <c r="B199" s="6" t="n"/>
      <c r="C199" s="24" t="inlineStr">
        <is>
          <t>Bağ kirişi yan yüzleri: 4 hat x 2 yüz x 2 blok = 16; kesişimler düşülmüş boy 68.05 m, yükseklik 0,30 m — bu yapıya düşen pay 0.500000</t>
        </is>
      </c>
      <c r="D199" s="6" t="n"/>
      <c r="E199" s="29" t="n">
        <v>16</v>
      </c>
      <c r="F199" s="6" t="n"/>
      <c r="G199" s="30" t="n">
        <v>68.05</v>
      </c>
      <c r="H199" s="30" t="n">
        <v>0.3</v>
      </c>
      <c r="I199" s="25">
        <f>E199*G199*H199*J199</f>
        <v/>
      </c>
      <c r="J199" s="31" t="n">
        <v>0.5</v>
      </c>
    </row>
    <row r="200" ht="30" customHeight="1">
      <c r="A200" s="6" t="n"/>
      <c r="B200" s="6" t="n"/>
      <c r="C200" s="24" t="inlineStr">
        <is>
          <t>Uç yüzeyler, gus ve birleşim bölgeleri — betonarme proje METRAJ tablosuna tamamlama (551.26-504.78 = 46.480 m²/blok) — bu yapıya düşen pay 0.500000</t>
        </is>
      </c>
      <c r="D200" s="6" t="n"/>
      <c r="E200" s="29" t="n">
        <v>2</v>
      </c>
      <c r="F200" s="6" t="n"/>
      <c r="G200" s="30" t="n">
        <v>46.48</v>
      </c>
      <c r="H200" s="6" t="n"/>
      <c r="I200" s="25">
        <f>E200*G200*J200</f>
        <v/>
      </c>
      <c r="J200" s="31" t="n">
        <v>0.5</v>
      </c>
    </row>
    <row r="201">
      <c r="A201" s="23" t="n"/>
      <c r="B201" s="23" t="n"/>
      <c r="C201" s="26" t="inlineStr">
        <is>
          <t>M18 TOPLAMI</t>
        </is>
      </c>
      <c r="D201" s="27" t="inlineStr">
        <is>
          <t>m²</t>
        </is>
      </c>
      <c r="E201" s="23" t="n"/>
      <c r="F201" s="23" t="n"/>
      <c r="G201" s="23" t="n"/>
      <c r="H201" s="23" t="n"/>
      <c r="I201" s="23" t="n"/>
      <c r="J201" s="28">
        <f>SUM(I198:I200)</f>
        <v/>
      </c>
    </row>
    <row r="202" ht="15" customHeight="1">
      <c r="A202" s="20" t="n">
        <v>6</v>
      </c>
      <c r="B202" s="21" t="inlineStr">
        <is>
          <t>15.160.1003</t>
        </is>
      </c>
      <c r="C202" s="8" t="inlineStr">
        <is>
          <t>[M22]  Ø8-Ø12 nervürlü beton çelik çubuğu — kümes temelleri</t>
        </is>
      </c>
      <c r="D202" s="22" t="inlineStr">
        <is>
          <t>ton</t>
        </is>
      </c>
      <c r="E202" s="23" t="n"/>
      <c r="F202" s="23" t="n"/>
      <c r="G202" s="23" t="n"/>
      <c r="H202" s="23" t="n"/>
      <c r="I202" s="23" t="n"/>
      <c r="J202" s="23" t="n"/>
    </row>
    <row r="203" ht="20" customHeight="1">
      <c r="A203" s="6" t="n"/>
      <c r="B203" s="6" t="n"/>
      <c r="C203" s="24" t="inlineStr">
        <is>
          <t>Betonarme proje METRAJ tablosu 4.159,89 kg/blok, boy oranı (1.000000) ile ölçeklenmiş: 4159.89 kg/blok; 2 blok — bu yapıya düşen pay 0.500000</t>
        </is>
      </c>
      <c r="D203" s="6" t="n"/>
      <c r="E203" s="29" t="n">
        <v>2</v>
      </c>
      <c r="F203" s="6" t="n"/>
      <c r="G203" s="6" t="n"/>
      <c r="H203" s="6" t="n"/>
      <c r="I203" s="25">
        <f>E203*J203</f>
        <v/>
      </c>
      <c r="J203" s="31" t="n">
        <v>2.079945</v>
      </c>
    </row>
    <row r="204">
      <c r="A204" s="23" t="n"/>
      <c r="B204" s="23" t="n"/>
      <c r="C204" s="26" t="inlineStr">
        <is>
          <t>M22 TOPLAMI</t>
        </is>
      </c>
      <c r="D204" s="27" t="inlineStr">
        <is>
          <t>ton</t>
        </is>
      </c>
      <c r="E204" s="23" t="n"/>
      <c r="F204" s="23" t="n"/>
      <c r="G204" s="23" t="n"/>
      <c r="H204" s="23" t="n"/>
      <c r="I204" s="23" t="n"/>
      <c r="J204" s="28">
        <f>SUM(I203:I203)</f>
        <v/>
      </c>
    </row>
    <row r="205" ht="15" customHeight="1">
      <c r="A205" s="20" t="n">
        <v>7</v>
      </c>
      <c r="B205" s="21" t="inlineStr">
        <is>
          <t>15.160.1004</t>
        </is>
      </c>
      <c r="C205" s="8" t="inlineStr">
        <is>
          <t>[M23]  Ø14-Ø28 nervürlü beton çelik çubuğu — kümes temelleri</t>
        </is>
      </c>
      <c r="D205" s="22" t="inlineStr">
        <is>
          <t>ton</t>
        </is>
      </c>
      <c r="E205" s="23" t="n"/>
      <c r="F205" s="23" t="n"/>
      <c r="G205" s="23" t="n"/>
      <c r="H205" s="23" t="n"/>
      <c r="I205" s="23" t="n"/>
      <c r="J205" s="23" t="n"/>
    </row>
    <row r="206" ht="20" customHeight="1">
      <c r="A206" s="6" t="n"/>
      <c r="B206" s="6" t="n"/>
      <c r="C206" s="24" t="inlineStr">
        <is>
          <t>Betonarme proje METRAJ tablosu 7.287,50 kg/blok, boy oranı (1.000000) ile ölçeklenmiş: 7287.50 kg/blok; 2 blok — bu yapıya düşen pay 0.500000</t>
        </is>
      </c>
      <c r="D206" s="6" t="n"/>
      <c r="E206" s="29" t="n">
        <v>2</v>
      </c>
      <c r="F206" s="6" t="n"/>
      <c r="G206" s="6" t="n"/>
      <c r="H206" s="6" t="n"/>
      <c r="I206" s="25">
        <f>E206*J206</f>
        <v/>
      </c>
      <c r="J206" s="31" t="n">
        <v>3.64375</v>
      </c>
    </row>
    <row r="207">
      <c r="A207" s="23" t="n"/>
      <c r="B207" s="23" t="n"/>
      <c r="C207" s="26" t="inlineStr">
        <is>
          <t>M23 TOPLAMI</t>
        </is>
      </c>
      <c r="D207" s="27" t="inlineStr">
        <is>
          <t>ton</t>
        </is>
      </c>
      <c r="E207" s="23" t="n"/>
      <c r="F207" s="23" t="n"/>
      <c r="G207" s="23" t="n"/>
      <c r="H207" s="23" t="n"/>
      <c r="I207" s="23" t="n"/>
      <c r="J207" s="28">
        <f>SUM(I206:I206)</f>
        <v/>
      </c>
    </row>
    <row r="208" ht="15" customHeight="1">
      <c r="A208" s="20" t="n">
        <v>8</v>
      </c>
      <c r="B208" s="21" t="inlineStr">
        <is>
          <t>15.160.1002</t>
        </is>
      </c>
      <c r="C208" s="8" t="inlineStr">
        <is>
          <t>[M27]  Nervürlü çelik hasırın yerine konulması — kümes döşemeleri</t>
        </is>
      </c>
      <c r="D208" s="22" t="inlineStr">
        <is>
          <t>ton</t>
        </is>
      </c>
      <c r="E208" s="23" t="n"/>
      <c r="F208" s="23" t="n"/>
      <c r="G208" s="23" t="n"/>
      <c r="H208" s="23" t="n"/>
      <c r="I208" s="23" t="n"/>
      <c r="J208" s="23" t="n"/>
    </row>
    <row r="209" ht="20" customHeight="1">
      <c r="A209" s="6" t="n"/>
      <c r="B209" s="6" t="n"/>
      <c r="C209" s="24" t="inlineStr">
        <is>
          <t>Kümes iç alanı 78.00x13,90 (2 blok); Q188 = 3,05 kg/m², %10 bindirme payı -&gt; 3,05x1,10/1000 = 0,003355 ton/m² — bu yapıya düşen pay 0.500000</t>
        </is>
      </c>
      <c r="D209" s="6" t="n"/>
      <c r="E209" s="29" t="n">
        <v>2</v>
      </c>
      <c r="F209" s="30" t="n">
        <v>13.9</v>
      </c>
      <c r="G209" s="30" t="n">
        <v>78</v>
      </c>
      <c r="H209" s="6" t="n"/>
      <c r="I209" s="25">
        <f>E209*F209*G209*J209</f>
        <v/>
      </c>
      <c r="J209" s="31" t="n">
        <v>0.0016775</v>
      </c>
    </row>
    <row r="210">
      <c r="A210" s="23" t="n"/>
      <c r="B210" s="23" t="n"/>
      <c r="C210" s="26" t="inlineStr">
        <is>
          <t>M27 TOPLAMI</t>
        </is>
      </c>
      <c r="D210" s="27" t="inlineStr">
        <is>
          <t>ton</t>
        </is>
      </c>
      <c r="E210" s="23" t="n"/>
      <c r="F210" s="23" t="n"/>
      <c r="G210" s="23" t="n"/>
      <c r="H210" s="23" t="n"/>
      <c r="I210" s="23" t="n"/>
      <c r="J210" s="28">
        <f>SUM(I209:I209)</f>
        <v/>
      </c>
    </row>
    <row r="211" ht="33" customHeight="1">
      <c r="A211" s="20" t="n">
        <v>9</v>
      </c>
      <c r="B211" s="21" t="inlineStr">
        <is>
          <t>15.165.1003</t>
        </is>
      </c>
      <c r="C211" s="8" t="inlineStr">
        <is>
          <t>[M31]  Her çeşit profil, çelik çubuk ve saclarla karkas (çerçeve) inşaat yapılması, yerine tespiti — kümes çelik taşıyıcı sistemi</t>
        </is>
      </c>
      <c r="D211" s="22" t="inlineStr">
        <is>
          <t>ton</t>
        </is>
      </c>
      <c r="E211" s="23" t="n"/>
      <c r="F211" s="23" t="n"/>
      <c r="G211" s="23" t="n"/>
      <c r="H211" s="23" t="n"/>
      <c r="I211" s="23" t="n"/>
      <c r="J211" s="23" t="n"/>
    </row>
    <row r="212" ht="20" customHeight="1">
      <c r="A212" s="6" t="n"/>
      <c r="B212" s="6" t="n"/>
      <c r="C212" s="24" t="inlineStr">
        <is>
          <t>SHS 150x150x6 kolon, ana kiriş ve boyuna kirişler: 802.09 m x 26,89 kg/m (2 blok) — bu yapıya düşen pay 0.500000</t>
        </is>
      </c>
      <c r="D212" s="6" t="n"/>
      <c r="E212" s="29" t="n">
        <v>2</v>
      </c>
      <c r="F212" s="6" t="n"/>
      <c r="G212" s="30" t="n">
        <v>802.09</v>
      </c>
      <c r="H212" s="6" t="n"/>
      <c r="I212" s="25">
        <f>E212*G212*J212</f>
        <v/>
      </c>
      <c r="J212" s="31" t="n">
        <v>0.013445</v>
      </c>
    </row>
    <row r="213" ht="20" customHeight="1">
      <c r="A213" s="6" t="n"/>
      <c r="B213" s="6" t="n"/>
      <c r="C213" s="24" t="inlineStr">
        <is>
          <t>RHS 100x50x3 çatı aşıkları, yan aşıklar ve kuşaklar: 2269.20 m x 6,72 kg/m (2 blok) — bu yapıya düşen pay 0.500000</t>
        </is>
      </c>
      <c r="D213" s="6" t="n"/>
      <c r="E213" s="29" t="n">
        <v>2</v>
      </c>
      <c r="F213" s="6" t="n"/>
      <c r="G213" s="30" t="n">
        <v>2269.2</v>
      </c>
      <c r="H213" s="6" t="n"/>
      <c r="I213" s="25">
        <f>E213*G213*J213</f>
        <v/>
      </c>
      <c r="J213" s="31" t="n">
        <v>0.00336</v>
      </c>
    </row>
    <row r="214" ht="20" customHeight="1">
      <c r="A214" s="6" t="n"/>
      <c r="B214" s="6" t="n"/>
      <c r="C214" s="24" t="inlineStr">
        <is>
          <t>SHS 100x100x4 çatı ve cephe çaprazları: 270.00 m x 11,95 kg/m (2 blok) — bu yapıya düşen pay 0.500000</t>
        </is>
      </c>
      <c r="D214" s="6" t="n"/>
      <c r="E214" s="29" t="n">
        <v>2</v>
      </c>
      <c r="F214" s="6" t="n"/>
      <c r="G214" s="30" t="n">
        <v>270</v>
      </c>
      <c r="H214" s="6" t="n"/>
      <c r="I214" s="25">
        <f>E214*G214*J214</f>
        <v/>
      </c>
      <c r="J214" s="31" t="n">
        <v>0.005975</v>
      </c>
    </row>
    <row r="215" ht="20" customHeight="1">
      <c r="A215" s="6" t="n"/>
      <c r="B215" s="6" t="n"/>
      <c r="C215" s="24" t="inlineStr">
        <is>
          <t>Gusse, alın levhası, taban plakası ve bulonlar — profil ağırlığının %10'u — bu yapıya düşen pay 0.500000</t>
        </is>
      </c>
      <c r="D215" s="6" t="n"/>
      <c r="E215" s="29" t="n">
        <v>2</v>
      </c>
      <c r="F215" s="6" t="n"/>
      <c r="G215" s="30" t="n">
        <v>40.0437</v>
      </c>
      <c r="H215" s="6" t="n"/>
      <c r="I215" s="25">
        <f>E215*G215*J215</f>
        <v/>
      </c>
      <c r="J215" s="31" t="n">
        <v>0.05</v>
      </c>
    </row>
    <row r="216">
      <c r="A216" s="23" t="n"/>
      <c r="B216" s="23" t="n"/>
      <c r="C216" s="26" t="inlineStr">
        <is>
          <t>M31 TOPLAMI</t>
        </is>
      </c>
      <c r="D216" s="27" t="inlineStr">
        <is>
          <t>ton</t>
        </is>
      </c>
      <c r="E216" s="23" t="n"/>
      <c r="F216" s="23" t="n"/>
      <c r="G216" s="23" t="n"/>
      <c r="H216" s="23" t="n"/>
      <c r="I216" s="23" t="n"/>
      <c r="J216" s="28">
        <f>SUM(I212:I215)</f>
        <v/>
      </c>
    </row>
    <row r="217" ht="33" customHeight="1">
      <c r="A217" s="20" t="n">
        <v>10</v>
      </c>
      <c r="B217" s="21" t="inlineStr">
        <is>
          <t>TKDK-0042</t>
        </is>
      </c>
      <c r="C217" s="8" t="inlineStr">
        <is>
          <t>[M32]  6 cm poliüretan dolgulu (üst min. 0,40 mm, alt min. 0,30 mm) boyalı galvanizli sac levhalar ile ısı yalıtımlı çatı kaplaması yapılması</t>
        </is>
      </c>
      <c r="D217" s="22" t="inlineStr">
        <is>
          <t>m²</t>
        </is>
      </c>
      <c r="E217" s="23" t="n"/>
      <c r="F217" s="23" t="n"/>
      <c r="G217" s="23" t="n"/>
      <c r="H217" s="23" t="n"/>
      <c r="I217" s="23" t="n"/>
      <c r="J217" s="23" t="n"/>
    </row>
    <row r="218" ht="30" customHeight="1">
      <c r="A218" s="6" t="n"/>
      <c r="B218" s="6" t="n"/>
      <c r="C218" s="24" t="inlineStr">
        <is>
          <t>Eğik çatı yüzeyi: gelişmiş genişlik 2x7,55 = 15,10 m (A-A kesitindeki 1510 ölçüsü); boy 79.00 + 2x0,40 saçak = 79.80 m; 2 blok — bu yapıya düşen pay 0.500000</t>
        </is>
      </c>
      <c r="D218" s="6" t="n"/>
      <c r="E218" s="29" t="n">
        <v>2</v>
      </c>
      <c r="F218" s="30" t="n">
        <v>15.1</v>
      </c>
      <c r="G218" s="30" t="n">
        <v>79.8</v>
      </c>
      <c r="H218" s="6" t="n"/>
      <c r="I218" s="25">
        <f>E218*F218*G218*J218</f>
        <v/>
      </c>
      <c r="J218" s="31" t="n">
        <v>0.5</v>
      </c>
    </row>
    <row r="219">
      <c r="A219" s="23" t="n"/>
      <c r="B219" s="23" t="n"/>
      <c r="C219" s="26" t="inlineStr">
        <is>
          <t>M32 TOPLAMI</t>
        </is>
      </c>
      <c r="D219" s="27" t="inlineStr">
        <is>
          <t>m²</t>
        </is>
      </c>
      <c r="E219" s="23" t="n"/>
      <c r="F219" s="23" t="n"/>
      <c r="G219" s="23" t="n"/>
      <c r="H219" s="23" t="n"/>
      <c r="I219" s="23" t="n"/>
      <c r="J219" s="28">
        <f>SUM(I218:I218)</f>
        <v/>
      </c>
    </row>
    <row r="220" ht="22" customHeight="1">
      <c r="A220" s="20" t="n">
        <v>11</v>
      </c>
      <c r="B220" s="21" t="inlineStr">
        <is>
          <t>15.225.1410</t>
        </is>
      </c>
      <c r="C220" s="8" t="inlineStr">
        <is>
          <t>[M33A]  20 cm kalınlığındaki teçhizatlı gazbeton lento temini ve yerine konulması — boşluk üstü lento ve yatay hatıl</t>
        </is>
      </c>
      <c r="D220" s="22" t="inlineStr">
        <is>
          <t>m²</t>
        </is>
      </c>
      <c r="E220" s="23" t="n"/>
      <c r="F220" s="23" t="n"/>
      <c r="G220" s="23" t="n"/>
      <c r="H220" s="23" t="n"/>
      <c r="I220" s="23" t="n"/>
      <c r="J220" s="23" t="n"/>
    </row>
    <row r="221" ht="20" customHeight="1">
      <c r="A221" s="6" t="n"/>
      <c r="B221" s="6" t="n"/>
      <c r="C221" s="24" t="inlineStr">
        <is>
          <t>Yükleme kapısı lentosu: açıklık 3,00 + 2x0,20 mesnet = 3,40 m; lento yüksekliği 0,25 m; 2 adet — bu yapıya düşen pay 0.500000</t>
        </is>
      </c>
      <c r="D221" s="6" t="n"/>
      <c r="E221" s="29" t="n">
        <v>2</v>
      </c>
      <c r="F221" s="6" t="n"/>
      <c r="G221" s="30" t="n">
        <v>3.4</v>
      </c>
      <c r="H221" s="30" t="n">
        <v>0.25</v>
      </c>
      <c r="I221" s="25">
        <f>E221*G221*H221*J221</f>
        <v/>
      </c>
      <c r="J221" s="31" t="n">
        <v>0.5</v>
      </c>
    </row>
    <row r="222" ht="20" customHeight="1">
      <c r="A222" s="6" t="n"/>
      <c r="B222" s="6" t="n"/>
      <c r="C222" s="24" t="inlineStr">
        <is>
          <t>Servis kapısı lentosu: açıklık 1,00 + 2x0,20 = 1,40 m; yükseklik 0,25 m; 4 adet — bu yapıya düşen pay 0.500000</t>
        </is>
      </c>
      <c r="D222" s="6" t="n"/>
      <c r="E222" s="29" t="n">
        <v>4</v>
      </c>
      <c r="F222" s="6" t="n"/>
      <c r="G222" s="30" t="n">
        <v>1.4</v>
      </c>
      <c r="H222" s="30" t="n">
        <v>0.25</v>
      </c>
      <c r="I222" s="25">
        <f>E222*G222*H222*J222</f>
        <v/>
      </c>
      <c r="J222" s="31" t="n">
        <v>0.5</v>
      </c>
    </row>
    <row r="223" ht="20" customHeight="1">
      <c r="A223" s="6" t="n"/>
      <c r="B223" s="6" t="n"/>
      <c r="C223" s="24" t="inlineStr">
        <is>
          <t>Tünel fan menfezi lentosu: açıklık 1,40 + 2x0,20 = 1,80 m; yükseklik 0,25 m; 8 adet — bu yapıya düşen pay 0.500000</t>
        </is>
      </c>
      <c r="D223" s="6" t="n"/>
      <c r="E223" s="29" t="n">
        <v>8</v>
      </c>
      <c r="F223" s="6" t="n"/>
      <c r="G223" s="30" t="n">
        <v>1.8</v>
      </c>
      <c r="H223" s="30" t="n">
        <v>0.25</v>
      </c>
      <c r="I223" s="25">
        <f>E223*G223*H223*J223</f>
        <v/>
      </c>
      <c r="J223" s="31" t="n">
        <v>0.5</v>
      </c>
    </row>
    <row r="224" ht="30" customHeight="1">
      <c r="A224" s="6" t="n"/>
      <c r="B224" s="6" t="n"/>
      <c r="C224" s="24" t="inlineStr">
        <is>
          <t>Uzun cephelerde +3,00 kotunda yatay hatıl (duvar yüksekliği 3,00 m &gt; 2,75 m): 2 cephe x 2 blok = 4; boy 79.00 m; yükseklik 0,25 m — bu yapıya düşen pay 0.500000</t>
        </is>
      </c>
      <c r="D224" s="6" t="n"/>
      <c r="E224" s="29" t="n">
        <v>4</v>
      </c>
      <c r="F224" s="6" t="n"/>
      <c r="G224" s="30" t="n">
        <v>79</v>
      </c>
      <c r="H224" s="30" t="n">
        <v>0.25</v>
      </c>
      <c r="I224" s="25">
        <f>E224*G224*H224*J224</f>
        <v/>
      </c>
      <c r="J224" s="31" t="n">
        <v>0.5</v>
      </c>
    </row>
    <row r="225" ht="20" customHeight="1">
      <c r="A225" s="6" t="n"/>
      <c r="B225" s="6" t="n"/>
      <c r="C225" s="24" t="inlineStr">
        <is>
          <t>Alınlık cephelerinde +3,00 kotunda yatay hatıl: 4; boy 14,00 m; yükseklik 0,25 m — bu yapıya düşen pay 0.500000</t>
        </is>
      </c>
      <c r="D225" s="6" t="n"/>
      <c r="E225" s="29" t="n">
        <v>4</v>
      </c>
      <c r="F225" s="6" t="n"/>
      <c r="G225" s="30" t="n">
        <v>14</v>
      </c>
      <c r="H225" s="30" t="n">
        <v>0.25</v>
      </c>
      <c r="I225" s="25">
        <f>E225*G225*H225*J225</f>
        <v/>
      </c>
      <c r="J225" s="31" t="n">
        <v>0.5</v>
      </c>
    </row>
    <row r="226">
      <c r="A226" s="23" t="n"/>
      <c r="B226" s="23" t="n"/>
      <c r="C226" s="26" t="inlineStr">
        <is>
          <t>M33A TOPLAMI</t>
        </is>
      </c>
      <c r="D226" s="27" t="inlineStr">
        <is>
          <t>m²</t>
        </is>
      </c>
      <c r="E226" s="23" t="n"/>
      <c r="F226" s="23" t="n"/>
      <c r="G226" s="23" t="n"/>
      <c r="H226" s="23" t="n"/>
      <c r="I226" s="23" t="n"/>
      <c r="J226" s="28">
        <f>SUM(I221:I225)</f>
        <v/>
      </c>
    </row>
    <row r="227" ht="22" customHeight="1">
      <c r="A227" s="20" t="n">
        <v>12</v>
      </c>
      <c r="B227" s="21" t="inlineStr">
        <is>
          <t>15.225.1010</t>
        </is>
      </c>
      <c r="C227" s="8" t="inlineStr">
        <is>
          <t>[M33]  20 cm kalınlığındaki teçhizatsız gazbeton duvar blokları ile duvar yapılması (gazbeton tutkalı ile) — cephe duvarı</t>
        </is>
      </c>
      <c r="D227" s="22" t="inlineStr">
        <is>
          <t>m²</t>
        </is>
      </c>
      <c r="E227" s="23" t="n"/>
      <c r="F227" s="23" t="n"/>
      <c r="G227" s="23" t="n"/>
      <c r="H227" s="23" t="n"/>
      <c r="I227" s="23" t="n"/>
      <c r="J227" s="23" t="n"/>
    </row>
    <row r="228" ht="20" customHeight="1">
      <c r="A228" s="6" t="n"/>
      <c r="B228" s="6" t="n"/>
      <c r="C228" s="24" t="inlineStr">
        <is>
          <t>Uzun cepheler: 2 cephe x 2 blok = 4; boy 79.00 m, saçak kotu 3,00 m — bu yapıya düşen pay 0.500000</t>
        </is>
      </c>
      <c r="D228" s="6" t="n"/>
      <c r="E228" s="29" t="n">
        <v>4</v>
      </c>
      <c r="F228" s="6" t="n"/>
      <c r="G228" s="30" t="n">
        <v>79</v>
      </c>
      <c r="H228" s="30" t="n">
        <v>3</v>
      </c>
      <c r="I228" s="25">
        <f>E228*G228*H228*J228</f>
        <v/>
      </c>
      <c r="J228" s="31" t="n">
        <v>0.5</v>
      </c>
    </row>
    <row r="229" ht="20" customHeight="1">
      <c r="A229" s="6" t="n"/>
      <c r="B229" s="6" t="n"/>
      <c r="C229" s="24" t="inlineStr">
        <is>
          <t>Alınlık cepheleri dikdörtgen kısmı: 2 cephe x 2 blok = 4; boy 14,00 m, yükseklik 3,00 m — bu yapıya düşen pay 0.500000</t>
        </is>
      </c>
      <c r="D229" s="6" t="n"/>
      <c r="E229" s="29" t="n">
        <v>4</v>
      </c>
      <c r="F229" s="6" t="n"/>
      <c r="G229" s="30" t="n">
        <v>14</v>
      </c>
      <c r="H229" s="30" t="n">
        <v>3</v>
      </c>
      <c r="I229" s="25">
        <f>E229*G229*H229*J229</f>
        <v/>
      </c>
      <c r="J229" s="31" t="n">
        <v>0.5</v>
      </c>
    </row>
    <row r="230" ht="20" customHeight="1">
      <c r="A230" s="6" t="n"/>
      <c r="B230" s="6" t="n"/>
      <c r="C230" s="24" t="inlineStr">
        <is>
          <t>Alınlık üçgeni: taban 14,00 m, yükseklik 4,50-3,00 = 1,50 m, üçgen çarpanı 0,50; 4 adet — bu yapıya düşen pay 0.500000</t>
        </is>
      </c>
      <c r="D230" s="6" t="n"/>
      <c r="E230" s="29" t="n">
        <v>4</v>
      </c>
      <c r="F230" s="6" t="n"/>
      <c r="G230" s="30" t="n">
        <v>14</v>
      </c>
      <c r="H230" s="30" t="n">
        <v>1.5</v>
      </c>
      <c r="I230" s="25">
        <f>E230*G230*H230*J230</f>
        <v/>
      </c>
      <c r="J230" s="31" t="n">
        <v>0.25</v>
      </c>
    </row>
    <row r="231" ht="12" customHeight="1">
      <c r="A231" s="6" t="n"/>
      <c r="B231" s="6" t="n"/>
      <c r="C231" s="24" t="inlineStr">
        <is>
          <t>Yükleme kapısı boşlukları (3,00x3,00), 2 adet — bu yapıya düşen pay 0.500000</t>
        </is>
      </c>
      <c r="D231" s="6" t="n"/>
      <c r="E231" s="29" t="n">
        <v>2</v>
      </c>
      <c r="F231" s="6" t="n"/>
      <c r="G231" s="30" t="n">
        <v>3</v>
      </c>
      <c r="H231" s="30" t="n">
        <v>3</v>
      </c>
      <c r="I231" s="25">
        <f>-E231*G231*H231*J231</f>
        <v/>
      </c>
      <c r="J231" s="31" t="n">
        <v>0.5</v>
      </c>
    </row>
    <row r="232" ht="12" customHeight="1">
      <c r="A232" s="6" t="n"/>
      <c r="B232" s="6" t="n"/>
      <c r="C232" s="24" t="inlineStr">
        <is>
          <t>Servis kapısı boşlukları (1,00x2,20), 4 adet — bu yapıya düşen pay 0.500000</t>
        </is>
      </c>
      <c r="D232" s="6" t="n"/>
      <c r="E232" s="29" t="n">
        <v>4</v>
      </c>
      <c r="F232" s="6" t="n"/>
      <c r="G232" s="30" t="n">
        <v>1</v>
      </c>
      <c r="H232" s="30" t="n">
        <v>2.2</v>
      </c>
      <c r="I232" s="25">
        <f>-E232*G232*H232*J232</f>
        <v/>
      </c>
      <c r="J232" s="31" t="n">
        <v>0.5</v>
      </c>
    </row>
    <row r="233" ht="12" customHeight="1">
      <c r="A233" s="6" t="n"/>
      <c r="B233" s="6" t="n"/>
      <c r="C233" s="24" t="inlineStr">
        <is>
          <t>Tünel fan boşlukları (1,40x1,40), 8 adet — bu yapıya düşen pay 0.500000</t>
        </is>
      </c>
      <c r="D233" s="6" t="n"/>
      <c r="E233" s="29" t="n">
        <v>8</v>
      </c>
      <c r="F233" s="6" t="n"/>
      <c r="G233" s="30" t="n">
        <v>1.4</v>
      </c>
      <c r="H233" s="30" t="n">
        <v>1.4</v>
      </c>
      <c r="I233" s="25">
        <f>-E233*G233*H233*J233</f>
        <v/>
      </c>
      <c r="J233" s="31" t="n">
        <v>0.5</v>
      </c>
    </row>
    <row r="234" ht="12" customHeight="1">
      <c r="A234" s="6" t="n"/>
      <c r="B234" s="6" t="n"/>
      <c r="C234" s="24" t="inlineStr">
        <is>
          <t>Lento ve yatay hatıl alanı düşülmüştür (M33A)</t>
        </is>
      </c>
      <c r="D234" s="6" t="n"/>
      <c r="E234" s="6" t="n"/>
      <c r="F234" s="6" t="n"/>
      <c r="G234" s="6" t="n"/>
      <c r="H234" s="6" t="n"/>
      <c r="I234" s="25">
        <f>-J226</f>
        <v/>
      </c>
      <c r="J234" s="6" t="n"/>
    </row>
    <row r="235">
      <c r="A235" s="23" t="n"/>
      <c r="B235" s="23" t="n"/>
      <c r="C235" s="26" t="inlineStr">
        <is>
          <t>M33 TOPLAMI</t>
        </is>
      </c>
      <c r="D235" s="27" t="inlineStr">
        <is>
          <t>m²</t>
        </is>
      </c>
      <c r="E235" s="23" t="n"/>
      <c r="F235" s="23" t="n"/>
      <c r="G235" s="23" t="n"/>
      <c r="H235" s="23" t="n"/>
      <c r="I235" s="23" t="n"/>
      <c r="J235" s="28">
        <f>SUM(I228:I234)</f>
        <v/>
      </c>
    </row>
    <row r="236" ht="22" customHeight="1">
      <c r="A236" s="20" t="n">
        <v>13</v>
      </c>
      <c r="B236" s="21" t="inlineStr">
        <is>
          <t>15.275.1116</t>
        </is>
      </c>
      <c r="C236" s="8" t="inlineStr">
        <is>
          <t>[M33B]  250 kg çimento dozlu harç ile kaba sıva yapılması — cephe duvarı dış yüzü</t>
        </is>
      </c>
      <c r="D236" s="22" t="inlineStr">
        <is>
          <t>m²</t>
        </is>
      </c>
      <c r="E236" s="23" t="n"/>
      <c r="F236" s="23" t="n"/>
      <c r="G236" s="23" t="n"/>
      <c r="H236" s="23" t="n"/>
      <c r="I236" s="23" t="n"/>
      <c r="J236" s="23" t="n"/>
    </row>
    <row r="237" ht="12" customHeight="1">
      <c r="A237" s="6" t="n"/>
      <c r="B237" s="6" t="n"/>
      <c r="C237" s="24" t="inlineStr">
        <is>
          <t>Gazbeton duvar dış yüzü (M33)</t>
        </is>
      </c>
      <c r="D237" s="6" t="n"/>
      <c r="E237" s="6" t="n"/>
      <c r="F237" s="6" t="n"/>
      <c r="G237" s="6" t="n"/>
      <c r="H237" s="6" t="n"/>
      <c r="I237" s="25">
        <f>J235</f>
        <v/>
      </c>
      <c r="J237" s="6" t="n"/>
    </row>
    <row r="238" ht="12" customHeight="1">
      <c r="A238" s="6" t="n"/>
      <c r="B238" s="6" t="n"/>
      <c r="C238" s="24" t="inlineStr">
        <is>
          <t>Lento ve yatay hatıl dış yüzü (M33A)</t>
        </is>
      </c>
      <c r="D238" s="6" t="n"/>
      <c r="E238" s="6" t="n"/>
      <c r="F238" s="6" t="n"/>
      <c r="G238" s="6" t="n"/>
      <c r="H238" s="6" t="n"/>
      <c r="I238" s="25">
        <f>J226</f>
        <v/>
      </c>
      <c r="J238" s="6" t="n"/>
    </row>
    <row r="239">
      <c r="A239" s="23" t="n"/>
      <c r="B239" s="23" t="n"/>
      <c r="C239" s="26" t="inlineStr">
        <is>
          <t>M33B TOPLAMI</t>
        </is>
      </c>
      <c r="D239" s="27" t="inlineStr">
        <is>
          <t>m²</t>
        </is>
      </c>
      <c r="E239" s="23" t="n"/>
      <c r="F239" s="23" t="n"/>
      <c r="G239" s="23" t="n"/>
      <c r="H239" s="23" t="n"/>
      <c r="I239" s="23" t="n"/>
      <c r="J239" s="28">
        <f>SUM(I237:I238)</f>
        <v/>
      </c>
    </row>
    <row r="240" ht="22" customHeight="1">
      <c r="A240" s="20" t="n">
        <v>14</v>
      </c>
      <c r="B240" s="21" t="inlineStr">
        <is>
          <t>15.275.1117</t>
        </is>
      </c>
      <c r="C240" s="8" t="inlineStr">
        <is>
          <t>[M33C]  200 kg çimento ve kireç karışımı harç ile kaba sıva yapılması (iç cephe) — cephe duvarı iç yüzü</t>
        </is>
      </c>
      <c r="D240" s="22" t="inlineStr">
        <is>
          <t>m²</t>
        </is>
      </c>
      <c r="E240" s="23" t="n"/>
      <c r="F240" s="23" t="n"/>
      <c r="G240" s="23" t="n"/>
      <c r="H240" s="23" t="n"/>
      <c r="I240" s="23" t="n"/>
      <c r="J240" s="23" t="n"/>
    </row>
    <row r="241" ht="12" customHeight="1">
      <c r="A241" s="6" t="n"/>
      <c r="B241" s="6" t="n"/>
      <c r="C241" s="24" t="inlineStr">
        <is>
          <t>Gazbeton duvar iç yüzü (M33)</t>
        </is>
      </c>
      <c r="D241" s="6" t="n"/>
      <c r="E241" s="6" t="n"/>
      <c r="F241" s="6" t="n"/>
      <c r="G241" s="6" t="n"/>
      <c r="H241" s="6" t="n"/>
      <c r="I241" s="25">
        <f>J235</f>
        <v/>
      </c>
      <c r="J241" s="6" t="n"/>
    </row>
    <row r="242" ht="12" customHeight="1">
      <c r="A242" s="6" t="n"/>
      <c r="B242" s="6" t="n"/>
      <c r="C242" s="24" t="inlineStr">
        <is>
          <t>Lento ve yatay hatıl iç yüzü (M33A)</t>
        </is>
      </c>
      <c r="D242" s="6" t="n"/>
      <c r="E242" s="6" t="n"/>
      <c r="F242" s="6" t="n"/>
      <c r="G242" s="6" t="n"/>
      <c r="H242" s="6" t="n"/>
      <c r="I242" s="25">
        <f>J226</f>
        <v/>
      </c>
      <c r="J242" s="6" t="n"/>
    </row>
    <row r="243">
      <c r="A243" s="23" t="n"/>
      <c r="B243" s="23" t="n"/>
      <c r="C243" s="26" t="inlineStr">
        <is>
          <t>M33C TOPLAMI</t>
        </is>
      </c>
      <c r="D243" s="27" t="inlineStr">
        <is>
          <t>m²</t>
        </is>
      </c>
      <c r="E243" s="23" t="n"/>
      <c r="F243" s="23" t="n"/>
      <c r="G243" s="23" t="n"/>
      <c r="H243" s="23" t="n"/>
      <c r="I243" s="23" t="n"/>
      <c r="J243" s="28">
        <f>SUM(I241:I242)</f>
        <v/>
      </c>
    </row>
    <row r="244" ht="22" customHeight="1">
      <c r="A244" s="20" t="n">
        <v>15</v>
      </c>
      <c r="B244" s="21" t="inlineStr">
        <is>
          <t>15.540.1606</t>
        </is>
      </c>
      <c r="C244" s="8" t="inlineStr">
        <is>
          <t>[M33D]  Brüt beton, sıvalı veya eski boyalı yüzeylere astar uygulanarak silikon esaslı su bazlı dış cephe boyası</t>
        </is>
      </c>
      <c r="D244" s="22" t="inlineStr">
        <is>
          <t>m²</t>
        </is>
      </c>
      <c r="E244" s="23" t="n"/>
      <c r="F244" s="23" t="n"/>
      <c r="G244" s="23" t="n"/>
      <c r="H244" s="23" t="n"/>
      <c r="I244" s="23" t="n"/>
      <c r="J244" s="23" t="n"/>
    </row>
    <row r="245" ht="12" customHeight="1">
      <c r="A245" s="6" t="n"/>
      <c r="B245" s="6" t="n"/>
      <c r="C245" s="24" t="inlineStr">
        <is>
          <t>Dış yüzde sıvalı alanın tamamı (M33B)</t>
        </is>
      </c>
      <c r="D245" s="6" t="n"/>
      <c r="E245" s="6" t="n"/>
      <c r="F245" s="6" t="n"/>
      <c r="G245" s="6" t="n"/>
      <c r="H245" s="6" t="n"/>
      <c r="I245" s="25">
        <f>J239</f>
        <v/>
      </c>
      <c r="J245" s="6" t="n"/>
    </row>
    <row r="246">
      <c r="A246" s="23" t="n"/>
      <c r="B246" s="23" t="n"/>
      <c r="C246" s="26" t="inlineStr">
        <is>
          <t>M33D TOPLAMI</t>
        </is>
      </c>
      <c r="D246" s="27" t="inlineStr">
        <is>
          <t>m²</t>
        </is>
      </c>
      <c r="E246" s="23" t="n"/>
      <c r="F246" s="23" t="n"/>
      <c r="G246" s="23" t="n"/>
      <c r="H246" s="23" t="n"/>
      <c r="I246" s="23" t="n"/>
      <c r="J246" s="28">
        <f>SUM(I245:I245)</f>
        <v/>
      </c>
    </row>
    <row r="247" ht="22" customHeight="1">
      <c r="A247" s="20" t="n">
        <v>16</v>
      </c>
      <c r="B247" s="21" t="inlineStr">
        <is>
          <t>15.540.1537</t>
        </is>
      </c>
      <c r="C247" s="8" t="inlineStr">
        <is>
          <t>[M33E]  Yeni sıva yüzeylere astar uygulanarak iki kat su bazlı plastik antibakteriyel iç cephe boyası</t>
        </is>
      </c>
      <c r="D247" s="22" t="inlineStr">
        <is>
          <t>m²</t>
        </is>
      </c>
      <c r="E247" s="23" t="n"/>
      <c r="F247" s="23" t="n"/>
      <c r="G247" s="23" t="n"/>
      <c r="H247" s="23" t="n"/>
      <c r="I247" s="23" t="n"/>
      <c r="J247" s="23" t="n"/>
    </row>
    <row r="248" ht="12" customHeight="1">
      <c r="A248" s="6" t="n"/>
      <c r="B248" s="6" t="n"/>
      <c r="C248" s="24" t="inlineStr">
        <is>
          <t>İç yüzde sıvalı alanın tamamı (M33C)</t>
        </is>
      </c>
      <c r="D248" s="6" t="n"/>
      <c r="E248" s="6" t="n"/>
      <c r="F248" s="6" t="n"/>
      <c r="G248" s="6" t="n"/>
      <c r="H248" s="6" t="n"/>
      <c r="I248" s="25">
        <f>J243</f>
        <v/>
      </c>
      <c r="J248" s="6" t="n"/>
    </row>
    <row r="249">
      <c r="A249" s="23" t="n"/>
      <c r="B249" s="23" t="n"/>
      <c r="C249" s="26" t="inlineStr">
        <is>
          <t>M33E TOPLAMI</t>
        </is>
      </c>
      <c r="D249" s="27" t="inlineStr">
        <is>
          <t>m²</t>
        </is>
      </c>
      <c r="E249" s="23" t="n"/>
      <c r="F249" s="23" t="n"/>
      <c r="G249" s="23" t="n"/>
      <c r="H249" s="23" t="n"/>
      <c r="I249" s="23" t="n"/>
      <c r="J249" s="28">
        <f>SUM(I248:I248)</f>
        <v/>
      </c>
    </row>
    <row r="250" ht="22" customHeight="1">
      <c r="A250" s="20" t="n">
        <v>17</v>
      </c>
      <c r="B250" s="21" t="inlineStr">
        <is>
          <t>15.550.1202</t>
        </is>
      </c>
      <c r="C250" s="8" t="inlineStr">
        <is>
          <t>[M34]  Lama ve profil demirlerden mahya, saçak ve köşe kapama profilleri</t>
        </is>
      </c>
      <c r="D250" s="22" t="inlineStr">
        <is>
          <t>kg</t>
        </is>
      </c>
      <c r="E250" s="23" t="n"/>
      <c r="F250" s="23" t="n"/>
      <c r="G250" s="23" t="n"/>
      <c r="H250" s="23" t="n"/>
      <c r="I250" s="23" t="n"/>
      <c r="J250" s="23" t="n"/>
    </row>
    <row r="251" ht="12" customHeight="1">
      <c r="A251" s="6" t="n"/>
      <c r="B251" s="6" t="n"/>
      <c r="C251" s="24" t="inlineStr">
        <is>
          <t>Mahya hattı (2 blok), 2,50 kg/m — bu yapıya düşen pay 0.500000</t>
        </is>
      </c>
      <c r="D251" s="6" t="n"/>
      <c r="E251" s="29" t="n">
        <v>2</v>
      </c>
      <c r="F251" s="6" t="n"/>
      <c r="G251" s="30" t="n">
        <v>79.8</v>
      </c>
      <c r="H251" s="6" t="n"/>
      <c r="I251" s="25">
        <f>E251*G251*J251</f>
        <v/>
      </c>
      <c r="J251" s="31" t="n">
        <v>1.25</v>
      </c>
    </row>
    <row r="252" ht="12" customHeight="1">
      <c r="A252" s="6" t="n"/>
      <c r="B252" s="6" t="n"/>
      <c r="C252" s="24" t="inlineStr">
        <is>
          <t>Saçak hattı: 2 kenar x 2 blok, 2,50 kg/m — bu yapıya düşen pay 0.500000</t>
        </is>
      </c>
      <c r="D252" s="6" t="n"/>
      <c r="E252" s="29" t="n">
        <v>4</v>
      </c>
      <c r="F252" s="6" t="n"/>
      <c r="G252" s="30" t="n">
        <v>79.8</v>
      </c>
      <c r="H252" s="6" t="n"/>
      <c r="I252" s="25">
        <f>E252*G252*J252</f>
        <v/>
      </c>
      <c r="J252" s="31" t="n">
        <v>1.25</v>
      </c>
    </row>
    <row r="253" ht="20" customHeight="1">
      <c r="A253" s="6" t="n"/>
      <c r="B253" s="6" t="n"/>
      <c r="C253" s="24" t="inlineStr">
        <is>
          <t>Alınlık eğim kapamaları: 2 alınlık x 2 eğim x 2 blok, eğik boy 7,55 m, 2,50 kg/m — bu yapıya düşen pay 0.500000</t>
        </is>
      </c>
      <c r="D253" s="6" t="n"/>
      <c r="E253" s="29" t="n">
        <v>8</v>
      </c>
      <c r="F253" s="6" t="n"/>
      <c r="G253" s="30" t="n">
        <v>7.55</v>
      </c>
      <c r="H253" s="6" t="n"/>
      <c r="I253" s="25">
        <f>E253*G253*J253</f>
        <v/>
      </c>
      <c r="J253" s="31" t="n">
        <v>1.25</v>
      </c>
    </row>
    <row r="254">
      <c r="A254" s="23" t="n"/>
      <c r="B254" s="23" t="n"/>
      <c r="C254" s="26" t="inlineStr">
        <is>
          <t>M34 TOPLAMI</t>
        </is>
      </c>
      <c r="D254" s="27" t="inlineStr">
        <is>
          <t>kg</t>
        </is>
      </c>
      <c r="E254" s="23" t="n"/>
      <c r="F254" s="23" t="n"/>
      <c r="G254" s="23" t="n"/>
      <c r="H254" s="23" t="n"/>
      <c r="I254" s="23" t="n"/>
      <c r="J254" s="28">
        <f>SUM(I251:I253)</f>
        <v/>
      </c>
    </row>
    <row r="255" ht="15" customHeight="1">
      <c r="A255" s="20" t="n">
        <v>18</v>
      </c>
      <c r="B255" s="21" t="inlineStr">
        <is>
          <t>TKDK-0115</t>
        </is>
      </c>
      <c r="C255" s="8" t="inlineStr">
        <is>
          <t>[M35]  Galvanizli düz sacdan yağmur oluğu yapılması — dere</t>
        </is>
      </c>
      <c r="D255" s="22" t="inlineStr">
        <is>
          <t>kg</t>
        </is>
      </c>
      <c r="E255" s="23" t="n"/>
      <c r="F255" s="23" t="n"/>
      <c r="G255" s="23" t="n"/>
      <c r="H255" s="23" t="n"/>
      <c r="I255" s="23" t="n"/>
      <c r="J255" s="23" t="n"/>
    </row>
    <row r="256" ht="40" customHeight="1">
      <c r="A256" s="6" t="n"/>
      <c r="B256" s="6" t="n"/>
      <c r="C256" s="24" t="inlineStr">
        <is>
          <t>Uzun cepheler boyunca: 2 kenar x 2 blok, saçaklı boy 79.80 m; gelişmiş genişlik 0,50 m, 0,50 mm galvanizli sac -&gt; 0,50 x 0,0005 x 7.850 = 1,96 kg/m, birleşim ve kenet payı ile 2,00 kg/m — bu yapıya düşen pay 0.500000</t>
        </is>
      </c>
      <c r="D256" s="6" t="n"/>
      <c r="E256" s="29" t="n">
        <v>4</v>
      </c>
      <c r="F256" s="6" t="n"/>
      <c r="G256" s="30" t="n">
        <v>79.8</v>
      </c>
      <c r="H256" s="6" t="n"/>
      <c r="I256" s="25">
        <f>E256*G256*J256</f>
        <v/>
      </c>
      <c r="J256" s="31" t="n">
        <v>1</v>
      </c>
    </row>
    <row r="257">
      <c r="A257" s="23" t="n"/>
      <c r="B257" s="23" t="n"/>
      <c r="C257" s="26" t="inlineStr">
        <is>
          <t>M35 TOPLAMI</t>
        </is>
      </c>
      <c r="D257" s="27" t="inlineStr">
        <is>
          <t>kg</t>
        </is>
      </c>
      <c r="E257" s="23" t="n"/>
      <c r="F257" s="23" t="n"/>
      <c r="G257" s="23" t="n"/>
      <c r="H257" s="23" t="n"/>
      <c r="I257" s="23" t="n"/>
      <c r="J257" s="28">
        <f>SUM(I256:I256)</f>
        <v/>
      </c>
    </row>
    <row r="258" ht="22" customHeight="1">
      <c r="A258" s="20" t="n">
        <v>19</v>
      </c>
      <c r="B258" s="21" t="inlineStr">
        <is>
          <t>15.315.1001</t>
        </is>
      </c>
      <c r="C258" s="8" t="inlineStr">
        <is>
          <t>[M36]  Ø70 sert PVC yağmur suyu iniş borusu temini ve yerine tesbiti</t>
        </is>
      </c>
      <c r="D258" s="22" t="inlineStr">
        <is>
          <t>m</t>
        </is>
      </c>
      <c r="E258" s="23" t="n"/>
      <c r="F258" s="23" t="n"/>
      <c r="G258" s="23" t="n"/>
      <c r="H258" s="23" t="n"/>
      <c r="I258" s="23" t="n"/>
      <c r="J258" s="23" t="n"/>
    </row>
    <row r="259" ht="30" customHeight="1">
      <c r="A259" s="6" t="n"/>
      <c r="B259" s="6" t="n"/>
      <c r="C259" s="24" t="inlineStr">
        <is>
          <t>Sıhhi tesisat projesi: blok başına 16 adet Ø70 iniş borusu (Y1-Y16), 2 blok = 32 adet; boy 3.00 m saçak kotu + 0,20 m zemin altı = 3,20 m — bu yapıya düşen pay 0.500000</t>
        </is>
      </c>
      <c r="D259" s="6" t="n"/>
      <c r="E259" s="29" t="n">
        <v>32</v>
      </c>
      <c r="F259" s="6" t="n"/>
      <c r="G259" s="30" t="n">
        <v>3.2</v>
      </c>
      <c r="H259" s="6" t="n"/>
      <c r="I259" s="25">
        <f>E259*G259*J259</f>
        <v/>
      </c>
      <c r="J259" s="31" t="n">
        <v>0.5</v>
      </c>
    </row>
    <row r="260">
      <c r="A260" s="23" t="n"/>
      <c r="B260" s="23" t="n"/>
      <c r="C260" s="26" t="inlineStr">
        <is>
          <t>M36 TOPLAMI</t>
        </is>
      </c>
      <c r="D260" s="27" t="inlineStr">
        <is>
          <t>m</t>
        </is>
      </c>
      <c r="E260" s="23" t="n"/>
      <c r="F260" s="23" t="n"/>
      <c r="G260" s="23" t="n"/>
      <c r="H260" s="23" t="n"/>
      <c r="I260" s="23" t="n"/>
      <c r="J260" s="28">
        <f>SUM(I259:I259)</f>
        <v/>
      </c>
    </row>
    <row r="261" ht="22" customHeight="1">
      <c r="A261" s="20" t="n">
        <v>20</v>
      </c>
      <c r="B261" s="21" t="inlineStr">
        <is>
          <t>TKDK-0151</t>
        </is>
      </c>
      <c r="C261" s="8" t="inlineStr">
        <is>
          <t>[M39]  5 cm poliüretan dolgulu panel ile ısı yalıtımlı kapı yapılması — kümes servis kapısı 100/220</t>
        </is>
      </c>
      <c r="D261" s="22" t="inlineStr">
        <is>
          <t>m²</t>
        </is>
      </c>
      <c r="E261" s="23" t="n"/>
      <c r="F261" s="23" t="n"/>
      <c r="G261" s="23" t="n"/>
      <c r="H261" s="23" t="n"/>
      <c r="I261" s="23" t="n"/>
      <c r="J261" s="23" t="n"/>
    </row>
    <row r="262" ht="20" customHeight="1">
      <c r="A262" s="6" t="n"/>
      <c r="B262" s="6" t="n"/>
      <c r="C262" s="24" t="inlineStr">
        <is>
          <t>Blok başına 2 adet (her iki alınlıkta birer), 2 blok = 4 adet; 1,00 x 2,20 = 2,20 m²/adet — bu yapıya düşen pay 0.500000</t>
        </is>
      </c>
      <c r="D262" s="6" t="n"/>
      <c r="E262" s="29" t="n">
        <v>4</v>
      </c>
      <c r="F262" s="30" t="n">
        <v>2.2</v>
      </c>
      <c r="G262" s="30" t="n">
        <v>1</v>
      </c>
      <c r="H262" s="6" t="n"/>
      <c r="I262" s="25">
        <f>E262*F262*G262*J262</f>
        <v/>
      </c>
      <c r="J262" s="31" t="n">
        <v>0.5</v>
      </c>
    </row>
    <row r="263">
      <c r="A263" s="23" t="n"/>
      <c r="B263" s="23" t="n"/>
      <c r="C263" s="26" t="inlineStr">
        <is>
          <t>M39 TOPLAMI</t>
        </is>
      </c>
      <c r="D263" s="27" t="inlineStr">
        <is>
          <t>m²</t>
        </is>
      </c>
      <c r="E263" s="23" t="n"/>
      <c r="F263" s="23" t="n"/>
      <c r="G263" s="23" t="n"/>
      <c r="H263" s="23" t="n"/>
      <c r="I263" s="23" t="n"/>
      <c r="J263" s="28">
        <f>SUM(I262:I262)</f>
        <v/>
      </c>
    </row>
    <row r="264" ht="22" customHeight="1">
      <c r="A264" s="20" t="n">
        <v>21</v>
      </c>
      <c r="B264" s="21" t="inlineStr">
        <is>
          <t>TKDK-0151</t>
        </is>
      </c>
      <c r="C264" s="8" t="inlineStr">
        <is>
          <t>[M40]  5 cm poliüretan dolgulu panel ile ısı yalıtımlı kapı yapılması — yükleme/temizlik kapısı 300/300 sürgülü</t>
        </is>
      </c>
      <c r="D264" s="22" t="inlineStr">
        <is>
          <t>m²</t>
        </is>
      </c>
      <c r="E264" s="23" t="n"/>
      <c r="F264" s="23" t="n"/>
      <c r="G264" s="23" t="n"/>
      <c r="H264" s="23" t="n"/>
      <c r="I264" s="23" t="n"/>
      <c r="J264" s="23" t="n"/>
    </row>
    <row r="265" ht="20" customHeight="1">
      <c r="A265" s="6" t="n"/>
      <c r="B265" s="6" t="n"/>
      <c r="C265" s="24" t="inlineStr">
        <is>
          <t>Blok başına 1 adet, 2 blok = 2 adet; 3,00 x 3,00 = 9,00 m²/adet — bu yapıya düşen pay 0.500000</t>
        </is>
      </c>
      <c r="D265" s="6" t="n"/>
      <c r="E265" s="29" t="n">
        <v>2</v>
      </c>
      <c r="F265" s="30" t="n">
        <v>3</v>
      </c>
      <c r="G265" s="30" t="n">
        <v>3</v>
      </c>
      <c r="H265" s="6" t="n"/>
      <c r="I265" s="25">
        <f>E265*F265*G265*J265</f>
        <v/>
      </c>
      <c r="J265" s="31" t="n">
        <v>0.5</v>
      </c>
    </row>
    <row r="266">
      <c r="A266" s="23" t="n"/>
      <c r="B266" s="23" t="n"/>
      <c r="C266" s="26" t="inlineStr">
        <is>
          <t>M40 TOPLAMI</t>
        </is>
      </c>
      <c r="D266" s="27" t="inlineStr">
        <is>
          <t>m²</t>
        </is>
      </c>
      <c r="E266" s="23" t="n"/>
      <c r="F266" s="23" t="n"/>
      <c r="G266" s="23" t="n"/>
      <c r="H266" s="23" t="n"/>
      <c r="I266" s="23" t="n"/>
      <c r="J266" s="28">
        <f>SUM(I265:I265)</f>
        <v/>
      </c>
    </row>
    <row r="267" ht="22" customHeight="1">
      <c r="A267" s="20" t="n">
        <v>22</v>
      </c>
      <c r="B267" s="21" t="inlineStr">
        <is>
          <t>15.225.1004</t>
        </is>
      </c>
      <c r="C267" s="8" t="inlineStr">
        <is>
          <t>[M43A]  10 cm kalınlığındaki teçhizatsız gazbeton duvar blokları ile bölme duvar yapılması — servis bölümü</t>
        </is>
      </c>
      <c r="D267" s="22" t="inlineStr">
        <is>
          <t>m²</t>
        </is>
      </c>
      <c r="E267" s="23" t="n"/>
      <c r="F267" s="23" t="n"/>
      <c r="G267" s="23" t="n"/>
      <c r="H267" s="23" t="n"/>
      <c r="I267" s="23" t="n"/>
      <c r="J267" s="23" t="n"/>
    </row>
    <row r="268" ht="12" customHeight="1">
      <c r="A268" s="6" t="n"/>
      <c r="B268" s="6" t="n"/>
      <c r="C268" s="24" t="inlineStr">
        <is>
          <t>Bölme duvar boyu 15,00 m, kat yüksekliği 3,00 m; 2 blok — bu yapıya düşen pay 0.500000</t>
        </is>
      </c>
      <c r="D268" s="6" t="n"/>
      <c r="E268" s="29" t="n">
        <v>2</v>
      </c>
      <c r="F268" s="6" t="n"/>
      <c r="G268" s="30" t="n">
        <v>15</v>
      </c>
      <c r="H268" s="30" t="n">
        <v>3</v>
      </c>
      <c r="I268" s="25">
        <f>E268*G268*H268*J268</f>
        <v/>
      </c>
      <c r="J268" s="31" t="n">
        <v>0.5</v>
      </c>
    </row>
    <row r="269">
      <c r="A269" s="23" t="n"/>
      <c r="B269" s="23" t="n"/>
      <c r="C269" s="26" t="inlineStr">
        <is>
          <t>M43A TOPLAMI</t>
        </is>
      </c>
      <c r="D269" s="27" t="inlineStr">
        <is>
          <t>m²</t>
        </is>
      </c>
      <c r="E269" s="23" t="n"/>
      <c r="F269" s="23" t="n"/>
      <c r="G269" s="23" t="n"/>
      <c r="H269" s="23" t="n"/>
      <c r="I269" s="23" t="n"/>
      <c r="J269" s="28">
        <f>SUM(I268:I268)</f>
        <v/>
      </c>
    </row>
    <row r="270" ht="22" customHeight="1">
      <c r="A270" s="20" t="n">
        <v>23</v>
      </c>
      <c r="B270" s="21" t="inlineStr">
        <is>
          <t>15.275.1117</t>
        </is>
      </c>
      <c r="C270" s="8" t="inlineStr">
        <is>
          <t>[M43B]  200 kg çimento ve kireç karışımı harç ile kaba sıva yapılması — servis bölümü bölme duvarları</t>
        </is>
      </c>
      <c r="D270" s="22" t="inlineStr">
        <is>
          <t>m²</t>
        </is>
      </c>
      <c r="E270" s="23" t="n"/>
      <c r="F270" s="23" t="n"/>
      <c r="G270" s="23" t="n"/>
      <c r="H270" s="23" t="n"/>
      <c r="I270" s="23" t="n"/>
      <c r="J270" s="23" t="n"/>
    </row>
    <row r="271" ht="12" customHeight="1">
      <c r="A271" s="6" t="n"/>
      <c r="B271" s="6" t="n"/>
      <c r="C271" s="24" t="inlineStr">
        <is>
          <t>Bölme duvarların iki yüzü: 15,00 x 3,00 x 2 yüz; 2 blok — bu yapıya düşen pay 0.500000</t>
        </is>
      </c>
      <c r="D271" s="6" t="n"/>
      <c r="E271" s="29" t="n">
        <v>2</v>
      </c>
      <c r="F271" s="30" t="n">
        <v>2</v>
      </c>
      <c r="G271" s="30" t="n">
        <v>15</v>
      </c>
      <c r="H271" s="30" t="n">
        <v>3</v>
      </c>
      <c r="I271" s="25">
        <f>E271*F271*G271*H271*J271</f>
        <v/>
      </c>
      <c r="J271" s="31" t="n">
        <v>0.5</v>
      </c>
    </row>
    <row r="272">
      <c r="A272" s="23" t="n"/>
      <c r="B272" s="23" t="n"/>
      <c r="C272" s="26" t="inlineStr">
        <is>
          <t>M43B TOPLAMI</t>
        </is>
      </c>
      <c r="D272" s="27" t="inlineStr">
        <is>
          <t>m²</t>
        </is>
      </c>
      <c r="E272" s="23" t="n"/>
      <c r="F272" s="23" t="n"/>
      <c r="G272" s="23" t="n"/>
      <c r="H272" s="23" t="n"/>
      <c r="I272" s="23" t="n"/>
      <c r="J272" s="28">
        <f>SUM(I271:I271)</f>
        <v/>
      </c>
    </row>
    <row r="273" ht="22" customHeight="1">
      <c r="A273" s="20" t="n">
        <v>24</v>
      </c>
      <c r="B273" s="21" t="inlineStr">
        <is>
          <t>TKDK-0177</t>
        </is>
      </c>
      <c r="C273" s="8" t="inlineStr">
        <is>
          <t>[M43C]  Duvar karosu ile 3 mm derz aralıklı döşeme ve duvar kaplaması yapılması — servis bölümü</t>
        </is>
      </c>
      <c r="D273" s="22" t="inlineStr">
        <is>
          <t>m²</t>
        </is>
      </c>
      <c r="E273" s="23" t="n"/>
      <c r="F273" s="23" t="n"/>
      <c r="G273" s="23" t="n"/>
      <c r="H273" s="23" t="n"/>
      <c r="I273" s="23" t="n"/>
      <c r="J273" s="23" t="n"/>
    </row>
    <row r="274" ht="12" customHeight="1">
      <c r="A274" s="6" t="n"/>
      <c r="B274" s="6" t="n"/>
      <c r="C274" s="24" t="inlineStr">
        <is>
          <t>Zemin kaplaması: servis bölümü alanı 25,00 m²; 2 blok — bu yapıya düşen pay 0.500000</t>
        </is>
      </c>
      <c r="D274" s="6" t="n"/>
      <c r="E274" s="29" t="n">
        <v>2</v>
      </c>
      <c r="F274" s="6" t="n"/>
      <c r="G274" s="30" t="n">
        <v>25</v>
      </c>
      <c r="H274" s="6" t="n"/>
      <c r="I274" s="25">
        <f>E274*G274*J274</f>
        <v/>
      </c>
      <c r="J274" s="31" t="n">
        <v>0.5</v>
      </c>
    </row>
    <row r="275" ht="20" customHeight="1">
      <c r="A275" s="6" t="n"/>
      <c r="B275" s="6" t="n"/>
      <c r="C275" s="24" t="inlineStr">
        <is>
          <t>Duvar kaplaması: WC ve hijyen bölmesi çevresi 17,50 m, kaplama yüksekliği 2,00 m; 2 blok — bu yapıya düşen pay 0.500000</t>
        </is>
      </c>
      <c r="D275" s="6" t="n"/>
      <c r="E275" s="29" t="n">
        <v>2</v>
      </c>
      <c r="F275" s="6" t="n"/>
      <c r="G275" s="30" t="n">
        <v>17.5</v>
      </c>
      <c r="H275" s="30" t="n">
        <v>2</v>
      </c>
      <c r="I275" s="25">
        <f>E275*G275*H275*J275</f>
        <v/>
      </c>
      <c r="J275" s="31" t="n">
        <v>0.5</v>
      </c>
    </row>
    <row r="276">
      <c r="A276" s="23" t="n"/>
      <c r="B276" s="23" t="n"/>
      <c r="C276" s="26" t="inlineStr">
        <is>
          <t>M43C TOPLAMI</t>
        </is>
      </c>
      <c r="D276" s="27" t="inlineStr">
        <is>
          <t>m²</t>
        </is>
      </c>
      <c r="E276" s="23" t="n"/>
      <c r="F276" s="23" t="n"/>
      <c r="G276" s="23" t="n"/>
      <c r="H276" s="23" t="n"/>
      <c r="I276" s="23" t="n"/>
      <c r="J276" s="28">
        <f>SUM(I274:I275)</f>
        <v/>
      </c>
    </row>
    <row r="277" ht="22" customHeight="1">
      <c r="A277" s="20" t="n">
        <v>25</v>
      </c>
      <c r="B277" s="21" t="inlineStr">
        <is>
          <t>15.540.1537</t>
        </is>
      </c>
      <c r="C277" s="8" t="inlineStr">
        <is>
          <t>[M43D]  Yeni sıva yüzeylere astar uygulanarak iki kat su bazlı plastik antibakteriyel boya — servis bölümü</t>
        </is>
      </c>
      <c r="D277" s="22" t="inlineStr">
        <is>
          <t>m²</t>
        </is>
      </c>
      <c r="E277" s="23" t="n"/>
      <c r="F277" s="23" t="n"/>
      <c r="G277" s="23" t="n"/>
      <c r="H277" s="23" t="n"/>
      <c r="I277" s="23" t="n"/>
      <c r="J277" s="23" t="n"/>
    </row>
    <row r="278" ht="12" customHeight="1">
      <c r="A278" s="6" t="n"/>
      <c r="B278" s="6" t="n"/>
      <c r="C278" s="24" t="inlineStr">
        <is>
          <t>Sıvalı yüzeyin tamamı: 15,00 x 3,00 x 2 yüz; 2 blok — bu yapıya düşen pay 0.500000</t>
        </is>
      </c>
      <c r="D278" s="6" t="n"/>
      <c r="E278" s="29" t="n">
        <v>2</v>
      </c>
      <c r="F278" s="30" t="n">
        <v>2</v>
      </c>
      <c r="G278" s="30" t="n">
        <v>15</v>
      </c>
      <c r="H278" s="30" t="n">
        <v>3</v>
      </c>
      <c r="I278" s="25">
        <f>E278*F278*G278*H278*J278</f>
        <v/>
      </c>
      <c r="J278" s="31" t="n">
        <v>0.5</v>
      </c>
    </row>
    <row r="279" ht="20" customHeight="1">
      <c r="A279" s="6" t="n"/>
      <c r="B279" s="6" t="n"/>
      <c r="C279" s="24" t="inlineStr">
        <is>
          <t>Seramik kaplanan duvar yüzeyi düşülür: 17,50 x 2,00; 2 blok — bu yapıya düşen pay 0.500000</t>
        </is>
      </c>
      <c r="D279" s="6" t="n"/>
      <c r="E279" s="29" t="n">
        <v>2</v>
      </c>
      <c r="F279" s="6" t="n"/>
      <c r="G279" s="30" t="n">
        <v>17.5</v>
      </c>
      <c r="H279" s="30" t="n">
        <v>2</v>
      </c>
      <c r="I279" s="25">
        <f>-E279*G279*H279*J279</f>
        <v/>
      </c>
      <c r="J279" s="31" t="n">
        <v>0.5</v>
      </c>
    </row>
    <row r="280">
      <c r="A280" s="23" t="n"/>
      <c r="B280" s="23" t="n"/>
      <c r="C280" s="26" t="inlineStr">
        <is>
          <t>M43D TOPLAMI</t>
        </is>
      </c>
      <c r="D280" s="27" t="inlineStr">
        <is>
          <t>m²</t>
        </is>
      </c>
      <c r="E280" s="23" t="n"/>
      <c r="F280" s="23" t="n"/>
      <c r="G280" s="23" t="n"/>
      <c r="H280" s="23" t="n"/>
      <c r="I280" s="23" t="n"/>
      <c r="J280" s="28">
        <f>SUM(I278:I279)</f>
        <v/>
      </c>
    </row>
    <row r="281" ht="22" customHeight="1">
      <c r="A281" s="20" t="n">
        <v>26</v>
      </c>
      <c r="B281" s="21" t="inlineStr">
        <is>
          <t>TKDK-0175</t>
        </is>
      </c>
      <c r="C281" s="8" t="inlineStr">
        <is>
          <t>[M43E]  PVC kaplamalı MDF presli iç kapı kanadı yapılması, yerinde takılması — servis bölümü</t>
        </is>
      </c>
      <c r="D281" s="22" t="inlineStr">
        <is>
          <t>m²</t>
        </is>
      </c>
      <c r="E281" s="23" t="n"/>
      <c r="F281" s="23" t="n"/>
      <c r="G281" s="23" t="n"/>
      <c r="H281" s="23" t="n"/>
      <c r="I281" s="23" t="n"/>
      <c r="J281" s="23" t="n"/>
    </row>
    <row r="282" ht="20" customHeight="1">
      <c r="A282" s="6" t="n"/>
      <c r="B282" s="6" t="n"/>
      <c r="C282" s="24" t="inlineStr">
        <is>
          <t>Blok başına 3 adet (hijyen, ofis, WC); 0,90 x 2,10 = 1,89 m²/adet — bu yapıya düşen pay 0.500000</t>
        </is>
      </c>
      <c r="D282" s="6" t="n"/>
      <c r="E282" s="29" t="n">
        <v>6</v>
      </c>
      <c r="F282" s="30" t="n">
        <v>2.1</v>
      </c>
      <c r="G282" s="30" t="n">
        <v>0.9</v>
      </c>
      <c r="H282" s="6" t="n"/>
      <c r="I282" s="25">
        <f>E282*F282*G282*J282</f>
        <v/>
      </c>
      <c r="J282" s="31" t="n">
        <v>0.5</v>
      </c>
    </row>
    <row r="283">
      <c r="A283" s="23" t="n"/>
      <c r="B283" s="23" t="n"/>
      <c r="C283" s="26" t="inlineStr">
        <is>
          <t>M43E TOPLAMI</t>
        </is>
      </c>
      <c r="D283" s="27" t="inlineStr">
        <is>
          <t>m²</t>
        </is>
      </c>
      <c r="E283" s="23" t="n"/>
      <c r="F283" s="23" t="n"/>
      <c r="G283" s="23" t="n"/>
      <c r="H283" s="23" t="n"/>
      <c r="I283" s="23" t="n"/>
      <c r="J283" s="28">
        <f>SUM(I282:I282)</f>
        <v/>
      </c>
    </row>
    <row r="284" ht="22" customHeight="1">
      <c r="A284" s="20" t="n">
        <v>27</v>
      </c>
      <c r="B284" s="21" t="inlineStr">
        <is>
          <t>15.550.1002</t>
        </is>
      </c>
      <c r="C284" s="8" t="inlineStr">
        <is>
          <t>[M43F]  1,50 mm sacdan bükme kapı kasası yapılması ve yerine konulması — servis bölümü iç kapıları</t>
        </is>
      </c>
      <c r="D284" s="22" t="inlineStr">
        <is>
          <t>kg</t>
        </is>
      </c>
      <c r="E284" s="23" t="n"/>
      <c r="F284" s="23" t="n"/>
      <c r="G284" s="23" t="n"/>
      <c r="H284" s="23" t="n"/>
      <c r="I284" s="23" t="n"/>
      <c r="J284" s="23" t="n"/>
    </row>
    <row r="285" ht="20" customHeight="1">
      <c r="A285" s="6" t="n"/>
      <c r="B285" s="6" t="n"/>
      <c r="C285" s="24" t="inlineStr">
        <is>
          <t>Blok başına 3 adet; kasa çevresi 2x2,10+0,90 = 5,10 m, 1,50 mm sacdan bükme kasa 3,55 kg/m -&gt; 18,10 kg/adet — bu yapıya düşen pay 0.500000</t>
        </is>
      </c>
      <c r="D285" s="6" t="n"/>
      <c r="E285" s="29" t="n">
        <v>6</v>
      </c>
      <c r="F285" s="6" t="n"/>
      <c r="G285" s="30" t="n">
        <v>5.1</v>
      </c>
      <c r="H285" s="6" t="n"/>
      <c r="I285" s="25">
        <f>E285*G285*J285</f>
        <v/>
      </c>
      <c r="J285" s="31" t="n">
        <v>1.775</v>
      </c>
    </row>
    <row r="286">
      <c r="A286" s="23" t="n"/>
      <c r="B286" s="23" t="n"/>
      <c r="C286" s="26" t="inlineStr">
        <is>
          <t>M43F TOPLAMI</t>
        </is>
      </c>
      <c r="D286" s="27" t="inlineStr">
        <is>
          <t>kg</t>
        </is>
      </c>
      <c r="E286" s="23" t="n"/>
      <c r="F286" s="23" t="n"/>
      <c r="G286" s="23" t="n"/>
      <c r="H286" s="23" t="n"/>
      <c r="I286" s="23" t="n"/>
      <c r="J286" s="28">
        <f>SUM(I285:I285)</f>
        <v/>
      </c>
    </row>
    <row r="287" ht="22" customHeight="1">
      <c r="A287" s="20" t="n">
        <v>28</v>
      </c>
      <c r="B287" s="21" t="inlineStr">
        <is>
          <t>43.527.1001</t>
        </is>
      </c>
      <c r="C287" s="8" t="inlineStr">
        <is>
          <t>[M59]  ø150 HDPE koruge boru ile pissu hattı döşenmesi (SN 8, lastik conta ve boru bedeli dahil)</t>
        </is>
      </c>
      <c r="D287" s="22" t="inlineStr">
        <is>
          <t>m</t>
        </is>
      </c>
      <c r="E287" s="23" t="n"/>
      <c r="F287" s="23" t="n"/>
      <c r="G287" s="23" t="n"/>
      <c r="H287" s="23" t="n"/>
      <c r="I287" s="23" t="n"/>
      <c r="J287" s="23" t="n"/>
    </row>
    <row r="288" ht="12" customHeight="1">
      <c r="A288" s="6" t="n"/>
      <c r="B288" s="6" t="n"/>
      <c r="C288" s="24" t="inlineStr">
        <is>
          <t>Servis bölümleri iç hatları (2 blok) — bu yapıya düşen pay 0.500000</t>
        </is>
      </c>
      <c r="D288" s="6" t="n"/>
      <c r="E288" s="29" t="n">
        <v>2</v>
      </c>
      <c r="F288" s="6" t="n"/>
      <c r="G288" s="30" t="n">
        <v>25</v>
      </c>
      <c r="H288" s="6" t="n"/>
      <c r="I288" s="25">
        <f>E288*G288*J288</f>
        <v/>
      </c>
      <c r="J288" s="31" t="n">
        <v>0.5</v>
      </c>
    </row>
    <row r="289">
      <c r="A289" s="23" t="n"/>
      <c r="B289" s="23" t="n"/>
      <c r="C289" s="26" t="inlineStr">
        <is>
          <t>M59 TOPLAMI</t>
        </is>
      </c>
      <c r="D289" s="27" t="inlineStr">
        <is>
          <t>m</t>
        </is>
      </c>
      <c r="E289" s="23" t="n"/>
      <c r="F289" s="23" t="n"/>
      <c r="G289" s="23" t="n"/>
      <c r="H289" s="23" t="n"/>
      <c r="I289" s="23" t="n"/>
      <c r="J289" s="28">
        <f>SUM(I288:I288)</f>
        <v/>
      </c>
    </row>
    <row r="290" ht="22" customHeight="1">
      <c r="A290" s="20" t="n">
        <v>29</v>
      </c>
      <c r="B290" s="21" t="inlineStr">
        <is>
          <t>30.100.2105</t>
        </is>
      </c>
      <c r="C290" s="8" t="inlineStr">
        <is>
          <t>[M67]  Kümes dağıtım panosu (sıva üstü galvanizli sac tablo, 0,40-0,50 m²)</t>
        </is>
      </c>
      <c r="D290" s="22" t="inlineStr">
        <is>
          <t>ad</t>
        </is>
      </c>
      <c r="E290" s="23" t="n"/>
      <c r="F290" s="23" t="n"/>
      <c r="G290" s="23" t="n"/>
      <c r="H290" s="23" t="n"/>
      <c r="I290" s="23" t="n"/>
      <c r="J290" s="23" t="n"/>
    </row>
    <row r="291" ht="12" customHeight="1">
      <c r="A291" s="6" t="n"/>
      <c r="B291" s="6" t="n"/>
      <c r="C291" s="24" t="inlineStr">
        <is>
          <t>Blok başına 1 adet, 2 blok — bu yapıya düşen pay 0.500000</t>
        </is>
      </c>
      <c r="D291" s="6" t="n"/>
      <c r="E291" s="29" t="n">
        <v>1</v>
      </c>
      <c r="F291" s="6" t="n"/>
      <c r="G291" s="6" t="n"/>
      <c r="H291" s="6" t="n"/>
      <c r="I291" s="25">
        <f>E291*J291</f>
        <v/>
      </c>
      <c r="J291" s="31" t="n">
        <v>1</v>
      </c>
    </row>
    <row r="292">
      <c r="A292" s="23" t="n"/>
      <c r="B292" s="23" t="n"/>
      <c r="C292" s="26" t="inlineStr">
        <is>
          <t>M67 TOPLAMI</t>
        </is>
      </c>
      <c r="D292" s="27" t="inlineStr">
        <is>
          <t>ad</t>
        </is>
      </c>
      <c r="E292" s="23" t="n"/>
      <c r="F292" s="23" t="n"/>
      <c r="G292" s="23" t="n"/>
      <c r="H292" s="23" t="n"/>
      <c r="I292" s="23" t="n"/>
      <c r="J292" s="28">
        <f>SUM(I291:I291)</f>
        <v/>
      </c>
    </row>
    <row r="293" ht="22" customHeight="1">
      <c r="A293" s="20" t="n">
        <v>30</v>
      </c>
      <c r="B293" s="21" t="inlineStr">
        <is>
          <t>30.110.1102</t>
        </is>
      </c>
      <c r="C293" s="8" t="inlineStr">
        <is>
          <t>[M68]  Termik-manyetik kompakt şalter 3x100 A, Icu 35 kA — kümes besleme</t>
        </is>
      </c>
      <c r="D293" s="22" t="inlineStr">
        <is>
          <t>ad</t>
        </is>
      </c>
      <c r="E293" s="23" t="n"/>
      <c r="F293" s="23" t="n"/>
      <c r="G293" s="23" t="n"/>
      <c r="H293" s="23" t="n"/>
      <c r="I293" s="23" t="n"/>
      <c r="J293" s="23" t="n"/>
    </row>
    <row r="294" ht="12" customHeight="1">
      <c r="A294" s="6" t="n"/>
      <c r="B294" s="6" t="n"/>
      <c r="C294" s="24" t="inlineStr">
        <is>
          <t>Blok başına 1 adet, 2 blok — bu yapıya düşen pay 0.500000</t>
        </is>
      </c>
      <c r="D294" s="6" t="n"/>
      <c r="E294" s="29" t="n">
        <v>1</v>
      </c>
      <c r="F294" s="6" t="n"/>
      <c r="G294" s="6" t="n"/>
      <c r="H294" s="6" t="n"/>
      <c r="I294" s="25">
        <f>E294*J294</f>
        <v/>
      </c>
      <c r="J294" s="31" t="n">
        <v>1</v>
      </c>
    </row>
    <row r="295">
      <c r="A295" s="23" t="n"/>
      <c r="B295" s="23" t="n"/>
      <c r="C295" s="26" t="inlineStr">
        <is>
          <t>M68 TOPLAMI</t>
        </is>
      </c>
      <c r="D295" s="27" t="inlineStr">
        <is>
          <t>ad</t>
        </is>
      </c>
      <c r="E295" s="23" t="n"/>
      <c r="F295" s="23" t="n"/>
      <c r="G295" s="23" t="n"/>
      <c r="H295" s="23" t="n"/>
      <c r="I295" s="23" t="n"/>
      <c r="J295" s="28">
        <f>SUM(I294:I294)</f>
        <v/>
      </c>
    </row>
    <row r="296" ht="15" customHeight="1">
      <c r="A296" s="20" t="n">
        <v>31</v>
      </c>
      <c r="B296" s="21" t="inlineStr">
        <is>
          <t>30.115.1003</t>
        </is>
      </c>
      <c r="C296" s="8" t="inlineStr">
        <is>
          <t>[M69]  Kaçak akım koruma şalteri 2x63 A, 30 mA</t>
        </is>
      </c>
      <c r="D296" s="22" t="inlineStr">
        <is>
          <t>ad</t>
        </is>
      </c>
      <c r="E296" s="23" t="n"/>
      <c r="F296" s="23" t="n"/>
      <c r="G296" s="23" t="n"/>
      <c r="H296" s="23" t="n"/>
      <c r="I296" s="23" t="n"/>
      <c r="J296" s="23" t="n"/>
    </row>
    <row r="297" ht="12" customHeight="1">
      <c r="A297" s="6" t="n"/>
      <c r="B297" s="6" t="n"/>
      <c r="C297" s="24" t="inlineStr">
        <is>
          <t>Kümes panolarında blok başına 2 adet — bu yapıya düşen pay 0.500000</t>
        </is>
      </c>
      <c r="D297" s="6" t="n"/>
      <c r="E297" s="29" t="n">
        <v>1</v>
      </c>
      <c r="F297" s="6" t="n"/>
      <c r="G297" s="6" t="n"/>
      <c r="H297" s="6" t="n"/>
      <c r="I297" s="25">
        <f>E297*J297</f>
        <v/>
      </c>
      <c r="J297" s="31" t="n">
        <v>2</v>
      </c>
    </row>
    <row r="298">
      <c r="A298" s="23" t="n"/>
      <c r="B298" s="23" t="n"/>
      <c r="C298" s="26" t="inlineStr">
        <is>
          <t>M69 TOPLAMI</t>
        </is>
      </c>
      <c r="D298" s="27" t="inlineStr">
        <is>
          <t>ad</t>
        </is>
      </c>
      <c r="E298" s="23" t="n"/>
      <c r="F298" s="23" t="n"/>
      <c r="G298" s="23" t="n"/>
      <c r="H298" s="23" t="n"/>
      <c r="I298" s="23" t="n"/>
      <c r="J298" s="28">
        <f>SUM(I297:I297)</f>
        <v/>
      </c>
    </row>
    <row r="299" ht="22" customHeight="1">
      <c r="A299" s="20" t="n">
        <v>32</v>
      </c>
      <c r="B299" s="21" t="inlineStr">
        <is>
          <t>30.140.3104</t>
        </is>
      </c>
      <c r="C299" s="8" t="inlineStr">
        <is>
          <t>[M71]  YVV (NYY) 1 kV yeraltı kablosu ile kolon hattı tesisi — 1x25 mm²</t>
        </is>
      </c>
      <c r="D299" s="22" t="inlineStr">
        <is>
          <t>m</t>
        </is>
      </c>
      <c r="E299" s="23" t="n"/>
      <c r="F299" s="23" t="n"/>
      <c r="G299" s="23" t="n"/>
      <c r="H299" s="23" t="n"/>
      <c r="I299" s="23" t="n"/>
      <c r="J299" s="23" t="n"/>
    </row>
    <row r="300" ht="12" customHeight="1">
      <c r="A300" s="6" t="n"/>
      <c r="B300" s="6" t="n"/>
      <c r="C300" s="24" t="inlineStr">
        <is>
          <t>Ana pano - kümes A blok panosu, 60 m x 4 damar — bu yapıya düşen pay 0.500000</t>
        </is>
      </c>
      <c r="D300" s="6" t="n"/>
      <c r="E300" s="29" t="n">
        <v>1</v>
      </c>
      <c r="F300" s="6" t="n"/>
      <c r="G300" s="6" t="n"/>
      <c r="H300" s="6" t="n"/>
      <c r="I300" s="25">
        <f>E300*J300</f>
        <v/>
      </c>
      <c r="J300" s="31" t="n">
        <v>120</v>
      </c>
    </row>
    <row r="301" ht="12" customHeight="1">
      <c r="A301" s="6" t="n"/>
      <c r="B301" s="6" t="n"/>
      <c r="C301" s="24" t="inlineStr">
        <is>
          <t>Ana pano - kümes B blok panosu, 90 m x 4 damar — bu yapıya düşen pay 0.500000</t>
        </is>
      </c>
      <c r="D301" s="6" t="n"/>
      <c r="E301" s="29" t="n">
        <v>1</v>
      </c>
      <c r="F301" s="6" t="n"/>
      <c r="G301" s="6" t="n"/>
      <c r="H301" s="6" t="n"/>
      <c r="I301" s="25">
        <f>E301*J301</f>
        <v/>
      </c>
      <c r="J301" s="31" t="n">
        <v>180</v>
      </c>
    </row>
    <row r="302">
      <c r="A302" s="23" t="n"/>
      <c r="B302" s="23" t="n"/>
      <c r="C302" s="26" t="inlineStr">
        <is>
          <t>M71 TOPLAMI</t>
        </is>
      </c>
      <c r="D302" s="27" t="inlineStr">
        <is>
          <t>m</t>
        </is>
      </c>
      <c r="E302" s="23" t="n"/>
      <c r="F302" s="23" t="n"/>
      <c r="G302" s="23" t="n"/>
      <c r="H302" s="23" t="n"/>
      <c r="I302" s="23" t="n"/>
      <c r="J302" s="28">
        <f>SUM(I300:I301)</f>
        <v/>
      </c>
    </row>
    <row r="303" ht="22" customHeight="1">
      <c r="A303" s="20" t="n">
        <v>33</v>
      </c>
      <c r="B303" s="21" t="inlineStr">
        <is>
          <t>30.170.1602</t>
        </is>
      </c>
      <c r="C303" s="8" t="inlineStr">
        <is>
          <t>[M73]  LED sıva üstü etanj armatür (polikarbon gövdeli), ışık akısı en az 2700 lm — kümes genel aydınlatması</t>
        </is>
      </c>
      <c r="D303" s="22" t="inlineStr">
        <is>
          <t>ad</t>
        </is>
      </c>
      <c r="E303" s="23" t="n"/>
      <c r="F303" s="23" t="n"/>
      <c r="G303" s="23" t="n"/>
      <c r="H303" s="23" t="n"/>
      <c r="I303" s="23" t="n"/>
      <c r="J303" s="23" t="n"/>
    </row>
    <row r="304" ht="12" customHeight="1">
      <c r="A304" s="6" t="n"/>
      <c r="B304" s="6" t="n"/>
      <c r="C304" s="24" t="inlineStr">
        <is>
          <t>Blok başına 3 sıra x 10 adet = 30 adet, 2 blok — bu yapıya düşen pay 0.500000</t>
        </is>
      </c>
      <c r="D304" s="6" t="n"/>
      <c r="E304" s="29" t="n">
        <v>1</v>
      </c>
      <c r="F304" s="6" t="n"/>
      <c r="G304" s="6" t="n"/>
      <c r="H304" s="6" t="n"/>
      <c r="I304" s="25">
        <f>E304*J304</f>
        <v/>
      </c>
      <c r="J304" s="31" t="n">
        <v>30</v>
      </c>
    </row>
    <row r="305">
      <c r="A305" s="23" t="n"/>
      <c r="B305" s="23" t="n"/>
      <c r="C305" s="26" t="inlineStr">
        <is>
          <t>M73 TOPLAMI</t>
        </is>
      </c>
      <c r="D305" s="27" t="inlineStr">
        <is>
          <t>ad</t>
        </is>
      </c>
      <c r="E305" s="23" t="n"/>
      <c r="F305" s="23" t="n"/>
      <c r="G305" s="23" t="n"/>
      <c r="H305" s="23" t="n"/>
      <c r="I305" s="23" t="n"/>
      <c r="J305" s="28">
        <f>SUM(I304:I304)</f>
        <v/>
      </c>
    </row>
    <row r="306" ht="22" customHeight="1">
      <c r="A306" s="20" t="n">
        <v>34</v>
      </c>
      <c r="B306" s="21" t="inlineStr">
        <is>
          <t>30.170.1601</t>
        </is>
      </c>
      <c r="C306" s="8" t="inlineStr">
        <is>
          <t>[M74]  LED sıva üstü etanj armatür (polikarbon gövdeli), ışık akısı en az 1800 lm — servis bölümü</t>
        </is>
      </c>
      <c r="D306" s="22" t="inlineStr">
        <is>
          <t>ad</t>
        </is>
      </c>
      <c r="E306" s="23" t="n"/>
      <c r="F306" s="23" t="n"/>
      <c r="G306" s="23" t="n"/>
      <c r="H306" s="23" t="n"/>
      <c r="I306" s="23" t="n"/>
      <c r="J306" s="23" t="n"/>
    </row>
    <row r="307" ht="12" customHeight="1">
      <c r="A307" s="6" t="n"/>
      <c r="B307" s="6" t="n"/>
      <c r="C307" s="24" t="inlineStr">
        <is>
          <t>Blok başına 2 adet, 2 blok — bu yapıya düşen pay 0.500000</t>
        </is>
      </c>
      <c r="D307" s="6" t="n"/>
      <c r="E307" s="29" t="n">
        <v>1</v>
      </c>
      <c r="F307" s="6" t="n"/>
      <c r="G307" s="6" t="n"/>
      <c r="H307" s="6" t="n"/>
      <c r="I307" s="25">
        <f>E307*J307</f>
        <v/>
      </c>
      <c r="J307" s="31" t="n">
        <v>2</v>
      </c>
    </row>
    <row r="308">
      <c r="A308" s="23" t="n"/>
      <c r="B308" s="23" t="n"/>
      <c r="C308" s="26" t="inlineStr">
        <is>
          <t>M74 TOPLAMI</t>
        </is>
      </c>
      <c r="D308" s="27" t="inlineStr">
        <is>
          <t>ad</t>
        </is>
      </c>
      <c r="E308" s="23" t="n"/>
      <c r="F308" s="23" t="n"/>
      <c r="G308" s="23" t="n"/>
      <c r="H308" s="23" t="n"/>
      <c r="I308" s="23" t="n"/>
      <c r="J308" s="28">
        <f>SUM(I307:I307)</f>
        <v/>
      </c>
    </row>
    <row r="309" ht="15" customHeight="1">
      <c r="A309" s="20" t="n">
        <v>35</v>
      </c>
      <c r="B309" s="21" t="inlineStr">
        <is>
          <t>30.160.6102</t>
        </is>
      </c>
      <c r="C309" s="8" t="inlineStr">
        <is>
          <t>[M75]  Boş boru döşemesi — 25-32 mm PVC boru</t>
        </is>
      </c>
      <c r="D309" s="22" t="inlineStr">
        <is>
          <t>m</t>
        </is>
      </c>
      <c r="E309" s="23" t="n"/>
      <c r="F309" s="23" t="n"/>
      <c r="G309" s="23" t="n"/>
      <c r="H309" s="23" t="n"/>
      <c r="I309" s="23" t="n"/>
      <c r="J309" s="23" t="n"/>
    </row>
    <row r="310" ht="12" customHeight="1">
      <c r="A310" s="6" t="n"/>
      <c r="B310" s="6" t="n"/>
      <c r="C310" s="24" t="inlineStr">
        <is>
          <t>Kümes içi aydınlatma ve priz tesisatı, blok başına 500 m — bu yapıya düşen pay 0.500000</t>
        </is>
      </c>
      <c r="D310" s="6" t="n"/>
      <c r="E310" s="29" t="n">
        <v>1</v>
      </c>
      <c r="F310" s="6" t="n"/>
      <c r="G310" s="6" t="n"/>
      <c r="H310" s="6" t="n"/>
      <c r="I310" s="25">
        <f>E310*J310</f>
        <v/>
      </c>
      <c r="J310" s="31" t="n">
        <v>500</v>
      </c>
    </row>
    <row r="311">
      <c r="A311" s="23" t="n"/>
      <c r="B311" s="23" t="n"/>
      <c r="C311" s="26" t="inlineStr">
        <is>
          <t>M75 TOPLAMI</t>
        </is>
      </c>
      <c r="D311" s="27" t="inlineStr">
        <is>
          <t>m</t>
        </is>
      </c>
      <c r="E311" s="23" t="n"/>
      <c r="F311" s="23" t="n"/>
      <c r="G311" s="23" t="n"/>
      <c r="H311" s="23" t="n"/>
      <c r="I311" s="23" t="n"/>
      <c r="J311" s="28">
        <f>SUM(I310:I310)</f>
        <v/>
      </c>
    </row>
    <row r="312" ht="15" customHeight="1">
      <c r="A312" s="20" t="n">
        <v>36</v>
      </c>
      <c r="B312" s="21" t="inlineStr">
        <is>
          <t>30.150.1402</t>
        </is>
      </c>
      <c r="C312" s="8" t="inlineStr">
        <is>
          <t>[M76]  Halojensiz H07Z tipi iletken 1x2,5 mm² ile tesisat</t>
        </is>
      </c>
      <c r="D312" s="22" t="inlineStr">
        <is>
          <t>m</t>
        </is>
      </c>
      <c r="E312" s="23" t="n"/>
      <c r="F312" s="23" t="n"/>
      <c r="G312" s="23" t="n"/>
      <c r="H312" s="23" t="n"/>
      <c r="I312" s="23" t="n"/>
      <c r="J312" s="23" t="n"/>
    </row>
    <row r="313" ht="12" customHeight="1">
      <c r="A313" s="6" t="n"/>
      <c r="B313" s="6" t="n"/>
      <c r="C313" s="24" t="inlineStr">
        <is>
          <t>Aydınlatma ve priz hatları, blok başına 2.000 m; 2 blok — bu yapıya düşen pay 0.500000</t>
        </is>
      </c>
      <c r="D313" s="6" t="n"/>
      <c r="E313" s="29" t="n">
        <v>2</v>
      </c>
      <c r="F313" s="6" t="n"/>
      <c r="G313" s="6" t="n"/>
      <c r="H313" s="6" t="n"/>
      <c r="I313" s="25">
        <f>E313*J313</f>
        <v/>
      </c>
      <c r="J313" s="31" t="n">
        <v>1000</v>
      </c>
    </row>
    <row r="314">
      <c r="A314" s="23" t="n"/>
      <c r="B314" s="23" t="n"/>
      <c r="C314" s="26" t="inlineStr">
        <is>
          <t>M76 TOPLAMI</t>
        </is>
      </c>
      <c r="D314" s="27" t="inlineStr">
        <is>
          <t>m</t>
        </is>
      </c>
      <c r="E314" s="23" t="n"/>
      <c r="F314" s="23" t="n"/>
      <c r="G314" s="23" t="n"/>
      <c r="H314" s="23" t="n"/>
      <c r="I314" s="23" t="n"/>
      <c r="J314" s="28">
        <f>SUM(I313:I313)</f>
        <v/>
      </c>
    </row>
    <row r="315" ht="15" customHeight="1">
      <c r="A315" s="20" t="n">
        <v>37</v>
      </c>
      <c r="B315" s="21" t="inlineStr">
        <is>
          <t>30.150.1401</t>
        </is>
      </c>
      <c r="C315" s="8" t="inlineStr">
        <is>
          <t>[M77]  Halojensiz H07Z tipi iletken 1x1,5 mm² ile kumanda tesisatı</t>
        </is>
      </c>
      <c r="D315" s="22" t="inlineStr">
        <is>
          <t>m</t>
        </is>
      </c>
      <c r="E315" s="23" t="n"/>
      <c r="F315" s="23" t="n"/>
      <c r="G315" s="23" t="n"/>
      <c r="H315" s="23" t="n"/>
      <c r="I315" s="23" t="n"/>
      <c r="J315" s="23" t="n"/>
    </row>
    <row r="316" ht="12" customHeight="1">
      <c r="A316" s="6" t="n"/>
      <c r="B316" s="6" t="n"/>
      <c r="C316" s="24" t="inlineStr">
        <is>
          <t>Kumanda ve dimmer hatları, blok başına 600 m — bu yapıya düşen pay 0.500000</t>
        </is>
      </c>
      <c r="D316" s="6" t="n"/>
      <c r="E316" s="29" t="n">
        <v>1</v>
      </c>
      <c r="F316" s="6" t="n"/>
      <c r="G316" s="6" t="n"/>
      <c r="H316" s="6" t="n"/>
      <c r="I316" s="25">
        <f>E316*J316</f>
        <v/>
      </c>
      <c r="J316" s="31" t="n">
        <v>600</v>
      </c>
    </row>
    <row r="317">
      <c r="A317" s="23" t="n"/>
      <c r="B317" s="23" t="n"/>
      <c r="C317" s="26" t="inlineStr">
        <is>
          <t>M77 TOPLAMI</t>
        </is>
      </c>
      <c r="D317" s="27" t="inlineStr">
        <is>
          <t>m</t>
        </is>
      </c>
      <c r="E317" s="23" t="n"/>
      <c r="F317" s="23" t="n"/>
      <c r="G317" s="23" t="n"/>
      <c r="H317" s="23" t="n"/>
      <c r="I317" s="23" t="n"/>
      <c r="J317" s="28">
        <f>SUM(I316:I316)</f>
        <v/>
      </c>
    </row>
    <row r="318" ht="22" customHeight="1">
      <c r="A318" s="20" t="n">
        <v>38</v>
      </c>
      <c r="B318" s="21" t="inlineStr">
        <is>
          <t>30.140.1105</t>
        </is>
      </c>
      <c r="C318" s="8" t="inlineStr">
        <is>
          <t>[M78]  Çıplak bakır tel 25 mm² — eşpotansiyel bara ve topraklama iletkeni</t>
        </is>
      </c>
      <c r="D318" s="22" t="inlineStr">
        <is>
          <t>m</t>
        </is>
      </c>
      <c r="E318" s="23" t="n"/>
      <c r="F318" s="23" t="n"/>
      <c r="G318" s="23" t="n"/>
      <c r="H318" s="23" t="n"/>
      <c r="I318" s="23" t="n"/>
      <c r="J318" s="23" t="n"/>
    </row>
    <row r="319" ht="12" customHeight="1">
      <c r="A319" s="6" t="n"/>
      <c r="B319" s="6" t="n"/>
      <c r="C319" s="24" t="inlineStr">
        <is>
          <t>Blok başına 100 m, 2 blok — bu yapıya düşen pay 0.500000</t>
        </is>
      </c>
      <c r="D319" s="6" t="n"/>
      <c r="E319" s="29" t="n">
        <v>1</v>
      </c>
      <c r="F319" s="6" t="n"/>
      <c r="G319" s="6" t="n"/>
      <c r="H319" s="6" t="n"/>
      <c r="I319" s="25">
        <f>E319*J319</f>
        <v/>
      </c>
      <c r="J319" s="31" t="n">
        <v>100</v>
      </c>
    </row>
    <row r="320">
      <c r="A320" s="23" t="n"/>
      <c r="B320" s="23" t="n"/>
      <c r="C320" s="26" t="inlineStr">
        <is>
          <t>M78 TOPLAMI</t>
        </is>
      </c>
      <c r="D320" s="27" t="inlineStr">
        <is>
          <t>m</t>
        </is>
      </c>
      <c r="E320" s="23" t="n"/>
      <c r="F320" s="23" t="n"/>
      <c r="G320" s="23" t="n"/>
      <c r="H320" s="23" t="n"/>
      <c r="I320" s="23" t="n"/>
      <c r="J320" s="28">
        <f>SUM(I319:I319)</f>
        <v/>
      </c>
    </row>
    <row r="321" ht="22" customHeight="1">
      <c r="A321" s="20" t="n">
        <v>39</v>
      </c>
      <c r="B321" s="21" t="inlineStr">
        <is>
          <t>30.750.3002</t>
        </is>
      </c>
      <c r="C321" s="8" t="inlineStr">
        <is>
          <t>[M79]  Bina ihata iletkeni tesisatı — 30x3,5 mm galvanizli çelik lama (temel topraklaması)</t>
        </is>
      </c>
      <c r="D321" s="22" t="inlineStr">
        <is>
          <t>m</t>
        </is>
      </c>
      <c r="E321" s="23" t="n"/>
      <c r="F321" s="23" t="n"/>
      <c r="G321" s="23" t="n"/>
      <c r="H321" s="23" t="n"/>
      <c r="I321" s="23" t="n"/>
      <c r="J321" s="23" t="n"/>
    </row>
    <row r="322" ht="12" customHeight="1">
      <c r="A322" s="6" t="n"/>
      <c r="B322" s="6" t="n"/>
      <c r="C322" s="24" t="inlineStr">
        <is>
          <t>Kümes çevresi 2x(14,00+79,00) = 186,00 m, 2 blok — bu yapıya düşen pay 0.500000</t>
        </is>
      </c>
      <c r="D322" s="6" t="n"/>
      <c r="E322" s="29" t="n">
        <v>1</v>
      </c>
      <c r="F322" s="6" t="n"/>
      <c r="G322" s="6" t="n"/>
      <c r="H322" s="6" t="n"/>
      <c r="I322" s="25">
        <f>E322*J322</f>
        <v/>
      </c>
      <c r="J322" s="31" t="n">
        <v>186</v>
      </c>
    </row>
    <row r="323">
      <c r="A323" s="23" t="n"/>
      <c r="B323" s="23" t="n"/>
      <c r="C323" s="26" t="inlineStr">
        <is>
          <t>M79 TOPLAMI</t>
        </is>
      </c>
      <c r="D323" s="27" t="inlineStr">
        <is>
          <t>m</t>
        </is>
      </c>
      <c r="E323" s="23" t="n"/>
      <c r="F323" s="23" t="n"/>
      <c r="G323" s="23" t="n"/>
      <c r="H323" s="23" t="n"/>
      <c r="I323" s="23" t="n"/>
      <c r="J323" s="28">
        <f>SUM(I322:I322)</f>
        <v/>
      </c>
    </row>
    <row r="324" ht="15" customHeight="1">
      <c r="A324" s="20" t="n">
        <v>40</v>
      </c>
      <c r="B324" s="21" t="inlineStr">
        <is>
          <t>30.750.1502</t>
        </is>
      </c>
      <c r="C324" s="8" t="inlineStr">
        <is>
          <t>[M80]  Aktif yakalama ucu, ortalama uyarım yolu DL = 30-40 m</t>
        </is>
      </c>
      <c r="D324" s="22" t="inlineStr">
        <is>
          <t>ad</t>
        </is>
      </c>
      <c r="E324" s="23" t="n"/>
      <c r="F324" s="23" t="n"/>
      <c r="G324" s="23" t="n"/>
      <c r="H324" s="23" t="n"/>
      <c r="I324" s="23" t="n"/>
      <c r="J324" s="23" t="n"/>
    </row>
    <row r="325" ht="12" customHeight="1">
      <c r="A325" s="6" t="n"/>
      <c r="B325" s="6" t="n"/>
      <c r="C325" s="24" t="inlineStr">
        <is>
          <t>Blok başına 1 adet, 2 blok — bu yapıya düşen pay 0.500000</t>
        </is>
      </c>
      <c r="D325" s="6" t="n"/>
      <c r="E325" s="29" t="n">
        <v>1</v>
      </c>
      <c r="F325" s="6" t="n"/>
      <c r="G325" s="6" t="n"/>
      <c r="H325" s="6" t="n"/>
      <c r="I325" s="25">
        <f>E325*J325</f>
        <v/>
      </c>
      <c r="J325" s="31" t="n">
        <v>1</v>
      </c>
    </row>
    <row r="326">
      <c r="A326" s="23" t="n"/>
      <c r="B326" s="23" t="n"/>
      <c r="C326" s="26" t="inlineStr">
        <is>
          <t>M80 TOPLAMI</t>
        </is>
      </c>
      <c r="D326" s="27" t="inlineStr">
        <is>
          <t>ad</t>
        </is>
      </c>
      <c r="E326" s="23" t="n"/>
      <c r="F326" s="23" t="n"/>
      <c r="G326" s="23" t="n"/>
      <c r="H326" s="23" t="n"/>
      <c r="I326" s="23" t="n"/>
      <c r="J326" s="28">
        <f>SUM(I325:I325)</f>
        <v/>
      </c>
    </row>
    <row r="327" ht="22" customHeight="1">
      <c r="A327" s="20" t="n">
        <v>41</v>
      </c>
      <c r="B327" s="21" t="inlineStr">
        <is>
          <t>30.750.2001</t>
        </is>
      </c>
      <c r="C327" s="8" t="inlineStr">
        <is>
          <t>[M81]  Çatı ihata ve indirme iletkeni tesisatı — 50 mm² elektrolitik bakır tel</t>
        </is>
      </c>
      <c r="D327" s="22" t="inlineStr">
        <is>
          <t>m</t>
        </is>
      </c>
      <c r="E327" s="23" t="n"/>
      <c r="F327" s="23" t="n"/>
      <c r="G327" s="23" t="n"/>
      <c r="H327" s="23" t="n"/>
      <c r="I327" s="23" t="n"/>
      <c r="J327" s="23" t="n"/>
    </row>
    <row r="328" ht="12" customHeight="1">
      <c r="A328" s="6" t="n"/>
      <c r="B328" s="6" t="n"/>
      <c r="C328" s="24" t="inlineStr">
        <is>
          <t>Blok başına 2 iniş x 8,00 m, 2 blok — bu yapıya düşen pay 0.500000</t>
        </is>
      </c>
      <c r="D328" s="6" t="n"/>
      <c r="E328" s="29" t="n">
        <v>1</v>
      </c>
      <c r="F328" s="6" t="n"/>
      <c r="G328" s="6" t="n"/>
      <c r="H328" s="6" t="n"/>
      <c r="I328" s="25">
        <f>E328*J328</f>
        <v/>
      </c>
      <c r="J328" s="31" t="n">
        <v>16</v>
      </c>
    </row>
    <row r="329">
      <c r="A329" s="23" t="n"/>
      <c r="B329" s="23" t="n"/>
      <c r="C329" s="26" t="inlineStr">
        <is>
          <t>M81 TOPLAMI</t>
        </is>
      </c>
      <c r="D329" s="27" t="inlineStr">
        <is>
          <t>m</t>
        </is>
      </c>
      <c r="E329" s="23" t="n"/>
      <c r="F329" s="23" t="n"/>
      <c r="G329" s="23" t="n"/>
      <c r="H329" s="23" t="n"/>
      <c r="I329" s="23" t="n"/>
      <c r="J329" s="28">
        <f>SUM(I328:I328)</f>
        <v/>
      </c>
    </row>
    <row r="330" ht="22" customHeight="1">
      <c r="A330" s="20" t="n">
        <v>42</v>
      </c>
      <c r="B330" s="21" t="inlineStr">
        <is>
          <t>30.740.1106</t>
        </is>
      </c>
      <c r="C330" s="8" t="inlineStr">
        <is>
          <t>[M84]  Dizel elektrojen grubu (jeneratör) 63 kVA / 50 kW — dizel motoru su veya hava ile soğuyan cinsten, 1500 d/dak</t>
        </is>
      </c>
      <c r="D330" s="22" t="inlineStr">
        <is>
          <t>ad</t>
        </is>
      </c>
      <c r="E330" s="23" t="n"/>
      <c r="F330" s="23" t="n"/>
      <c r="G330" s="23" t="n"/>
      <c r="H330" s="23" t="n"/>
      <c r="I330" s="23" t="n"/>
      <c r="J330" s="23" t="n"/>
    </row>
    <row r="331" ht="12" customHeight="1">
      <c r="A331" s="6" t="n"/>
      <c r="B331" s="6" t="n"/>
      <c r="C331" s="24" t="inlineStr">
        <is>
          <t>Kümes A ve B blok — her bloğa 1 adet — bu yapıya düşen pay 0.500000</t>
        </is>
      </c>
      <c r="D331" s="6" t="n"/>
      <c r="E331" s="29" t="n">
        <v>2</v>
      </c>
      <c r="F331" s="6" t="n"/>
      <c r="G331" s="6" t="n"/>
      <c r="H331" s="6" t="n"/>
      <c r="I331" s="25">
        <f>E331*J331</f>
        <v/>
      </c>
      <c r="J331" s="31" t="n">
        <v>0.5</v>
      </c>
    </row>
    <row r="332">
      <c r="A332" s="23" t="n"/>
      <c r="B332" s="23" t="n"/>
      <c r="C332" s="26" t="inlineStr">
        <is>
          <t>M84 TOPLAMI</t>
        </is>
      </c>
      <c r="D332" s="27" t="inlineStr">
        <is>
          <t>ad</t>
        </is>
      </c>
      <c r="E332" s="23" t="n"/>
      <c r="F332" s="23" t="n"/>
      <c r="G332" s="23" t="n"/>
      <c r="H332" s="23" t="n"/>
      <c r="I332" s="23" t="n"/>
      <c r="J332" s="28">
        <f>SUM(I331:I331)</f>
        <v/>
      </c>
    </row>
    <row r="333" ht="15" customHeight="1">
      <c r="A333" s="20" t="n">
        <v>43</v>
      </c>
      <c r="B333" s="21" t="inlineStr">
        <is>
          <t>30.740.5406</t>
        </is>
      </c>
      <c r="C333" s="8" t="inlineStr">
        <is>
          <t>[M85]  Jeneratör ses izolasyon kabini — 63 kVA</t>
        </is>
      </c>
      <c r="D333" s="22" t="inlineStr">
        <is>
          <t>ad</t>
        </is>
      </c>
      <c r="E333" s="23" t="n"/>
      <c r="F333" s="23" t="n"/>
      <c r="G333" s="23" t="n"/>
      <c r="H333" s="23" t="n"/>
      <c r="I333" s="23" t="n"/>
      <c r="J333" s="23" t="n"/>
    </row>
    <row r="334" ht="12" customHeight="1">
      <c r="A334" s="6" t="n"/>
      <c r="B334" s="6" t="n"/>
      <c r="C334" s="24" t="inlineStr">
        <is>
          <t>Her jeneratör için 1 adet — bu yapıya düşen pay 0.500000</t>
        </is>
      </c>
      <c r="D334" s="6" t="n"/>
      <c r="E334" s="29" t="n">
        <v>2</v>
      </c>
      <c r="F334" s="6" t="n"/>
      <c r="G334" s="6" t="n"/>
      <c r="H334" s="6" t="n"/>
      <c r="I334" s="25">
        <f>E334*J334</f>
        <v/>
      </c>
      <c r="J334" s="31" t="n">
        <v>0.5</v>
      </c>
    </row>
    <row r="335">
      <c r="A335" s="23" t="n"/>
      <c r="B335" s="23" t="n"/>
      <c r="C335" s="26" t="inlineStr">
        <is>
          <t>M85 TOPLAMI</t>
        </is>
      </c>
      <c r="D335" s="27" t="inlineStr">
        <is>
          <t>ad</t>
        </is>
      </c>
      <c r="E335" s="23" t="n"/>
      <c r="F335" s="23" t="n"/>
      <c r="G335" s="23" t="n"/>
      <c r="H335" s="23" t="n"/>
      <c r="I335" s="23" t="n"/>
      <c r="J335" s="28">
        <f>SUM(I334:I334)</f>
        <v/>
      </c>
    </row>
    <row r="336" ht="22" customHeight="1">
      <c r="A336" s="20" t="n">
        <v>44</v>
      </c>
      <c r="B336" s="21" t="inlineStr">
        <is>
          <t>30.120.2016</t>
        </is>
      </c>
      <c r="C336" s="8" t="inlineStr">
        <is>
          <t>[M86]  Otomatik transfer şalteri 4 x 200 A — şebeke/jeneratör geçişi</t>
        </is>
      </c>
      <c r="D336" s="22" t="inlineStr">
        <is>
          <t>ad</t>
        </is>
      </c>
      <c r="E336" s="23" t="n"/>
      <c r="F336" s="23" t="n"/>
      <c r="G336" s="23" t="n"/>
      <c r="H336" s="23" t="n"/>
      <c r="I336" s="23" t="n"/>
      <c r="J336" s="23" t="n"/>
    </row>
    <row r="337" ht="12" customHeight="1">
      <c r="A337" s="6" t="n"/>
      <c r="B337" s="6" t="n"/>
      <c r="C337" s="24" t="inlineStr">
        <is>
          <t>Her jeneratör için 1 adet — bu yapıya düşen pay 0.500000</t>
        </is>
      </c>
      <c r="D337" s="6" t="n"/>
      <c r="E337" s="29" t="n">
        <v>2</v>
      </c>
      <c r="F337" s="6" t="n"/>
      <c r="G337" s="6" t="n"/>
      <c r="H337" s="6" t="n"/>
      <c r="I337" s="25">
        <f>E337*J337</f>
        <v/>
      </c>
      <c r="J337" s="31" t="n">
        <v>0.5</v>
      </c>
    </row>
    <row r="338">
      <c r="A338" s="23" t="n"/>
      <c r="B338" s="23" t="n"/>
      <c r="C338" s="26" t="inlineStr">
        <is>
          <t>M86 TOPLAMI</t>
        </is>
      </c>
      <c r="D338" s="27" t="inlineStr">
        <is>
          <t>ad</t>
        </is>
      </c>
      <c r="E338" s="23" t="n"/>
      <c r="F338" s="23" t="n"/>
      <c r="G338" s="23" t="n"/>
      <c r="H338" s="23" t="n"/>
      <c r="I338" s="23" t="n"/>
      <c r="J338" s="28">
        <f>SUM(I337:I337)</f>
        <v/>
      </c>
    </row>
    <row r="339" ht="22" customHeight="1">
      <c r="A339" s="20" t="n">
        <v>45</v>
      </c>
      <c r="B339" s="21" t="inlineStr">
        <is>
          <t>35.190.1100</t>
        </is>
      </c>
      <c r="C339" s="8" t="inlineStr">
        <is>
          <t>[M87]  Kablo tava sistemi — 200x60x1,0 mm sıcak daldırma galvanizli perfore kablo tavası (malzeme)</t>
        </is>
      </c>
      <c r="D339" s="22" t="inlineStr">
        <is>
          <t>kg</t>
        </is>
      </c>
      <c r="E339" s="23" t="n"/>
      <c r="F339" s="23" t="n"/>
      <c r="G339" s="23" t="n"/>
      <c r="H339" s="23" t="n"/>
      <c r="I339" s="23" t="n"/>
      <c r="J339" s="23" t="n"/>
    </row>
    <row r="340" ht="20" customHeight="1">
      <c r="A340" s="6" t="n"/>
      <c r="B340" s="6" t="n"/>
      <c r="C340" s="24" t="inlineStr">
        <is>
          <t>Kümes içi ana kablo güzergâhı; blok başına 200 m; açınım 0,320 m x 7,85 kg/m² = 2,510 kg/m — bu yapıya düşen pay 0.500000</t>
        </is>
      </c>
      <c r="D340" s="6" t="n"/>
      <c r="E340" s="29" t="n">
        <v>2</v>
      </c>
      <c r="F340" s="6" t="n"/>
      <c r="G340" s="30" t="n">
        <v>200</v>
      </c>
      <c r="H340" s="6" t="n"/>
      <c r="I340" s="25">
        <f>E340*G340*J340</f>
        <v/>
      </c>
      <c r="J340" s="31" t="n">
        <v>1.255</v>
      </c>
    </row>
    <row r="341">
      <c r="A341" s="23" t="n"/>
      <c r="B341" s="23" t="n"/>
      <c r="C341" s="26" t="inlineStr">
        <is>
          <t>M87 TOPLAMI</t>
        </is>
      </c>
      <c r="D341" s="27" t="inlineStr">
        <is>
          <t>kg</t>
        </is>
      </c>
      <c r="E341" s="23" t="n"/>
      <c r="F341" s="23" t="n"/>
      <c r="G341" s="23" t="n"/>
      <c r="H341" s="23" t="n"/>
      <c r="I341" s="23" t="n"/>
      <c r="J341" s="28">
        <f>SUM(I340:I340)</f>
        <v/>
      </c>
    </row>
    <row r="342" ht="22" customHeight="1">
      <c r="A342" s="20" t="n">
        <v>46</v>
      </c>
      <c r="B342" s="21" t="inlineStr">
        <is>
          <t>35.190.1101</t>
        </is>
      </c>
      <c r="C342" s="8" t="inlineStr">
        <is>
          <t>[M89]  Kablo tava sistemi kapak sacı — 1,0 mm sıcak daldırma galvanizli (malzeme)</t>
        </is>
      </c>
      <c r="D342" s="22" t="inlineStr">
        <is>
          <t>kg</t>
        </is>
      </c>
      <c r="E342" s="23" t="n"/>
      <c r="F342" s="23" t="n"/>
      <c r="G342" s="23" t="n"/>
      <c r="H342" s="23" t="n"/>
      <c r="I342" s="23" t="n"/>
      <c r="J342" s="23" t="n"/>
    </row>
    <row r="343" ht="20" customHeight="1">
      <c r="A343" s="6" t="n"/>
      <c r="B343" s="6" t="n"/>
      <c r="C343" s="24" t="inlineStr">
        <is>
          <t>Tava güzergâhının tamamı; blok başına 200 m; açınım 0,230 m x 7,85 kg/m² = 1,806 kg/m — bu yapıya düşen pay 0.500000</t>
        </is>
      </c>
      <c r="D343" s="6" t="n"/>
      <c r="E343" s="29" t="n">
        <v>2</v>
      </c>
      <c r="F343" s="6" t="n"/>
      <c r="G343" s="30" t="n">
        <v>200</v>
      </c>
      <c r="H343" s="6" t="n"/>
      <c r="I343" s="25">
        <f>E343*G343*J343</f>
        <v/>
      </c>
      <c r="J343" s="31" t="n">
        <v>0.903</v>
      </c>
    </row>
    <row r="344">
      <c r="A344" s="23" t="n"/>
      <c r="B344" s="23" t="n"/>
      <c r="C344" s="26" t="inlineStr">
        <is>
          <t>M89 TOPLAMI</t>
        </is>
      </c>
      <c r="D344" s="27" t="inlineStr">
        <is>
          <t>kg</t>
        </is>
      </c>
      <c r="E344" s="23" t="n"/>
      <c r="F344" s="23" t="n"/>
      <c r="G344" s="23" t="n"/>
      <c r="H344" s="23" t="n"/>
      <c r="I344" s="23" t="n"/>
      <c r="J344" s="28">
        <f>SUM(I343:I343)</f>
        <v/>
      </c>
    </row>
    <row r="345" ht="15" customHeight="1">
      <c r="A345" s="20" t="n">
        <v>47</v>
      </c>
      <c r="B345" s="21" t="inlineStr">
        <is>
          <t>30.190.1304</t>
        </is>
      </c>
      <c r="C345" s="8" t="inlineStr">
        <is>
          <t>[M90]  Sıva üstü PVC kablo kanalı — en az 100 x 35 mm, üç bölmeli</t>
        </is>
      </c>
      <c r="D345" s="22" t="inlineStr">
        <is>
          <t>m</t>
        </is>
      </c>
      <c r="E345" s="23" t="n"/>
      <c r="F345" s="23" t="n"/>
      <c r="G345" s="23" t="n"/>
      <c r="H345" s="23" t="n"/>
      <c r="I345" s="23" t="n"/>
      <c r="J345" s="23" t="n"/>
    </row>
    <row r="346" ht="20" customHeight="1">
      <c r="A346" s="6" t="n"/>
      <c r="B346" s="6" t="n"/>
      <c r="C346" s="24" t="inlineStr">
        <is>
          <t>Servis bölümü ve kümes içi kumanda tesisatı; blok başına 123 m — bu yapıya düşen pay 0.500000</t>
        </is>
      </c>
      <c r="D346" s="6" t="n"/>
      <c r="E346" s="29" t="n">
        <v>2</v>
      </c>
      <c r="F346" s="6" t="n"/>
      <c r="G346" s="30" t="n">
        <v>123</v>
      </c>
      <c r="H346" s="6" t="n"/>
      <c r="I346" s="25">
        <f>E346*G346*J346</f>
        <v/>
      </c>
      <c r="J346" s="31" t="n">
        <v>0.5</v>
      </c>
    </row>
    <row r="347">
      <c r="A347" s="23" t="n"/>
      <c r="B347" s="23" t="n"/>
      <c r="C347" s="26" t="inlineStr">
        <is>
          <t>M90 TOPLAMI</t>
        </is>
      </c>
      <c r="D347" s="27" t="inlineStr">
        <is>
          <t>m</t>
        </is>
      </c>
      <c r="E347" s="23" t="n"/>
      <c r="F347" s="23" t="n"/>
      <c r="G347" s="23" t="n"/>
      <c r="H347" s="23" t="n"/>
      <c r="I347" s="23" t="n"/>
      <c r="J347" s="28">
        <f>SUM(I346:I346)</f>
        <v/>
      </c>
    </row>
    <row r="348" ht="33" customHeight="1">
      <c r="A348" s="20" t="n">
        <v>48</v>
      </c>
      <c r="B348" s="22" t="inlineStr">
        <is>
          <t>35.190.1100 (montaj)</t>
        </is>
      </c>
      <c r="C348" s="8" t="inlineStr">
        <is>
          <t>[M87M]  Kablo tava sistemlerinin montajı — askı ve konsollarla tavana veya duvara tespiti; ek parça, konsol, askı tiji, vida ve somun bedelleri dâhildir, ayrıca ödenmez</t>
        </is>
      </c>
      <c r="D348" s="22" t="inlineStr">
        <is>
          <t>kg</t>
        </is>
      </c>
      <c r="E348" s="23" t="n"/>
      <c r="F348" s="23" t="n"/>
      <c r="G348" s="23" t="n"/>
      <c r="H348" s="23" t="n"/>
      <c r="I348" s="23" t="n"/>
      <c r="J348" s="23" t="n"/>
    </row>
    <row r="349" ht="12" customHeight="1">
      <c r="A349" s="6" t="n"/>
      <c r="B349" s="6" t="n"/>
      <c r="C349" s="24" t="inlineStr">
        <is>
          <t>M87 metrajının tamamı</t>
        </is>
      </c>
      <c r="D349" s="6" t="n"/>
      <c r="E349" s="6" t="n"/>
      <c r="F349" s="6" t="n"/>
      <c r="G349" s="6" t="n"/>
      <c r="H349" s="6" t="n"/>
      <c r="I349" s="25">
        <f>J341</f>
        <v/>
      </c>
      <c r="J349" s="6" t="n"/>
    </row>
    <row r="350">
      <c r="A350" s="23" t="n"/>
      <c r="B350" s="23" t="n"/>
      <c r="C350" s="26" t="inlineStr">
        <is>
          <t>M87M TOPLAMI</t>
        </is>
      </c>
      <c r="D350" s="27" t="inlineStr">
        <is>
          <t>kg</t>
        </is>
      </c>
      <c r="E350" s="23" t="n"/>
      <c r="F350" s="23" t="n"/>
      <c r="G350" s="23" t="n"/>
      <c r="H350" s="23" t="n"/>
      <c r="I350" s="23" t="n"/>
      <c r="J350" s="28">
        <f>SUM(I349:I349)</f>
        <v/>
      </c>
    </row>
    <row r="351" ht="33" customHeight="1">
      <c r="A351" s="20" t="n">
        <v>49</v>
      </c>
      <c r="B351" s="22" t="inlineStr">
        <is>
          <t>35.190.1101 (montaj)</t>
        </is>
      </c>
      <c r="C351" s="8" t="inlineStr">
        <is>
          <t>[M89M]  Kablo tava sistemleri kapak sacının montajı — onaylı projesinde belirtilen kanalların kapatılması; her türlü işçilik ve malzeme dâhil, işler hâlde teslim</t>
        </is>
      </c>
      <c r="D351" s="22" t="inlineStr">
        <is>
          <t>kg</t>
        </is>
      </c>
      <c r="E351" s="23" t="n"/>
      <c r="F351" s="23" t="n"/>
      <c r="G351" s="23" t="n"/>
      <c r="H351" s="23" t="n"/>
      <c r="I351" s="23" t="n"/>
      <c r="J351" s="23" t="n"/>
    </row>
    <row r="352" ht="12" customHeight="1">
      <c r="A352" s="6" t="n"/>
      <c r="B352" s="6" t="n"/>
      <c r="C352" s="24" t="inlineStr">
        <is>
          <t>M89 metrajının tamamı</t>
        </is>
      </c>
      <c r="D352" s="6" t="n"/>
      <c r="E352" s="6" t="n"/>
      <c r="F352" s="6" t="n"/>
      <c r="G352" s="6" t="n"/>
      <c r="H352" s="6" t="n"/>
      <c r="I352" s="25">
        <f>J344</f>
        <v/>
      </c>
      <c r="J352" s="6" t="n"/>
    </row>
    <row r="353">
      <c r="A353" s="23" t="n"/>
      <c r="B353" s="23" t="n"/>
      <c r="C353" s="26" t="inlineStr">
        <is>
          <t>M89M TOPLAMI</t>
        </is>
      </c>
      <c r="D353" s="27" t="inlineStr">
        <is>
          <t>kg</t>
        </is>
      </c>
      <c r="E353" s="23" t="n"/>
      <c r="F353" s="23" t="n"/>
      <c r="G353" s="23" t="n"/>
      <c r="H353" s="23" t="n"/>
      <c r="I353" s="23" t="n"/>
      <c r="J353" s="28">
        <f>SUM(I352:I352)</f>
        <v/>
      </c>
    </row>
    <row r="354"/>
    <row r="355" ht="20" customHeight="1">
      <c r="A355" s="19" t="inlineStr">
        <is>
          <t>Yapı/Bina Adı: GÜBRE ÇUKURU</t>
        </is>
      </c>
    </row>
    <row r="356" ht="28" customHeight="1">
      <c r="A356" s="7" t="inlineStr">
        <is>
          <t>No</t>
        </is>
      </c>
      <c r="B356" s="7" t="inlineStr">
        <is>
          <t>Poz No</t>
        </is>
      </c>
      <c r="C356" s="7" t="inlineStr">
        <is>
          <t>Tanımı / Ölçünün Alındığı Yer</t>
        </is>
      </c>
      <c r="D356" s="7" t="inlineStr">
        <is>
          <t>Birimi</t>
        </is>
      </c>
      <c r="E356" s="7" t="inlineStr">
        <is>
          <t>Adet</t>
        </is>
      </c>
      <c r="F356" s="7" t="inlineStr">
        <is>
          <t>En (m)</t>
        </is>
      </c>
      <c r="G356" s="7" t="inlineStr">
        <is>
          <t>Boy (m)</t>
        </is>
      </c>
      <c r="H356" s="7" t="inlineStr">
        <is>
          <t>Yükseklik (m)</t>
        </is>
      </c>
      <c r="I356" s="7" t="inlineStr">
        <is>
          <t>Miktar</t>
        </is>
      </c>
      <c r="J356" s="7" t="inlineStr">
        <is>
          <t>Toplam Miktar</t>
        </is>
      </c>
    </row>
    <row r="357" ht="15" customHeight="1">
      <c r="A357" s="20" t="n">
        <v>1</v>
      </c>
      <c r="B357" s="21" t="inlineStr">
        <is>
          <t>15.120.1101</t>
        </is>
      </c>
      <c r="C357" s="8" t="inlineStr">
        <is>
          <t>[M04]  Makine ile dar ve derin sandık kazı — gübre çukuru</t>
        </is>
      </c>
      <c r="D357" s="22" t="inlineStr">
        <is>
          <t>m³</t>
        </is>
      </c>
      <c r="E357" s="23" t="n"/>
      <c r="F357" s="23" t="n"/>
      <c r="G357" s="23" t="n"/>
      <c r="H357" s="23" t="n"/>
      <c r="I357" s="23" t="n"/>
      <c r="J357" s="23" t="n"/>
    </row>
    <row r="358" ht="30" customHeight="1">
      <c r="A358" s="6" t="n"/>
      <c r="B358" s="6" t="n"/>
      <c r="C358" s="24" t="inlineStr">
        <is>
          <t>Yapı dış ölçüsü 11.50x10.00; her yönde 1,00 m çalışma payı -&gt; 13.50x12.00. Derinlik: 2,70 iç yükseklik + 0,15 döşeme + 0,40 radye + 0,10 grobeton = 3,35 m</t>
        </is>
      </c>
      <c r="D358" s="6" t="n"/>
      <c r="E358" s="29" t="n">
        <v>1</v>
      </c>
      <c r="F358" s="30" t="n">
        <v>12</v>
      </c>
      <c r="G358" s="30" t="n">
        <v>13.5</v>
      </c>
      <c r="H358" s="30" t="n">
        <v>3.35</v>
      </c>
      <c r="I358" s="25">
        <f>E358*F358*G358*H358</f>
        <v/>
      </c>
      <c r="J358" s="6" t="n"/>
    </row>
    <row r="359">
      <c r="A359" s="23" t="n"/>
      <c r="B359" s="23" t="n"/>
      <c r="C359" s="26" t="inlineStr">
        <is>
          <t>M04 TOPLAMI</t>
        </is>
      </c>
      <c r="D359" s="27" t="inlineStr">
        <is>
          <t>m³</t>
        </is>
      </c>
      <c r="E359" s="23" t="n"/>
      <c r="F359" s="23" t="n"/>
      <c r="G359" s="23" t="n"/>
      <c r="H359" s="23" t="n"/>
      <c r="I359" s="23" t="n"/>
      <c r="J359" s="28">
        <f>SUM(I358:I358)</f>
        <v/>
      </c>
    </row>
    <row r="360" ht="22" customHeight="1">
      <c r="A360" s="20" t="n">
        <v>2</v>
      </c>
      <c r="B360" s="21" t="inlineStr">
        <is>
          <t>15.150.1003</t>
        </is>
      </c>
      <c r="C360" s="8" t="inlineStr">
        <is>
          <t>[M10]  C 16/20 hazır beton dökülmesi — gübre çukuru radye altı grobeton</t>
        </is>
      </c>
      <c r="D360" s="22" t="inlineStr">
        <is>
          <t>m³</t>
        </is>
      </c>
      <c r="E360" s="23" t="n"/>
      <c r="F360" s="23" t="n"/>
      <c r="G360" s="23" t="n"/>
      <c r="H360" s="23" t="n"/>
      <c r="I360" s="23" t="n"/>
      <c r="J360" s="23" t="n"/>
    </row>
    <row r="361" ht="20" customHeight="1">
      <c r="A361" s="6" t="n"/>
      <c r="B361" s="6" t="n"/>
      <c r="C361" s="24" t="inlineStr">
        <is>
          <t>Radye dış ölçüsü 11.50x10.00 + her yönde 0,10 taşma -&gt; 11.70x10.20</t>
        </is>
      </c>
      <c r="D361" s="6" t="n"/>
      <c r="E361" s="29" t="n">
        <v>1</v>
      </c>
      <c r="F361" s="30" t="n">
        <v>10.2</v>
      </c>
      <c r="G361" s="30" t="n">
        <v>11.7</v>
      </c>
      <c r="H361" s="30" t="n">
        <v>0.1</v>
      </c>
      <c r="I361" s="25">
        <f>E361*F361*G361*H361</f>
        <v/>
      </c>
      <c r="J361" s="6" t="n"/>
    </row>
    <row r="362">
      <c r="A362" s="23" t="n"/>
      <c r="B362" s="23" t="n"/>
      <c r="C362" s="26" t="inlineStr">
        <is>
          <t>M10 TOPLAMI</t>
        </is>
      </c>
      <c r="D362" s="27" t="inlineStr">
        <is>
          <t>m³</t>
        </is>
      </c>
      <c r="E362" s="23" t="n"/>
      <c r="F362" s="23" t="n"/>
      <c r="G362" s="23" t="n"/>
      <c r="H362" s="23" t="n"/>
      <c r="I362" s="23" t="n"/>
      <c r="J362" s="28">
        <f>SUM(I361:I361)</f>
        <v/>
      </c>
    </row>
    <row r="363" ht="15" customHeight="1">
      <c r="A363" s="20" t="n">
        <v>3</v>
      </c>
      <c r="B363" s="21" t="inlineStr">
        <is>
          <t>15.150.1005</t>
        </is>
      </c>
      <c r="C363" s="8" t="inlineStr">
        <is>
          <t>[M14]  C 25/30 hazır beton dökülmesi — gübre çukuru radye temeli</t>
        </is>
      </c>
      <c r="D363" s="22" t="inlineStr">
        <is>
          <t>m³</t>
        </is>
      </c>
      <c r="E363" s="23" t="n"/>
      <c r="F363" s="23" t="n"/>
      <c r="G363" s="23" t="n"/>
      <c r="H363" s="23" t="n"/>
      <c r="I363" s="23" t="n"/>
      <c r="J363" s="23" t="n"/>
    </row>
    <row r="364" ht="20" customHeight="1">
      <c r="A364" s="6" t="n"/>
      <c r="B364" s="6" t="n"/>
      <c r="C364" s="24" t="inlineStr">
        <is>
          <t>Aks açıklığı 11.50x10.00 + her yönde 0,25 taşma -&gt; 11.50x10.00; A-A temel kesitinden radye kalınlığı 0,40 m</t>
        </is>
      </c>
      <c r="D364" s="6" t="n"/>
      <c r="E364" s="29" t="n">
        <v>1</v>
      </c>
      <c r="F364" s="30" t="n">
        <v>10</v>
      </c>
      <c r="G364" s="30" t="n">
        <v>11.5</v>
      </c>
      <c r="H364" s="30" t="n">
        <v>0.4</v>
      </c>
      <c r="I364" s="25">
        <f>E364*F364*G364*H364</f>
        <v/>
      </c>
      <c r="J364" s="6" t="n"/>
    </row>
    <row r="365">
      <c r="A365" s="23" t="n"/>
      <c r="B365" s="23" t="n"/>
      <c r="C365" s="26" t="inlineStr">
        <is>
          <t>M14 TOPLAMI</t>
        </is>
      </c>
      <c r="D365" s="27" t="inlineStr">
        <is>
          <t>m³</t>
        </is>
      </c>
      <c r="E365" s="23" t="n"/>
      <c r="F365" s="23" t="n"/>
      <c r="G365" s="23" t="n"/>
      <c r="H365" s="23" t="n"/>
      <c r="I365" s="23" t="n"/>
      <c r="J365" s="28">
        <f>SUM(I364:I364)</f>
        <v/>
      </c>
    </row>
    <row r="366" ht="22" customHeight="1">
      <c r="A366" s="20" t="n">
        <v>4</v>
      </c>
      <c r="B366" s="21" t="inlineStr">
        <is>
          <t>15.150.1005</t>
        </is>
      </c>
      <c r="C366" s="8" t="inlineStr">
        <is>
          <t>[M15]  C 25/30 hazır beton dökülmesi — gübre çukuru perde, kolon ve üst döşemesi</t>
        </is>
      </c>
      <c r="D366" s="22" t="inlineStr">
        <is>
          <t>m³</t>
        </is>
      </c>
      <c r="E366" s="23" t="n"/>
      <c r="F366" s="23" t="n"/>
      <c r="G366" s="23" t="n"/>
      <c r="H366" s="23" t="n"/>
      <c r="I366" s="23" t="n"/>
      <c r="J366" s="23" t="n"/>
    </row>
    <row r="367" ht="20" customHeight="1">
      <c r="A367" s="6" t="n"/>
      <c r="B367" s="6" t="n"/>
      <c r="C367" s="24" t="inlineStr">
        <is>
          <t>Perde duvarlar: orta çevre 2x(11.25+9.75) = 42.00 m; kalınlık 0,25 m; yükseklik 2,70 m</t>
        </is>
      </c>
      <c r="D367" s="6" t="n"/>
      <c r="E367" s="29" t="n">
        <v>1</v>
      </c>
      <c r="F367" s="30" t="n">
        <v>0.25</v>
      </c>
      <c r="G367" s="30" t="n">
        <v>42</v>
      </c>
      <c r="H367" s="30" t="n">
        <v>2.7</v>
      </c>
      <c r="I367" s="25">
        <f>E367*F367*G367*H367</f>
        <v/>
      </c>
      <c r="J367" s="6" t="n"/>
    </row>
    <row r="368" ht="12" customHeight="1">
      <c r="A368" s="6" t="n"/>
      <c r="B368" s="6" t="n"/>
      <c r="C368" s="24" t="inlineStr">
        <is>
          <t>Üst döşeme 15 cm (11.50x10.00)</t>
        </is>
      </c>
      <c r="D368" s="6" t="n"/>
      <c r="E368" s="29" t="n">
        <v>1</v>
      </c>
      <c r="F368" s="30" t="n">
        <v>10</v>
      </c>
      <c r="G368" s="30" t="n">
        <v>11.5</v>
      </c>
      <c r="H368" s="30" t="n">
        <v>0.15</v>
      </c>
      <c r="I368" s="25">
        <f>E368*F368*G368*H368</f>
        <v/>
      </c>
      <c r="J368" s="6" t="n"/>
    </row>
    <row r="369" ht="20" customHeight="1">
      <c r="A369" s="6" t="n"/>
      <c r="B369" s="6" t="n"/>
      <c r="C369" s="24" t="inlineStr">
        <is>
          <t>Kolonlar (SB05 30/30, SB06-SB08 40/40) ve kirişler — betonarme proje METRAJ tablosuna tamamlama</t>
        </is>
      </c>
      <c r="D369" s="6" t="n"/>
      <c r="E369" s="29" t="n">
        <v>1</v>
      </c>
      <c r="F369" s="6" t="n"/>
      <c r="G369" s="30" t="n">
        <v>1.59</v>
      </c>
      <c r="H369" s="6" t="n"/>
      <c r="I369" s="25">
        <f>E369*G369</f>
        <v/>
      </c>
      <c r="J369" s="6" t="n"/>
    </row>
    <row r="370">
      <c r="A370" s="23" t="n"/>
      <c r="B370" s="23" t="n"/>
      <c r="C370" s="26" t="inlineStr">
        <is>
          <t>M15 TOPLAMI</t>
        </is>
      </c>
      <c r="D370" s="27" t="inlineStr">
        <is>
          <t>m³</t>
        </is>
      </c>
      <c r="E370" s="23" t="n"/>
      <c r="F370" s="23" t="n"/>
      <c r="G370" s="23" t="n"/>
      <c r="H370" s="23" t="n"/>
      <c r="I370" s="23" t="n"/>
      <c r="J370" s="28">
        <f>SUM(I367:I369)</f>
        <v/>
      </c>
    </row>
    <row r="371" ht="15" customHeight="1">
      <c r="A371" s="20" t="n">
        <v>5</v>
      </c>
      <c r="B371" s="21" t="inlineStr">
        <is>
          <t>15.180.1003</t>
        </is>
      </c>
      <c r="C371" s="8" t="inlineStr">
        <is>
          <t>[M19]  Plywood ile düz yüzeyli betonarme kalıbı — gübre çukuru</t>
        </is>
      </c>
      <c r="D371" s="22" t="inlineStr">
        <is>
          <t>m²</t>
        </is>
      </c>
      <c r="E371" s="23" t="n"/>
      <c r="F371" s="23" t="n"/>
      <c r="G371" s="23" t="n"/>
      <c r="H371" s="23" t="n"/>
      <c r="I371" s="23" t="n"/>
      <c r="J371" s="23" t="n"/>
    </row>
    <row r="372" ht="20" customHeight="1">
      <c r="A372" s="6" t="n"/>
      <c r="B372" s="6" t="n"/>
      <c r="C372" s="24" t="inlineStr">
        <is>
          <t>Radye çevre kalıbı: çevre 2x(11.50+10.00) = 43.00 m, yükseklik 0,40 m</t>
        </is>
      </c>
      <c r="D372" s="6" t="n"/>
      <c r="E372" s="29" t="n">
        <v>1</v>
      </c>
      <c r="F372" s="6" t="n"/>
      <c r="G372" s="30" t="n">
        <v>43</v>
      </c>
      <c r="H372" s="30" t="n">
        <v>0.4</v>
      </c>
      <c r="I372" s="25">
        <f>E372*G372*H372</f>
        <v/>
      </c>
      <c r="J372" s="6" t="n"/>
    </row>
    <row r="373" ht="20" customHeight="1">
      <c r="A373" s="6" t="n"/>
      <c r="B373" s="6" t="n"/>
      <c r="C373" s="24" t="inlineStr">
        <is>
          <t>Perde iç ve dış yüzleri: orta çevre 42.00 m x 2 yüz, yükseklik 2,70 m</t>
        </is>
      </c>
      <c r="D373" s="6" t="n"/>
      <c r="E373" s="29" t="n">
        <v>2</v>
      </c>
      <c r="F373" s="6" t="n"/>
      <c r="G373" s="30" t="n">
        <v>42</v>
      </c>
      <c r="H373" s="30" t="n">
        <v>2.7</v>
      </c>
      <c r="I373" s="25">
        <f>E373*G373*H373</f>
        <v/>
      </c>
      <c r="J373" s="6" t="n"/>
    </row>
    <row r="374" ht="12" customHeight="1">
      <c r="A374" s="6" t="n"/>
      <c r="B374" s="6" t="n"/>
      <c r="C374" s="24" t="inlineStr">
        <is>
          <t>Üst döşeme tavan kalıbı (11.50x10.00)</t>
        </is>
      </c>
      <c r="D374" s="6" t="n"/>
      <c r="E374" s="29" t="n">
        <v>1</v>
      </c>
      <c r="F374" s="30" t="n">
        <v>10</v>
      </c>
      <c r="G374" s="30" t="n">
        <v>11.5</v>
      </c>
      <c r="H374" s="6" t="n"/>
      <c r="I374" s="25">
        <f>E374*F374*G374</f>
        <v/>
      </c>
      <c r="J374" s="6" t="n"/>
    </row>
    <row r="375" ht="12" customHeight="1">
      <c r="A375" s="6" t="n"/>
      <c r="B375" s="6" t="n"/>
      <c r="C375" s="24" t="inlineStr">
        <is>
          <t>Kiriş yan yüzleri — proje metrajına tamamlama</t>
        </is>
      </c>
      <c r="D375" s="6" t="n"/>
      <c r="E375" s="29" t="n">
        <v>1</v>
      </c>
      <c r="F375" s="6" t="n"/>
      <c r="G375" s="30" t="n">
        <v>4.26</v>
      </c>
      <c r="H375" s="6" t="n"/>
      <c r="I375" s="25">
        <f>E375*G375</f>
        <v/>
      </c>
      <c r="J375" s="6" t="n"/>
    </row>
    <row r="376">
      <c r="A376" s="23" t="n"/>
      <c r="B376" s="23" t="n"/>
      <c r="C376" s="26" t="inlineStr">
        <is>
          <t>M19 TOPLAMI</t>
        </is>
      </c>
      <c r="D376" s="27" t="inlineStr">
        <is>
          <t>m²</t>
        </is>
      </c>
      <c r="E376" s="23" t="n"/>
      <c r="F376" s="23" t="n"/>
      <c r="G376" s="23" t="n"/>
      <c r="H376" s="23" t="n"/>
      <c r="I376" s="23" t="n"/>
      <c r="J376" s="28">
        <f>SUM(I372:I375)</f>
        <v/>
      </c>
    </row>
    <row r="377" ht="15" customHeight="1">
      <c r="A377" s="20" t="n">
        <v>6</v>
      </c>
      <c r="B377" s="21" t="inlineStr">
        <is>
          <t>15.160.1003</t>
        </is>
      </c>
      <c r="C377" s="8" t="inlineStr">
        <is>
          <t>[M24]  Ø8-Ø12 nervürlü beton çelik çubuğu — gübre çukuru</t>
        </is>
      </c>
      <c r="D377" s="22" t="inlineStr">
        <is>
          <t>ton</t>
        </is>
      </c>
      <c r="E377" s="23" t="n"/>
      <c r="F377" s="23" t="n"/>
      <c r="G377" s="23" t="n"/>
      <c r="H377" s="23" t="n"/>
      <c r="I377" s="23" t="n"/>
      <c r="J377" s="23" t="n"/>
    </row>
    <row r="378" ht="20" customHeight="1">
      <c r="A378" s="6" t="n"/>
      <c r="B378" s="6" t="n"/>
      <c r="C378" s="24" t="inlineStr">
        <is>
          <t>Radye donatısı: 11.50x10.00x0,40 m³ hacim, 110 kg/m³ = 0,110 ton/m³</t>
        </is>
      </c>
      <c r="D378" s="6" t="n"/>
      <c r="E378" s="29" t="n">
        <v>1</v>
      </c>
      <c r="F378" s="30" t="n">
        <v>10</v>
      </c>
      <c r="G378" s="30" t="n">
        <v>11.5</v>
      </c>
      <c r="H378" s="30" t="n">
        <v>0.4</v>
      </c>
      <c r="I378" s="25">
        <f>E378*F378*G378*H378*J378</f>
        <v/>
      </c>
      <c r="J378" s="31" t="n">
        <v>0.11</v>
      </c>
    </row>
    <row r="379" ht="20" customHeight="1">
      <c r="A379" s="6" t="n"/>
      <c r="B379" s="6" t="n"/>
      <c r="C379" s="24" t="inlineStr">
        <is>
          <t>Üst döşeme donatısı — proje METRAJ tablosu 577,60 kg, alan oranı (1.000000) ile ölçeklenmiş</t>
        </is>
      </c>
      <c r="D379" s="6" t="n"/>
      <c r="E379" s="29" t="n">
        <v>1</v>
      </c>
      <c r="F379" s="6" t="n"/>
      <c r="G379" s="6" t="n"/>
      <c r="H379" s="6" t="n"/>
      <c r="I379" s="25">
        <f>E379*J379</f>
        <v/>
      </c>
      <c r="J379" s="31" t="n">
        <v>0.5776</v>
      </c>
    </row>
    <row r="380" ht="20" customHeight="1">
      <c r="A380" s="6" t="n"/>
      <c r="B380" s="6" t="n"/>
      <c r="C380" s="24" t="inlineStr">
        <is>
          <t>Perde ve kolon donatısı — proje METRAJ tablosu 1.961,69 kg, alan oranı ile ölçeklenmiş</t>
        </is>
      </c>
      <c r="D380" s="6" t="n"/>
      <c r="E380" s="29" t="n">
        <v>1</v>
      </c>
      <c r="F380" s="6" t="n"/>
      <c r="G380" s="6" t="n"/>
      <c r="H380" s="6" t="n"/>
      <c r="I380" s="25">
        <f>E380*J380</f>
        <v/>
      </c>
      <c r="J380" s="31" t="n">
        <v>1.96169</v>
      </c>
    </row>
    <row r="381">
      <c r="A381" s="23" t="n"/>
      <c r="B381" s="23" t="n"/>
      <c r="C381" s="26" t="inlineStr">
        <is>
          <t>M24 TOPLAMI</t>
        </is>
      </c>
      <c r="D381" s="27" t="inlineStr">
        <is>
          <t>ton</t>
        </is>
      </c>
      <c r="E381" s="23" t="n"/>
      <c r="F381" s="23" t="n"/>
      <c r="G381" s="23" t="n"/>
      <c r="H381" s="23" t="n"/>
      <c r="I381" s="23" t="n"/>
      <c r="J381" s="28">
        <f>SUM(I378:I380)</f>
        <v/>
      </c>
    </row>
    <row r="382" ht="22" customHeight="1">
      <c r="A382" s="20" t="n">
        <v>7</v>
      </c>
      <c r="B382" s="21" t="inlineStr">
        <is>
          <t>15.160.1004</t>
        </is>
      </c>
      <c r="C382" s="8" t="inlineStr">
        <is>
          <t>[M25]  Ø14-Ø28 nervürlü beton çelik çubuğu — gübre çukuru ve yağmur suyu deposu</t>
        </is>
      </c>
      <c r="D382" s="22" t="inlineStr">
        <is>
          <t>ton</t>
        </is>
      </c>
      <c r="E382" s="23" t="n"/>
      <c r="F382" s="23" t="n"/>
      <c r="G382" s="23" t="n"/>
      <c r="H382" s="23" t="n"/>
      <c r="I382" s="23" t="n"/>
      <c r="J382" s="23" t="n"/>
    </row>
    <row r="383" ht="20" customHeight="1">
      <c r="A383" s="6" t="n"/>
      <c r="B383" s="6" t="n"/>
      <c r="C383" s="24" t="inlineStr">
        <is>
          <t>Gübre çukuru — proje METRAJ tablosu 564,10 kg, alan oranı (1.000000) ile ölçeklenmiş</t>
        </is>
      </c>
      <c r="D383" s="6" t="n"/>
      <c r="E383" s="29" t="n">
        <v>1</v>
      </c>
      <c r="F383" s="6" t="n"/>
      <c r="G383" s="6" t="n"/>
      <c r="H383" s="6" t="n"/>
      <c r="I383" s="25">
        <f>E383*J383</f>
        <v/>
      </c>
      <c r="J383" s="31" t="n">
        <v>0.5641</v>
      </c>
    </row>
    <row r="384">
      <c r="A384" s="23" t="n"/>
      <c r="B384" s="23" t="n"/>
      <c r="C384" s="26" t="inlineStr">
        <is>
          <t>M25 TOPLAMI</t>
        </is>
      </c>
      <c r="D384" s="27" t="inlineStr">
        <is>
          <t>ton</t>
        </is>
      </c>
      <c r="E384" s="23" t="n"/>
      <c r="F384" s="23" t="n"/>
      <c r="G384" s="23" t="n"/>
      <c r="H384" s="23" t="n"/>
      <c r="I384" s="23" t="n"/>
      <c r="J384" s="28">
        <f>SUM(I383:I383)</f>
        <v/>
      </c>
    </row>
    <row r="385"/>
    <row r="386" ht="20" customHeight="1">
      <c r="A386" s="19" t="inlineStr">
        <is>
          <t>Yapı/Bina Adı: ÖLÜ ATMA ÇUKURU</t>
        </is>
      </c>
    </row>
    <row r="387" ht="28" customHeight="1">
      <c r="A387" s="7" t="inlineStr">
        <is>
          <t>No</t>
        </is>
      </c>
      <c r="B387" s="7" t="inlineStr">
        <is>
          <t>Poz No</t>
        </is>
      </c>
      <c r="C387" s="7" t="inlineStr">
        <is>
          <t>Tanımı / Ölçünün Alındığı Yer</t>
        </is>
      </c>
      <c r="D387" s="7" t="inlineStr">
        <is>
          <t>Birimi</t>
        </is>
      </c>
      <c r="E387" s="7" t="inlineStr">
        <is>
          <t>Adet</t>
        </is>
      </c>
      <c r="F387" s="7" t="inlineStr">
        <is>
          <t>En (m)</t>
        </is>
      </c>
      <c r="G387" s="7" t="inlineStr">
        <is>
          <t>Boy (m)</t>
        </is>
      </c>
      <c r="H387" s="7" t="inlineStr">
        <is>
          <t>Yükseklik (m)</t>
        </is>
      </c>
      <c r="I387" s="7" t="inlineStr">
        <is>
          <t>Miktar</t>
        </is>
      </c>
      <c r="J387" s="7" t="inlineStr">
        <is>
          <t>Toplam Miktar</t>
        </is>
      </c>
    </row>
    <row r="388" ht="22" customHeight="1">
      <c r="A388" s="20" t="n">
        <v>1</v>
      </c>
      <c r="B388" s="21" t="inlineStr">
        <is>
          <t>15.120.1101</t>
        </is>
      </c>
      <c r="C388" s="8" t="inlineStr">
        <is>
          <t>[M05]  Makine ile dar ve derin sandık kazı — ölü atma çukuru, depolar, foseptik ve silo kaideleri</t>
        </is>
      </c>
      <c r="D388" s="22" t="inlineStr">
        <is>
          <t>m³</t>
        </is>
      </c>
      <c r="E388" s="23" t="n"/>
      <c r="F388" s="23" t="n"/>
      <c r="G388" s="23" t="n"/>
      <c r="H388" s="23" t="n"/>
      <c r="I388" s="23" t="n"/>
      <c r="J388" s="23" t="n"/>
    </row>
    <row r="389" ht="20" customHeight="1">
      <c r="A389" s="6" t="n"/>
      <c r="B389" s="6" t="n"/>
      <c r="C389" s="24" t="inlineStr">
        <is>
          <t>Ölü atma çukuru: dış 6.00x3.00; her yönde 1,00 m çalışma payı -&gt; 8.00x5.00; derinlik 3.00+0,15+0,30+0,10 = 3.55 m</t>
        </is>
      </c>
      <c r="D389" s="6" t="n"/>
      <c r="E389" s="29" t="n">
        <v>1</v>
      </c>
      <c r="F389" s="30" t="n">
        <v>5</v>
      </c>
      <c r="G389" s="30" t="n">
        <v>8</v>
      </c>
      <c r="H389" s="30" t="n">
        <v>3.55</v>
      </c>
      <c r="I389" s="25">
        <f>E389*F389*G389*H389</f>
        <v/>
      </c>
      <c r="J389" s="6" t="n"/>
    </row>
    <row r="390">
      <c r="A390" s="23" t="n"/>
      <c r="B390" s="23" t="n"/>
      <c r="C390" s="26" t="inlineStr">
        <is>
          <t>M05 TOPLAMI</t>
        </is>
      </c>
      <c r="D390" s="27" t="inlineStr">
        <is>
          <t>m³</t>
        </is>
      </c>
      <c r="E390" s="23" t="n"/>
      <c r="F390" s="23" t="n"/>
      <c r="G390" s="23" t="n"/>
      <c r="H390" s="23" t="n"/>
      <c r="I390" s="23" t="n"/>
      <c r="J390" s="28">
        <f>SUM(I389:I389)</f>
        <v/>
      </c>
    </row>
    <row r="391" ht="22" customHeight="1">
      <c r="A391" s="20" t="n">
        <v>2</v>
      </c>
      <c r="B391" s="21" t="inlineStr">
        <is>
          <t>15.150.1003</t>
        </is>
      </c>
      <c r="C391" s="8" t="inlineStr">
        <is>
          <t>[M11]  C 16/20 hazır beton dökülmesi — çukur, depo, foseptik ve silo kaideleri altı grobeton</t>
        </is>
      </c>
      <c r="D391" s="22" t="inlineStr">
        <is>
          <t>m³</t>
        </is>
      </c>
      <c r="E391" s="23" t="n"/>
      <c r="F391" s="23" t="n"/>
      <c r="G391" s="23" t="n"/>
      <c r="H391" s="23" t="n"/>
      <c r="I391" s="23" t="n"/>
      <c r="J391" s="23" t="n"/>
    </row>
    <row r="392" ht="12" customHeight="1">
      <c r="A392" s="6" t="n"/>
      <c r="B392" s="6" t="n"/>
      <c r="C392" s="24" t="inlineStr">
        <is>
          <t>Ölü atma çukuru (6.00x3.00 + 0,10 taşma)</t>
        </is>
      </c>
      <c r="D392" s="6" t="n"/>
      <c r="E392" s="29" t="n">
        <v>1</v>
      </c>
      <c r="F392" s="30" t="n">
        <v>3.2</v>
      </c>
      <c r="G392" s="30" t="n">
        <v>6.2</v>
      </c>
      <c r="H392" s="30" t="n">
        <v>0.1</v>
      </c>
      <c r="I392" s="25">
        <f>E392*F392*G392*H392</f>
        <v/>
      </c>
      <c r="J392" s="6" t="n"/>
    </row>
    <row r="393">
      <c r="A393" s="23" t="n"/>
      <c r="B393" s="23" t="n"/>
      <c r="C393" s="26" t="inlineStr">
        <is>
          <t>M11 TOPLAMI</t>
        </is>
      </c>
      <c r="D393" s="27" t="inlineStr">
        <is>
          <t>m³</t>
        </is>
      </c>
      <c r="E393" s="23" t="n"/>
      <c r="F393" s="23" t="n"/>
      <c r="G393" s="23" t="n"/>
      <c r="H393" s="23" t="n"/>
      <c r="I393" s="23" t="n"/>
      <c r="J393" s="28">
        <f>SUM(I392:I392)</f>
        <v/>
      </c>
    </row>
    <row r="394" ht="22" customHeight="1">
      <c r="A394" s="20" t="n">
        <v>3</v>
      </c>
      <c r="B394" s="21" t="inlineStr">
        <is>
          <t>15.150.1005</t>
        </is>
      </c>
      <c r="C394" s="8" t="inlineStr">
        <is>
          <t>[M16]  C 25/30 hazır beton dökülmesi — ölü atma çukuru, su ve yağmur suyu depoları</t>
        </is>
      </c>
      <c r="D394" s="22" t="inlineStr">
        <is>
          <t>m³</t>
        </is>
      </c>
      <c r="E394" s="23" t="n"/>
      <c r="F394" s="23" t="n"/>
      <c r="G394" s="23" t="n"/>
      <c r="H394" s="23" t="n"/>
      <c r="I394" s="23" t="n"/>
      <c r="J394" s="23" t="n"/>
    </row>
    <row r="395" ht="12" customHeight="1">
      <c r="A395" s="6" t="n"/>
      <c r="B395" s="6" t="n"/>
      <c r="C395" s="24" t="inlineStr">
        <is>
          <t>Ölü atma çukuru radye 30 cm (dış 6.00x3.00)</t>
        </is>
      </c>
      <c r="D395" s="6" t="n"/>
      <c r="E395" s="29" t="n">
        <v>1</v>
      </c>
      <c r="F395" s="30" t="n">
        <v>3</v>
      </c>
      <c r="G395" s="30" t="n">
        <v>6</v>
      </c>
      <c r="H395" s="30" t="n">
        <v>0.3</v>
      </c>
      <c r="I395" s="25">
        <f>E395*F395*G395*H395</f>
        <v/>
      </c>
      <c r="J395" s="6" t="n"/>
    </row>
    <row r="396" ht="20" customHeight="1">
      <c r="A396" s="6" t="n"/>
      <c r="B396" s="6" t="n"/>
      <c r="C396" s="24" t="inlineStr">
        <is>
          <t>Ölü atma çukuru perdeleri: orta çevre 2x(5.75+2.75) = 17.00 m, kalınlık 0,25, yükseklik 3.00</t>
        </is>
      </c>
      <c r="D396" s="6" t="n"/>
      <c r="E396" s="29" t="n">
        <v>1</v>
      </c>
      <c r="F396" s="30" t="n">
        <v>0.25</v>
      </c>
      <c r="G396" s="30" t="n">
        <v>17</v>
      </c>
      <c r="H396" s="30" t="n">
        <v>3</v>
      </c>
      <c r="I396" s="25">
        <f>E396*F396*G396*H396</f>
        <v/>
      </c>
      <c r="J396" s="6" t="n"/>
    </row>
    <row r="397" ht="12" customHeight="1">
      <c r="A397" s="6" t="n"/>
      <c r="B397" s="6" t="n"/>
      <c r="C397" s="24" t="inlineStr">
        <is>
          <t>Ölü atma çukuru üst döşemesi 15 cm</t>
        </is>
      </c>
      <c r="D397" s="6" t="n"/>
      <c r="E397" s="29" t="n">
        <v>1</v>
      </c>
      <c r="F397" s="30" t="n">
        <v>3</v>
      </c>
      <c r="G397" s="30" t="n">
        <v>6</v>
      </c>
      <c r="H397" s="30" t="n">
        <v>0.15</v>
      </c>
      <c r="I397" s="25">
        <f>E397*F397*G397*H397</f>
        <v/>
      </c>
      <c r="J397" s="6" t="n"/>
    </row>
    <row r="398">
      <c r="A398" s="23" t="n"/>
      <c r="B398" s="23" t="n"/>
      <c r="C398" s="26" t="inlineStr">
        <is>
          <t>M16 TOPLAMI</t>
        </is>
      </c>
      <c r="D398" s="27" t="inlineStr">
        <is>
          <t>m³</t>
        </is>
      </c>
      <c r="E398" s="23" t="n"/>
      <c r="F398" s="23" t="n"/>
      <c r="G398" s="23" t="n"/>
      <c r="H398" s="23" t="n"/>
      <c r="I398" s="23" t="n"/>
      <c r="J398" s="28">
        <f>SUM(I395:I397)</f>
        <v/>
      </c>
    </row>
    <row r="399" ht="15" customHeight="1">
      <c r="A399" s="20" t="n">
        <v>4</v>
      </c>
      <c r="B399" s="21" t="inlineStr">
        <is>
          <t>15.180.1003</t>
        </is>
      </c>
      <c r="C399" s="8" t="inlineStr">
        <is>
          <t>[M20]  Plywood ile düz yüzeyli betonarme kalıbı — çukur ve depolar</t>
        </is>
      </c>
      <c r="D399" s="22" t="inlineStr">
        <is>
          <t>m²</t>
        </is>
      </c>
      <c r="E399" s="23" t="n"/>
      <c r="F399" s="23" t="n"/>
      <c r="G399" s="23" t="n"/>
      <c r="H399" s="23" t="n"/>
      <c r="I399" s="23" t="n"/>
      <c r="J399" s="23" t="n"/>
    </row>
    <row r="400" ht="20" customHeight="1">
      <c r="A400" s="6" t="n"/>
      <c r="B400" s="6" t="n"/>
      <c r="C400" s="24" t="inlineStr">
        <is>
          <t>Ölü atma çukuru radye çevresi 2x(6.00+3.00) = 18.00 m x 0,40</t>
        </is>
      </c>
      <c r="D400" s="6" t="n"/>
      <c r="E400" s="29" t="n">
        <v>1</v>
      </c>
      <c r="F400" s="6" t="n"/>
      <c r="G400" s="30" t="n">
        <v>18</v>
      </c>
      <c r="H400" s="30" t="n">
        <v>0.4</v>
      </c>
      <c r="I400" s="25">
        <f>E400*G400*H400</f>
        <v/>
      </c>
      <c r="J400" s="6" t="n"/>
    </row>
    <row r="401" ht="12" customHeight="1">
      <c r="A401" s="6" t="n"/>
      <c r="B401" s="6" t="n"/>
      <c r="C401" s="24" t="inlineStr">
        <is>
          <t>Ölü atma çukuru perde iki yüz (17.00 m x 3.00 m)</t>
        </is>
      </c>
      <c r="D401" s="6" t="n"/>
      <c r="E401" s="29" t="n">
        <v>2</v>
      </c>
      <c r="F401" s="6" t="n"/>
      <c r="G401" s="30" t="n">
        <v>17</v>
      </c>
      <c r="H401" s="30" t="n">
        <v>3</v>
      </c>
      <c r="I401" s="25">
        <f>E401*G401*H401</f>
        <v/>
      </c>
      <c r="J401" s="6" t="n"/>
    </row>
    <row r="402" ht="12" customHeight="1">
      <c r="A402" s="6" t="n"/>
      <c r="B402" s="6" t="n"/>
      <c r="C402" s="24" t="inlineStr">
        <is>
          <t>Ölü atma çukuru tavan kalıbı</t>
        </is>
      </c>
      <c r="D402" s="6" t="n"/>
      <c r="E402" s="29" t="n">
        <v>1</v>
      </c>
      <c r="F402" s="30" t="n">
        <v>3</v>
      </c>
      <c r="G402" s="30" t="n">
        <v>6</v>
      </c>
      <c r="H402" s="6" t="n"/>
      <c r="I402" s="25">
        <f>E402*F402*G402</f>
        <v/>
      </c>
      <c r="J402" s="6" t="n"/>
    </row>
    <row r="403">
      <c r="A403" s="23" t="n"/>
      <c r="B403" s="23" t="n"/>
      <c r="C403" s="26" t="inlineStr">
        <is>
          <t>M20 TOPLAMI</t>
        </is>
      </c>
      <c r="D403" s="27" t="inlineStr">
        <is>
          <t>m²</t>
        </is>
      </c>
      <c r="E403" s="23" t="n"/>
      <c r="F403" s="23" t="n"/>
      <c r="G403" s="23" t="n"/>
      <c r="H403" s="23" t="n"/>
      <c r="I403" s="23" t="n"/>
      <c r="J403" s="28">
        <f>SUM(I400:I402)</f>
        <v/>
      </c>
    </row>
    <row r="404" ht="22" customHeight="1">
      <c r="A404" s="20" t="n">
        <v>5</v>
      </c>
      <c r="B404" s="21" t="inlineStr">
        <is>
          <t>15.160.1003</t>
        </is>
      </c>
      <c r="C404" s="8" t="inlineStr">
        <is>
          <t>[M26]  Ø8-Ø12 nervürlü beton çelik çubuğu — çukur, depo, foseptik ve silo kaideleri</t>
        </is>
      </c>
      <c r="D404" s="22" t="inlineStr">
        <is>
          <t>ton</t>
        </is>
      </c>
      <c r="E404" s="23" t="n"/>
      <c r="F404" s="23" t="n"/>
      <c r="G404" s="23" t="n"/>
      <c r="H404" s="23" t="n"/>
      <c r="I404" s="23" t="n"/>
      <c r="J404" s="23" t="n"/>
    </row>
    <row r="405" ht="20" customHeight="1">
      <c r="A405" s="6" t="n"/>
      <c r="B405" s="6" t="n"/>
      <c r="C405" s="24" t="inlineStr">
        <is>
          <t>Ölü atma çukuru radye ve döşeme — proje metrajı 335,40+46,70 = 382,10 kg</t>
        </is>
      </c>
      <c r="D405" s="6" t="n"/>
      <c r="E405" s="29" t="n">
        <v>1</v>
      </c>
      <c r="F405" s="6" t="n"/>
      <c r="G405" s="6" t="n"/>
      <c r="H405" s="6" t="n"/>
      <c r="I405" s="25">
        <f>E405*J405</f>
        <v/>
      </c>
      <c r="J405" s="31" t="n">
        <v>0.3821</v>
      </c>
    </row>
    <row r="406" ht="12" customHeight="1">
      <c r="A406" s="6" t="n"/>
      <c r="B406" s="6" t="n"/>
      <c r="C406" s="24" t="inlineStr">
        <is>
          <t>Ölü atma çukuru perdeleri: 17.00x0,25x3.00 m³, 100 kg/m³</t>
        </is>
      </c>
      <c r="D406" s="6" t="n"/>
      <c r="E406" s="29" t="n">
        <v>1</v>
      </c>
      <c r="F406" s="30" t="n">
        <v>0.25</v>
      </c>
      <c r="G406" s="30" t="n">
        <v>17</v>
      </c>
      <c r="H406" s="30" t="n">
        <v>3</v>
      </c>
      <c r="I406" s="25">
        <f>E406*F406*G406*H406*J406</f>
        <v/>
      </c>
      <c r="J406" s="31" t="n">
        <v>0.1</v>
      </c>
    </row>
    <row r="407">
      <c r="A407" s="23" t="n"/>
      <c r="B407" s="23" t="n"/>
      <c r="C407" s="26" t="inlineStr">
        <is>
          <t>M26 TOPLAMI</t>
        </is>
      </c>
      <c r="D407" s="27" t="inlineStr">
        <is>
          <t>ton</t>
        </is>
      </c>
      <c r="E407" s="23" t="n"/>
      <c r="F407" s="23" t="n"/>
      <c r="G407" s="23" t="n"/>
      <c r="H407" s="23" t="n"/>
      <c r="I407" s="23" t="n"/>
      <c r="J407" s="28">
        <f>SUM(I405:I406)</f>
        <v/>
      </c>
    </row>
    <row r="408"/>
    <row r="409" ht="20" customHeight="1">
      <c r="A409" s="19" t="inlineStr">
        <is>
          <t>Yapı/Bina Adı: FOSEPTIK</t>
        </is>
      </c>
    </row>
    <row r="410" ht="28" customHeight="1">
      <c r="A410" s="7" t="inlineStr">
        <is>
          <t>No</t>
        </is>
      </c>
      <c r="B410" s="7" t="inlineStr">
        <is>
          <t>Poz No</t>
        </is>
      </c>
      <c r="C410" s="7" t="inlineStr">
        <is>
          <t>Tanımı / Ölçünün Alındığı Yer</t>
        </is>
      </c>
      <c r="D410" s="7" t="inlineStr">
        <is>
          <t>Birimi</t>
        </is>
      </c>
      <c r="E410" s="7" t="inlineStr">
        <is>
          <t>Adet</t>
        </is>
      </c>
      <c r="F410" s="7" t="inlineStr">
        <is>
          <t>En (m)</t>
        </is>
      </c>
      <c r="G410" s="7" t="inlineStr">
        <is>
          <t>Boy (m)</t>
        </is>
      </c>
      <c r="H410" s="7" t="inlineStr">
        <is>
          <t>Yükseklik (m)</t>
        </is>
      </c>
      <c r="I410" s="7" t="inlineStr">
        <is>
          <t>Miktar</t>
        </is>
      </c>
      <c r="J410" s="7" t="inlineStr">
        <is>
          <t>Toplam Miktar</t>
        </is>
      </c>
    </row>
    <row r="411" ht="22" customHeight="1">
      <c r="A411" s="20" t="n">
        <v>1</v>
      </c>
      <c r="B411" s="21" t="inlineStr">
        <is>
          <t>15.120.1101</t>
        </is>
      </c>
      <c r="C411" s="8" t="inlineStr">
        <is>
          <t>[M05]  Makine ile dar ve derin sandık kazı — ölü atma çukuru, depolar, foseptik ve silo kaideleri</t>
        </is>
      </c>
      <c r="D411" s="22" t="inlineStr">
        <is>
          <t>m³</t>
        </is>
      </c>
      <c r="E411" s="23" t="n"/>
      <c r="F411" s="23" t="n"/>
      <c r="G411" s="23" t="n"/>
      <c r="H411" s="23" t="n"/>
      <c r="I411" s="23" t="n"/>
      <c r="J411" s="23" t="n"/>
    </row>
    <row r="412" ht="20" customHeight="1">
      <c r="A412" s="6" t="n"/>
      <c r="B412" s="6" t="n"/>
      <c r="C412" s="24" t="inlineStr">
        <is>
          <t>Foseptik: dış 2.00x2.00; 1,00 m çalışma payı -&gt; 4.00x4.00; derinlik 2.50+0,15+0,30+0,10 = 3.05 m</t>
        </is>
      </c>
      <c r="D412" s="6" t="n"/>
      <c r="E412" s="29" t="n">
        <v>1</v>
      </c>
      <c r="F412" s="30" t="n">
        <v>4</v>
      </c>
      <c r="G412" s="30" t="n">
        <v>4</v>
      </c>
      <c r="H412" s="30" t="n">
        <v>3.05</v>
      </c>
      <c r="I412" s="25">
        <f>E412*F412*G412*H412</f>
        <v/>
      </c>
      <c r="J412" s="6" t="n"/>
    </row>
    <row r="413">
      <c r="A413" s="23" t="n"/>
      <c r="B413" s="23" t="n"/>
      <c r="C413" s="26" t="inlineStr">
        <is>
          <t>M05 TOPLAMI</t>
        </is>
      </c>
      <c r="D413" s="27" t="inlineStr">
        <is>
          <t>m³</t>
        </is>
      </c>
      <c r="E413" s="23" t="n"/>
      <c r="F413" s="23" t="n"/>
      <c r="G413" s="23" t="n"/>
      <c r="H413" s="23" t="n"/>
      <c r="I413" s="23" t="n"/>
      <c r="J413" s="28">
        <f>SUM(I412:I412)</f>
        <v/>
      </c>
    </row>
    <row r="414" ht="22" customHeight="1">
      <c r="A414" s="20" t="n">
        <v>2</v>
      </c>
      <c r="B414" s="21" t="inlineStr">
        <is>
          <t>15.150.1003</t>
        </is>
      </c>
      <c r="C414" s="8" t="inlineStr">
        <is>
          <t>[M11]  C 16/20 hazır beton dökülmesi — çukur, depo, foseptik ve silo kaideleri altı grobeton</t>
        </is>
      </c>
      <c r="D414" s="22" t="inlineStr">
        <is>
          <t>m³</t>
        </is>
      </c>
      <c r="E414" s="23" t="n"/>
      <c r="F414" s="23" t="n"/>
      <c r="G414" s="23" t="n"/>
      <c r="H414" s="23" t="n"/>
      <c r="I414" s="23" t="n"/>
      <c r="J414" s="23" t="n"/>
    </row>
    <row r="415" ht="12" customHeight="1">
      <c r="A415" s="6" t="n"/>
      <c r="B415" s="6" t="n"/>
      <c r="C415" s="24" t="inlineStr">
        <is>
          <t>Foseptik (2.00x2.00 + 0,10 taşma)</t>
        </is>
      </c>
      <c r="D415" s="6" t="n"/>
      <c r="E415" s="29" t="n">
        <v>1</v>
      </c>
      <c r="F415" s="30" t="n">
        <v>2.2</v>
      </c>
      <c r="G415" s="30" t="n">
        <v>2.2</v>
      </c>
      <c r="H415" s="30" t="n">
        <v>0.1</v>
      </c>
      <c r="I415" s="25">
        <f>E415*F415*G415*H415</f>
        <v/>
      </c>
      <c r="J415" s="6" t="n"/>
    </row>
    <row r="416">
      <c r="A416" s="23" t="n"/>
      <c r="B416" s="23" t="n"/>
      <c r="C416" s="26" t="inlineStr">
        <is>
          <t>M11 TOPLAMI</t>
        </is>
      </c>
      <c r="D416" s="27" t="inlineStr">
        <is>
          <t>m³</t>
        </is>
      </c>
      <c r="E416" s="23" t="n"/>
      <c r="F416" s="23" t="n"/>
      <c r="G416" s="23" t="n"/>
      <c r="H416" s="23" t="n"/>
      <c r="I416" s="23" t="n"/>
      <c r="J416" s="28">
        <f>SUM(I415:I415)</f>
        <v/>
      </c>
    </row>
    <row r="417" ht="15" customHeight="1">
      <c r="A417" s="20" t="n">
        <v>3</v>
      </c>
      <c r="B417" s="21" t="inlineStr">
        <is>
          <t>15.150.1005</t>
        </is>
      </c>
      <c r="C417" s="8" t="inlineStr">
        <is>
          <t>[M17]  C 25/30 hazır beton dökülmesi — foseptik ve silo kaideleri</t>
        </is>
      </c>
      <c r="D417" s="22" t="inlineStr">
        <is>
          <t>m³</t>
        </is>
      </c>
      <c r="E417" s="23" t="n"/>
      <c r="F417" s="23" t="n"/>
      <c r="G417" s="23" t="n"/>
      <c r="H417" s="23" t="n"/>
      <c r="I417" s="23" t="n"/>
      <c r="J417" s="23" t="n"/>
    </row>
    <row r="418" ht="12" customHeight="1">
      <c r="A418" s="6" t="n"/>
      <c r="B418" s="6" t="n"/>
      <c r="C418" s="24" t="inlineStr">
        <is>
          <t>Foseptik radye 30 cm (dış 2.00x2.00)</t>
        </is>
      </c>
      <c r="D418" s="6" t="n"/>
      <c r="E418" s="29" t="n">
        <v>1</v>
      </c>
      <c r="F418" s="30" t="n">
        <v>2</v>
      </c>
      <c r="G418" s="30" t="n">
        <v>2</v>
      </c>
      <c r="H418" s="30" t="n">
        <v>0.3</v>
      </c>
      <c r="I418" s="25">
        <f>E418*F418*G418*H418</f>
        <v/>
      </c>
      <c r="J418" s="6" t="n"/>
    </row>
    <row r="419" ht="20" customHeight="1">
      <c r="A419" s="6" t="n"/>
      <c r="B419" s="6" t="n"/>
      <c r="C419" s="24" t="inlineStr">
        <is>
          <t>Foseptik perdeleri: orta çevre 2x(1.75+1.75) = 7.00 m, kalınlık 0,25, yükseklik 2.50</t>
        </is>
      </c>
      <c r="D419" s="6" t="n"/>
      <c r="E419" s="29" t="n">
        <v>1</v>
      </c>
      <c r="F419" s="30" t="n">
        <v>0.25</v>
      </c>
      <c r="G419" s="30" t="n">
        <v>7</v>
      </c>
      <c r="H419" s="30" t="n">
        <v>2.5</v>
      </c>
      <c r="I419" s="25">
        <f>E419*F419*G419*H419</f>
        <v/>
      </c>
      <c r="J419" s="6" t="n"/>
    </row>
    <row r="420" ht="12" customHeight="1">
      <c r="A420" s="6" t="n"/>
      <c r="B420" s="6" t="n"/>
      <c r="C420" s="24" t="inlineStr">
        <is>
          <t>Foseptik üst döşemesi 15 cm</t>
        </is>
      </c>
      <c r="D420" s="6" t="n"/>
      <c r="E420" s="29" t="n">
        <v>1</v>
      </c>
      <c r="F420" s="30" t="n">
        <v>2</v>
      </c>
      <c r="G420" s="30" t="n">
        <v>2</v>
      </c>
      <c r="H420" s="30" t="n">
        <v>0.15</v>
      </c>
      <c r="I420" s="25">
        <f>E420*F420*G420*H420</f>
        <v/>
      </c>
      <c r="J420" s="6" t="n"/>
    </row>
    <row r="421">
      <c r="A421" s="23" t="n"/>
      <c r="B421" s="23" t="n"/>
      <c r="C421" s="26" t="inlineStr">
        <is>
          <t>M17 TOPLAMI</t>
        </is>
      </c>
      <c r="D421" s="27" t="inlineStr">
        <is>
          <t>m³</t>
        </is>
      </c>
      <c r="E421" s="23" t="n"/>
      <c r="F421" s="23" t="n"/>
      <c r="G421" s="23" t="n"/>
      <c r="H421" s="23" t="n"/>
      <c r="I421" s="23" t="n"/>
      <c r="J421" s="28">
        <f>SUM(I418:I420)</f>
        <v/>
      </c>
    </row>
    <row r="422" ht="22" customHeight="1">
      <c r="A422" s="20" t="n">
        <v>4</v>
      </c>
      <c r="B422" s="21" t="inlineStr">
        <is>
          <t>15.180.1003</t>
        </is>
      </c>
      <c r="C422" s="8" t="inlineStr">
        <is>
          <t>[M21]  Plywood ile düz yüzeyli betonarme kalıbı — foseptik ve silo kaideleri</t>
        </is>
      </c>
      <c r="D422" s="22" t="inlineStr">
        <is>
          <t>m²</t>
        </is>
      </c>
      <c r="E422" s="23" t="n"/>
      <c r="F422" s="23" t="n"/>
      <c r="G422" s="23" t="n"/>
      <c r="H422" s="23" t="n"/>
      <c r="I422" s="23" t="n"/>
      <c r="J422" s="23" t="n"/>
    </row>
    <row r="423" ht="12" customHeight="1">
      <c r="A423" s="6" t="n"/>
      <c r="B423" s="6" t="n"/>
      <c r="C423" s="24" t="inlineStr">
        <is>
          <t>Foseptik radye çevresi 2x(2.00+2.00) = 8.00 m x 0,30</t>
        </is>
      </c>
      <c r="D423" s="6" t="n"/>
      <c r="E423" s="29" t="n">
        <v>1</v>
      </c>
      <c r="F423" s="6" t="n"/>
      <c r="G423" s="30" t="n">
        <v>8</v>
      </c>
      <c r="H423" s="30" t="n">
        <v>0.3</v>
      </c>
      <c r="I423" s="25">
        <f>E423*G423*H423</f>
        <v/>
      </c>
      <c r="J423" s="6" t="n"/>
    </row>
    <row r="424" ht="12" customHeight="1">
      <c r="A424" s="6" t="n"/>
      <c r="B424" s="6" t="n"/>
      <c r="C424" s="24" t="inlineStr">
        <is>
          <t>Foseptik perde iki yüz (7.00 m x 2.50 m)</t>
        </is>
      </c>
      <c r="D424" s="6" t="n"/>
      <c r="E424" s="29" t="n">
        <v>2</v>
      </c>
      <c r="F424" s="6" t="n"/>
      <c r="G424" s="30" t="n">
        <v>7</v>
      </c>
      <c r="H424" s="30" t="n">
        <v>2.5</v>
      </c>
      <c r="I424" s="25">
        <f>E424*G424*H424</f>
        <v/>
      </c>
      <c r="J424" s="6" t="n"/>
    </row>
    <row r="425" ht="12" customHeight="1">
      <c r="A425" s="6" t="n"/>
      <c r="B425" s="6" t="n"/>
      <c r="C425" s="24" t="inlineStr">
        <is>
          <t>Foseptik tavan kalıbı</t>
        </is>
      </c>
      <c r="D425" s="6" t="n"/>
      <c r="E425" s="29" t="n">
        <v>1</v>
      </c>
      <c r="F425" s="30" t="n">
        <v>2</v>
      </c>
      <c r="G425" s="30" t="n">
        <v>2</v>
      </c>
      <c r="H425" s="6" t="n"/>
      <c r="I425" s="25">
        <f>E425*F425*G425</f>
        <v/>
      </c>
      <c r="J425" s="6" t="n"/>
    </row>
    <row r="426">
      <c r="A426" s="23" t="n"/>
      <c r="B426" s="23" t="n"/>
      <c r="C426" s="26" t="inlineStr">
        <is>
          <t>M21 TOPLAMI</t>
        </is>
      </c>
      <c r="D426" s="27" t="inlineStr">
        <is>
          <t>m²</t>
        </is>
      </c>
      <c r="E426" s="23" t="n"/>
      <c r="F426" s="23" t="n"/>
      <c r="G426" s="23" t="n"/>
      <c r="H426" s="23" t="n"/>
      <c r="I426" s="23" t="n"/>
      <c r="J426" s="28">
        <f>SUM(I423:I425)</f>
        <v/>
      </c>
    </row>
    <row r="427" ht="22" customHeight="1">
      <c r="A427" s="20" t="n">
        <v>5</v>
      </c>
      <c r="B427" s="21" t="inlineStr">
        <is>
          <t>15.160.1003</t>
        </is>
      </c>
      <c r="C427" s="8" t="inlineStr">
        <is>
          <t>[M26]  Ø8-Ø12 nervürlü beton çelik çubuğu — çukur, depo, foseptik ve silo kaideleri</t>
        </is>
      </c>
      <c r="D427" s="22" t="inlineStr">
        <is>
          <t>ton</t>
        </is>
      </c>
      <c r="E427" s="23" t="n"/>
      <c r="F427" s="23" t="n"/>
      <c r="G427" s="23" t="n"/>
      <c r="H427" s="23" t="n"/>
      <c r="I427" s="23" t="n"/>
      <c r="J427" s="23" t="n"/>
    </row>
    <row r="428" ht="12" customHeight="1">
      <c r="A428" s="6" t="n"/>
      <c r="B428" s="6" t="n"/>
      <c r="C428" s="24" t="inlineStr">
        <is>
          <t>Foseptik radyesi: 2.00x2.00x0,30 m³, 95 kg/m³</t>
        </is>
      </c>
      <c r="D428" s="6" t="n"/>
      <c r="E428" s="29" t="n">
        <v>1</v>
      </c>
      <c r="F428" s="30" t="n">
        <v>2</v>
      </c>
      <c r="G428" s="30" t="n">
        <v>2</v>
      </c>
      <c r="H428" s="30" t="n">
        <v>0.3</v>
      </c>
      <c r="I428" s="25">
        <f>E428*F428*G428*H428*J428</f>
        <v/>
      </c>
      <c r="J428" s="31" t="n">
        <v>0.095</v>
      </c>
    </row>
    <row r="429" ht="12" customHeight="1">
      <c r="A429" s="6" t="n"/>
      <c r="B429" s="6" t="n"/>
      <c r="C429" s="24" t="inlineStr">
        <is>
          <t>Foseptik perdeleri: 7.00x0,25x2.50 m³, 95 kg/m³</t>
        </is>
      </c>
      <c r="D429" s="6" t="n"/>
      <c r="E429" s="29" t="n">
        <v>1</v>
      </c>
      <c r="F429" s="30" t="n">
        <v>0.25</v>
      </c>
      <c r="G429" s="30" t="n">
        <v>7</v>
      </c>
      <c r="H429" s="30" t="n">
        <v>2.5</v>
      </c>
      <c r="I429" s="25">
        <f>E429*F429*G429*H429*J429</f>
        <v/>
      </c>
      <c r="J429" s="31" t="n">
        <v>0.095</v>
      </c>
    </row>
    <row r="430" ht="12" customHeight="1">
      <c r="A430" s="6" t="n"/>
      <c r="B430" s="6" t="n"/>
      <c r="C430" s="24" t="inlineStr">
        <is>
          <t>Foseptik döşemesi: 2.00x2.00x0,15 m³, 95 kg/m³</t>
        </is>
      </c>
      <c r="D430" s="6" t="n"/>
      <c r="E430" s="29" t="n">
        <v>1</v>
      </c>
      <c r="F430" s="30" t="n">
        <v>2</v>
      </c>
      <c r="G430" s="30" t="n">
        <v>2</v>
      </c>
      <c r="H430" s="30" t="n">
        <v>0.15</v>
      </c>
      <c r="I430" s="25">
        <f>E430*F430*G430*H430*J430</f>
        <v/>
      </c>
      <c r="J430" s="31" t="n">
        <v>0.095</v>
      </c>
    </row>
    <row r="431">
      <c r="A431" s="23" t="n"/>
      <c r="B431" s="23" t="n"/>
      <c r="C431" s="26" t="inlineStr">
        <is>
          <t>M26 TOPLAMI</t>
        </is>
      </c>
      <c r="D431" s="27" t="inlineStr">
        <is>
          <t>ton</t>
        </is>
      </c>
      <c r="E431" s="23" t="n"/>
      <c r="F431" s="23" t="n"/>
      <c r="G431" s="23" t="n"/>
      <c r="H431" s="23" t="n"/>
      <c r="I431" s="23" t="n"/>
      <c r="J431" s="28">
        <f>SUM(I428:I430)</f>
        <v/>
      </c>
    </row>
    <row r="432"/>
    <row r="433" ht="20" customHeight="1">
      <c r="A433" s="19" t="inlineStr">
        <is>
          <t>Yapı/Bina Adı: YEM SILOSU BETONARME KAIDELERI</t>
        </is>
      </c>
    </row>
    <row r="434" ht="28" customHeight="1">
      <c r="A434" s="7" t="inlineStr">
        <is>
          <t>No</t>
        </is>
      </c>
      <c r="B434" s="7" t="inlineStr">
        <is>
          <t>Poz No</t>
        </is>
      </c>
      <c r="C434" s="7" t="inlineStr">
        <is>
          <t>Tanımı / Ölçünün Alındığı Yer</t>
        </is>
      </c>
      <c r="D434" s="7" t="inlineStr">
        <is>
          <t>Birimi</t>
        </is>
      </c>
      <c r="E434" s="7" t="inlineStr">
        <is>
          <t>Adet</t>
        </is>
      </c>
      <c r="F434" s="7" t="inlineStr">
        <is>
          <t>En (m)</t>
        </is>
      </c>
      <c r="G434" s="7" t="inlineStr">
        <is>
          <t>Boy (m)</t>
        </is>
      </c>
      <c r="H434" s="7" t="inlineStr">
        <is>
          <t>Yükseklik (m)</t>
        </is>
      </c>
      <c r="I434" s="7" t="inlineStr">
        <is>
          <t>Miktar</t>
        </is>
      </c>
      <c r="J434" s="7" t="inlineStr">
        <is>
          <t>Toplam Miktar</t>
        </is>
      </c>
    </row>
    <row r="435" ht="22" customHeight="1">
      <c r="A435" s="20" t="n">
        <v>1</v>
      </c>
      <c r="B435" s="21" t="inlineStr">
        <is>
          <t>15.120.1101</t>
        </is>
      </c>
      <c r="C435" s="8" t="inlineStr">
        <is>
          <t>[M05]  Makine ile dar ve derin sandık kazı — ölü atma çukuru, depolar, foseptik ve silo kaideleri</t>
        </is>
      </c>
      <c r="D435" s="22" t="inlineStr">
        <is>
          <t>m³</t>
        </is>
      </c>
      <c r="E435" s="23" t="n"/>
      <c r="F435" s="23" t="n"/>
      <c r="G435" s="23" t="n"/>
      <c r="H435" s="23" t="n"/>
      <c r="I435" s="23" t="n"/>
      <c r="J435" s="23" t="n"/>
    </row>
    <row r="436" ht="20" customHeight="1">
      <c r="A436" s="6" t="n"/>
      <c r="B436" s="6" t="n"/>
      <c r="C436" s="24" t="inlineStr">
        <is>
          <t>Silo kaideleri: 2.90x2.90 kaide; 1,00 m çalışma payı -&gt; 4.90x4.90; derinlik 1,00 m</t>
        </is>
      </c>
      <c r="D436" s="6" t="n"/>
      <c r="E436" s="29" t="n">
        <v>2</v>
      </c>
      <c r="F436" s="30" t="n">
        <v>4.9</v>
      </c>
      <c r="G436" s="30" t="n">
        <v>4.9</v>
      </c>
      <c r="H436" s="30" t="n">
        <v>1</v>
      </c>
      <c r="I436" s="25">
        <f>E436*F436*G436*H436</f>
        <v/>
      </c>
      <c r="J436" s="6" t="n"/>
    </row>
    <row r="437">
      <c r="A437" s="23" t="n"/>
      <c r="B437" s="23" t="n"/>
      <c r="C437" s="26" t="inlineStr">
        <is>
          <t>M05 TOPLAMI</t>
        </is>
      </c>
      <c r="D437" s="27" t="inlineStr">
        <is>
          <t>m³</t>
        </is>
      </c>
      <c r="E437" s="23" t="n"/>
      <c r="F437" s="23" t="n"/>
      <c r="G437" s="23" t="n"/>
      <c r="H437" s="23" t="n"/>
      <c r="I437" s="23" t="n"/>
      <c r="J437" s="28">
        <f>SUM(I436:I436)</f>
        <v/>
      </c>
    </row>
    <row r="438" ht="22" customHeight="1">
      <c r="A438" s="20" t="n">
        <v>2</v>
      </c>
      <c r="B438" s="21" t="inlineStr">
        <is>
          <t>15.150.1003</t>
        </is>
      </c>
      <c r="C438" s="8" t="inlineStr">
        <is>
          <t>[M11]  C 16/20 hazır beton dökülmesi — çukur, depo, foseptik ve silo kaideleri altı grobeton</t>
        </is>
      </c>
      <c r="D438" s="22" t="inlineStr">
        <is>
          <t>m³</t>
        </is>
      </c>
      <c r="E438" s="23" t="n"/>
      <c r="F438" s="23" t="n"/>
      <c r="G438" s="23" t="n"/>
      <c r="H438" s="23" t="n"/>
      <c r="I438" s="23" t="n"/>
      <c r="J438" s="23" t="n"/>
    </row>
    <row r="439" ht="12" customHeight="1">
      <c r="A439" s="6" t="n"/>
      <c r="B439" s="6" t="n"/>
      <c r="C439" s="24" t="inlineStr">
        <is>
          <t>Silo kaideleri (2.90x2.90 + 0,10 taşma), 2 adet</t>
        </is>
      </c>
      <c r="D439" s="6" t="n"/>
      <c r="E439" s="29" t="n">
        <v>2</v>
      </c>
      <c r="F439" s="30" t="n">
        <v>3.1</v>
      </c>
      <c r="G439" s="30" t="n">
        <v>3.1</v>
      </c>
      <c r="H439" s="30" t="n">
        <v>0.1</v>
      </c>
      <c r="I439" s="25">
        <f>E439*F439*G439*H439</f>
        <v/>
      </c>
      <c r="J439" s="6" t="n"/>
    </row>
    <row r="440">
      <c r="A440" s="23" t="n"/>
      <c r="B440" s="23" t="n"/>
      <c r="C440" s="26" t="inlineStr">
        <is>
          <t>M11 TOPLAMI</t>
        </is>
      </c>
      <c r="D440" s="27" t="inlineStr">
        <is>
          <t>m³</t>
        </is>
      </c>
      <c r="E440" s="23" t="n"/>
      <c r="F440" s="23" t="n"/>
      <c r="G440" s="23" t="n"/>
      <c r="H440" s="23" t="n"/>
      <c r="I440" s="23" t="n"/>
      <c r="J440" s="28">
        <f>SUM(I439:I439)</f>
        <v/>
      </c>
    </row>
    <row r="441" ht="15" customHeight="1">
      <c r="A441" s="20" t="n">
        <v>3</v>
      </c>
      <c r="B441" s="21" t="inlineStr">
        <is>
          <t>15.150.1005</t>
        </is>
      </c>
      <c r="C441" s="8" t="inlineStr">
        <is>
          <t>[M17]  C 25/30 hazır beton dökülmesi — foseptik ve silo kaideleri</t>
        </is>
      </c>
      <c r="D441" s="22" t="inlineStr">
        <is>
          <t>m³</t>
        </is>
      </c>
      <c r="E441" s="23" t="n"/>
      <c r="F441" s="23" t="n"/>
      <c r="G441" s="23" t="n"/>
      <c r="H441" s="23" t="n"/>
      <c r="I441" s="23" t="n"/>
      <c r="J441" s="23" t="n"/>
    </row>
    <row r="442" ht="12" customHeight="1">
      <c r="A442" s="6" t="n"/>
      <c r="B442" s="6" t="n"/>
      <c r="C442" s="24" t="inlineStr">
        <is>
          <t>Silo betonarme kaidesi (2 adet)</t>
        </is>
      </c>
      <c r="D442" s="6" t="n"/>
      <c r="E442" s="29" t="n">
        <v>2</v>
      </c>
      <c r="F442" s="30" t="n">
        <v>2.9</v>
      </c>
      <c r="G442" s="30" t="n">
        <v>2.9</v>
      </c>
      <c r="H442" s="30" t="n">
        <v>0.5</v>
      </c>
      <c r="I442" s="25">
        <f>E442*F442*G442*H442</f>
        <v/>
      </c>
      <c r="J442" s="6" t="n"/>
    </row>
    <row r="443">
      <c r="A443" s="23" t="n"/>
      <c r="B443" s="23" t="n"/>
      <c r="C443" s="26" t="inlineStr">
        <is>
          <t>M17 TOPLAMI</t>
        </is>
      </c>
      <c r="D443" s="27" t="inlineStr">
        <is>
          <t>m³</t>
        </is>
      </c>
      <c r="E443" s="23" t="n"/>
      <c r="F443" s="23" t="n"/>
      <c r="G443" s="23" t="n"/>
      <c r="H443" s="23" t="n"/>
      <c r="I443" s="23" t="n"/>
      <c r="J443" s="28">
        <f>SUM(I442:I442)</f>
        <v/>
      </c>
    </row>
    <row r="444" ht="22" customHeight="1">
      <c r="A444" s="20" t="n">
        <v>4</v>
      </c>
      <c r="B444" s="21" t="inlineStr">
        <is>
          <t>15.180.1003</t>
        </is>
      </c>
      <c r="C444" s="8" t="inlineStr">
        <is>
          <t>[M21]  Plywood ile düz yüzeyli betonarme kalıbı — foseptik ve silo kaideleri</t>
        </is>
      </c>
      <c r="D444" s="22" t="inlineStr">
        <is>
          <t>m²</t>
        </is>
      </c>
      <c r="E444" s="23" t="n"/>
      <c r="F444" s="23" t="n"/>
      <c r="G444" s="23" t="n"/>
      <c r="H444" s="23" t="n"/>
      <c r="I444" s="23" t="n"/>
      <c r="J444" s="23" t="n"/>
    </row>
    <row r="445" ht="20" customHeight="1">
      <c r="A445" s="6" t="n"/>
      <c r="B445" s="6" t="n"/>
      <c r="C445" s="24" t="inlineStr">
        <is>
          <t>Silo kaidesi yan yüzleri: 4 yüz x 2 adet, boy 2.90, yükseklik 0.50</t>
        </is>
      </c>
      <c r="D445" s="6" t="n"/>
      <c r="E445" s="29" t="n">
        <v>8</v>
      </c>
      <c r="F445" s="6" t="n"/>
      <c r="G445" s="30" t="n">
        <v>2.9</v>
      </c>
      <c r="H445" s="30" t="n">
        <v>0.5</v>
      </c>
      <c r="I445" s="25">
        <f>E445*G445*H445</f>
        <v/>
      </c>
      <c r="J445" s="6" t="n"/>
    </row>
    <row r="446">
      <c r="A446" s="23" t="n"/>
      <c r="B446" s="23" t="n"/>
      <c r="C446" s="26" t="inlineStr">
        <is>
          <t>M21 TOPLAMI</t>
        </is>
      </c>
      <c r="D446" s="27" t="inlineStr">
        <is>
          <t>m²</t>
        </is>
      </c>
      <c r="E446" s="23" t="n"/>
      <c r="F446" s="23" t="n"/>
      <c r="G446" s="23" t="n"/>
      <c r="H446" s="23" t="n"/>
      <c r="I446" s="23" t="n"/>
      <c r="J446" s="28">
        <f>SUM(I445:I445)</f>
        <v/>
      </c>
    </row>
    <row r="447" ht="22" customHeight="1">
      <c r="A447" s="20" t="n">
        <v>5</v>
      </c>
      <c r="B447" s="21" t="inlineStr">
        <is>
          <t>15.160.1003</t>
        </is>
      </c>
      <c r="C447" s="8" t="inlineStr">
        <is>
          <t>[M26]  Ø8-Ø12 nervürlü beton çelik çubuğu — çukur, depo, foseptik ve silo kaideleri</t>
        </is>
      </c>
      <c r="D447" s="22" t="inlineStr">
        <is>
          <t>ton</t>
        </is>
      </c>
      <c r="E447" s="23" t="n"/>
      <c r="F447" s="23" t="n"/>
      <c r="G447" s="23" t="n"/>
      <c r="H447" s="23" t="n"/>
      <c r="I447" s="23" t="n"/>
      <c r="J447" s="23" t="n"/>
    </row>
    <row r="448" ht="12" customHeight="1">
      <c r="A448" s="6" t="n"/>
      <c r="B448" s="6" t="n"/>
      <c r="C448" s="24" t="inlineStr">
        <is>
          <t>Silo kaideleri: 2.90x2.90x0.50 m³ x 2, 90 kg/m³</t>
        </is>
      </c>
      <c r="D448" s="6" t="n"/>
      <c r="E448" s="29" t="n">
        <v>2</v>
      </c>
      <c r="F448" s="30" t="n">
        <v>2.9</v>
      </c>
      <c r="G448" s="30" t="n">
        <v>2.9</v>
      </c>
      <c r="H448" s="30" t="n">
        <v>0.5</v>
      </c>
      <c r="I448" s="25">
        <f>E448*F448*G448*H448*J448</f>
        <v/>
      </c>
      <c r="J448" s="31" t="n">
        <v>0.09</v>
      </c>
    </row>
    <row r="449">
      <c r="A449" s="23" t="n"/>
      <c r="B449" s="23" t="n"/>
      <c r="C449" s="26" t="inlineStr">
        <is>
          <t>M26 TOPLAMI</t>
        </is>
      </c>
      <c r="D449" s="27" t="inlineStr">
        <is>
          <t>ton</t>
        </is>
      </c>
      <c r="E449" s="23" t="n"/>
      <c r="F449" s="23" t="n"/>
      <c r="G449" s="23" t="n"/>
      <c r="H449" s="23" t="n"/>
      <c r="I449" s="23" t="n"/>
      <c r="J449" s="28">
        <f>SUM(I448:I448)</f>
        <v/>
      </c>
    </row>
    <row r="450"/>
    <row r="451" ht="20" customHeight="1">
      <c r="A451" s="19" t="inlineStr">
        <is>
          <t>Yapı/Bina Adı: SU DEPOSU</t>
        </is>
      </c>
    </row>
    <row r="452" ht="28" customHeight="1">
      <c r="A452" s="7" t="inlineStr">
        <is>
          <t>No</t>
        </is>
      </c>
      <c r="B452" s="7" t="inlineStr">
        <is>
          <t>Poz No</t>
        </is>
      </c>
      <c r="C452" s="7" t="inlineStr">
        <is>
          <t>Tanımı / Ölçünün Alındığı Yer</t>
        </is>
      </c>
      <c r="D452" s="7" t="inlineStr">
        <is>
          <t>Birimi</t>
        </is>
      </c>
      <c r="E452" s="7" t="inlineStr">
        <is>
          <t>Adet</t>
        </is>
      </c>
      <c r="F452" s="7" t="inlineStr">
        <is>
          <t>En (m)</t>
        </is>
      </c>
      <c r="G452" s="7" t="inlineStr">
        <is>
          <t>Boy (m)</t>
        </is>
      </c>
      <c r="H452" s="7" t="inlineStr">
        <is>
          <t>Yükseklik (m)</t>
        </is>
      </c>
      <c r="I452" s="7" t="inlineStr">
        <is>
          <t>Miktar</t>
        </is>
      </c>
      <c r="J452" s="7" t="inlineStr">
        <is>
          <t>Toplam Miktar</t>
        </is>
      </c>
    </row>
    <row r="453" ht="22" customHeight="1">
      <c r="A453" s="20" t="n">
        <v>1</v>
      </c>
      <c r="B453" s="21" t="inlineStr">
        <is>
          <t>15.120.1101</t>
        </is>
      </c>
      <c r="C453" s="8" t="inlineStr">
        <is>
          <t>[M05]  Makine ile dar ve derin sandık kazı — ölü atma çukuru, depolar, foseptik ve silo kaideleri</t>
        </is>
      </c>
      <c r="D453" s="22" t="inlineStr">
        <is>
          <t>m³</t>
        </is>
      </c>
      <c r="E453" s="23" t="n"/>
      <c r="F453" s="23" t="n"/>
      <c r="G453" s="23" t="n"/>
      <c r="H453" s="23" t="n"/>
      <c r="I453" s="23" t="n"/>
      <c r="J453" s="23" t="n"/>
    </row>
    <row r="454" ht="20" customHeight="1">
      <c r="A454" s="6" t="n"/>
      <c r="B454" s="6" t="n"/>
      <c r="C454" s="24" t="inlineStr">
        <is>
          <t>Su deposu: dış 4.00x3.00; 1,00 m çalışma payı -&gt; 6.00x5.00; derinlik 3.55 m</t>
        </is>
      </c>
      <c r="D454" s="6" t="n"/>
      <c r="E454" s="29" t="n">
        <v>1</v>
      </c>
      <c r="F454" s="30" t="n">
        <v>5</v>
      </c>
      <c r="G454" s="30" t="n">
        <v>6</v>
      </c>
      <c r="H454" s="30" t="n">
        <v>3.55</v>
      </c>
      <c r="I454" s="25">
        <f>E454*F454*G454*H454</f>
        <v/>
      </c>
      <c r="J454" s="6" t="n"/>
    </row>
    <row r="455">
      <c r="A455" s="23" t="n"/>
      <c r="B455" s="23" t="n"/>
      <c r="C455" s="26" t="inlineStr">
        <is>
          <t>M05 TOPLAMI</t>
        </is>
      </c>
      <c r="D455" s="27" t="inlineStr">
        <is>
          <t>m³</t>
        </is>
      </c>
      <c r="E455" s="23" t="n"/>
      <c r="F455" s="23" t="n"/>
      <c r="G455" s="23" t="n"/>
      <c r="H455" s="23" t="n"/>
      <c r="I455" s="23" t="n"/>
      <c r="J455" s="28">
        <f>SUM(I454:I454)</f>
        <v/>
      </c>
    </row>
    <row r="456" ht="22" customHeight="1">
      <c r="A456" s="20" t="n">
        <v>2</v>
      </c>
      <c r="B456" s="21" t="inlineStr">
        <is>
          <t>15.150.1003</t>
        </is>
      </c>
      <c r="C456" s="8" t="inlineStr">
        <is>
          <t>[M11]  C 16/20 hazır beton dökülmesi — çukur, depo, foseptik ve silo kaideleri altı grobeton</t>
        </is>
      </c>
      <c r="D456" s="22" t="inlineStr">
        <is>
          <t>m³</t>
        </is>
      </c>
      <c r="E456" s="23" t="n"/>
      <c r="F456" s="23" t="n"/>
      <c r="G456" s="23" t="n"/>
      <c r="H456" s="23" t="n"/>
      <c r="I456" s="23" t="n"/>
      <c r="J456" s="23" t="n"/>
    </row>
    <row r="457" ht="12" customHeight="1">
      <c r="A457" s="6" t="n"/>
      <c r="B457" s="6" t="n"/>
      <c r="C457" s="24" t="inlineStr">
        <is>
          <t>Su deposu (4.00x3.00 + 0,10 taşma)</t>
        </is>
      </c>
      <c r="D457" s="6" t="n"/>
      <c r="E457" s="29" t="n">
        <v>1</v>
      </c>
      <c r="F457" s="30" t="n">
        <v>3.2</v>
      </c>
      <c r="G457" s="30" t="n">
        <v>4.2</v>
      </c>
      <c r="H457" s="30" t="n">
        <v>0.1</v>
      </c>
      <c r="I457" s="25">
        <f>E457*F457*G457*H457</f>
        <v/>
      </c>
      <c r="J457" s="6" t="n"/>
    </row>
    <row r="458">
      <c r="A458" s="23" t="n"/>
      <c r="B458" s="23" t="n"/>
      <c r="C458" s="26" t="inlineStr">
        <is>
          <t>M11 TOPLAMI</t>
        </is>
      </c>
      <c r="D458" s="27" t="inlineStr">
        <is>
          <t>m³</t>
        </is>
      </c>
      <c r="E458" s="23" t="n"/>
      <c r="F458" s="23" t="n"/>
      <c r="G458" s="23" t="n"/>
      <c r="H458" s="23" t="n"/>
      <c r="I458" s="23" t="n"/>
      <c r="J458" s="28">
        <f>SUM(I457:I457)</f>
        <v/>
      </c>
    </row>
    <row r="459" ht="22" customHeight="1">
      <c r="A459" s="20" t="n">
        <v>3</v>
      </c>
      <c r="B459" s="21" t="inlineStr">
        <is>
          <t>15.150.1005</t>
        </is>
      </c>
      <c r="C459" s="8" t="inlineStr">
        <is>
          <t>[M16]  C 25/30 hazır beton dökülmesi — ölü atma çukuru, su ve yağmur suyu depoları</t>
        </is>
      </c>
      <c r="D459" s="22" t="inlineStr">
        <is>
          <t>m³</t>
        </is>
      </c>
      <c r="E459" s="23" t="n"/>
      <c r="F459" s="23" t="n"/>
      <c r="G459" s="23" t="n"/>
      <c r="H459" s="23" t="n"/>
      <c r="I459" s="23" t="n"/>
      <c r="J459" s="23" t="n"/>
    </row>
    <row r="460" ht="12" customHeight="1">
      <c r="A460" s="6" t="n"/>
      <c r="B460" s="6" t="n"/>
      <c r="C460" s="24" t="inlineStr">
        <is>
          <t>Su deposu radye 30 cm (dış 4.00x3.00)</t>
        </is>
      </c>
      <c r="D460" s="6" t="n"/>
      <c r="E460" s="29" t="n">
        <v>1</v>
      </c>
      <c r="F460" s="30" t="n">
        <v>3</v>
      </c>
      <c r="G460" s="30" t="n">
        <v>4</v>
      </c>
      <c r="H460" s="30" t="n">
        <v>0.3</v>
      </c>
      <c r="I460" s="25">
        <f>E460*F460*G460*H460</f>
        <v/>
      </c>
      <c r="J460" s="6" t="n"/>
    </row>
    <row r="461" ht="12" customHeight="1">
      <c r="A461" s="6" t="n"/>
      <c r="B461" s="6" t="n"/>
      <c r="C461" s="24" t="inlineStr">
        <is>
          <t>Su deposu perdeleri: orta çevre 2x(3.75+2.75) = 13.00 m</t>
        </is>
      </c>
      <c r="D461" s="6" t="n"/>
      <c r="E461" s="29" t="n">
        <v>1</v>
      </c>
      <c r="F461" s="30" t="n">
        <v>0.25</v>
      </c>
      <c r="G461" s="30" t="n">
        <v>13</v>
      </c>
      <c r="H461" s="30" t="n">
        <v>3</v>
      </c>
      <c r="I461" s="25">
        <f>E461*F461*G461*H461</f>
        <v/>
      </c>
      <c r="J461" s="6" t="n"/>
    </row>
    <row r="462" ht="12" customHeight="1">
      <c r="A462" s="6" t="n"/>
      <c r="B462" s="6" t="n"/>
      <c r="C462" s="24" t="inlineStr">
        <is>
          <t>Su deposu üst döşemesi 15 cm</t>
        </is>
      </c>
      <c r="D462" s="6" t="n"/>
      <c r="E462" s="29" t="n">
        <v>1</v>
      </c>
      <c r="F462" s="30" t="n">
        <v>3</v>
      </c>
      <c r="G462" s="30" t="n">
        <v>4</v>
      </c>
      <c r="H462" s="30" t="n">
        <v>0.15</v>
      </c>
      <c r="I462" s="25">
        <f>E462*F462*G462*H462</f>
        <v/>
      </c>
      <c r="J462" s="6" t="n"/>
    </row>
    <row r="463">
      <c r="A463" s="23" t="n"/>
      <c r="B463" s="23" t="n"/>
      <c r="C463" s="26" t="inlineStr">
        <is>
          <t>M16 TOPLAMI</t>
        </is>
      </c>
      <c r="D463" s="27" t="inlineStr">
        <is>
          <t>m³</t>
        </is>
      </c>
      <c r="E463" s="23" t="n"/>
      <c r="F463" s="23" t="n"/>
      <c r="G463" s="23" t="n"/>
      <c r="H463" s="23" t="n"/>
      <c r="I463" s="23" t="n"/>
      <c r="J463" s="28">
        <f>SUM(I460:I462)</f>
        <v/>
      </c>
    </row>
    <row r="464" ht="15" customHeight="1">
      <c r="A464" s="20" t="n">
        <v>4</v>
      </c>
      <c r="B464" s="21" t="inlineStr">
        <is>
          <t>15.180.1003</t>
        </is>
      </c>
      <c r="C464" s="8" t="inlineStr">
        <is>
          <t>[M20]  Plywood ile düz yüzeyli betonarme kalıbı — çukur ve depolar</t>
        </is>
      </c>
      <c r="D464" s="22" t="inlineStr">
        <is>
          <t>m²</t>
        </is>
      </c>
      <c r="E464" s="23" t="n"/>
      <c r="F464" s="23" t="n"/>
      <c r="G464" s="23" t="n"/>
      <c r="H464" s="23" t="n"/>
      <c r="I464" s="23" t="n"/>
      <c r="J464" s="23" t="n"/>
    </row>
    <row r="465" ht="12" customHeight="1">
      <c r="A465" s="6" t="n"/>
      <c r="B465" s="6" t="n"/>
      <c r="C465" s="24" t="inlineStr">
        <is>
          <t>Su deposu radye çevresi 2x(4.00+3.00) = 14.00 m x 0,40</t>
        </is>
      </c>
      <c r="D465" s="6" t="n"/>
      <c r="E465" s="29" t="n">
        <v>1</v>
      </c>
      <c r="F465" s="6" t="n"/>
      <c r="G465" s="30" t="n">
        <v>14</v>
      </c>
      <c r="H465" s="30" t="n">
        <v>0.4</v>
      </c>
      <c r="I465" s="25">
        <f>E465*G465*H465</f>
        <v/>
      </c>
      <c r="J465" s="6" t="n"/>
    </row>
    <row r="466" ht="12" customHeight="1">
      <c r="A466" s="6" t="n"/>
      <c r="B466" s="6" t="n"/>
      <c r="C466" s="24" t="inlineStr">
        <is>
          <t>Su deposu perde iki yüz (13.00 m x 3.00 m)</t>
        </is>
      </c>
      <c r="D466" s="6" t="n"/>
      <c r="E466" s="29" t="n">
        <v>2</v>
      </c>
      <c r="F466" s="6" t="n"/>
      <c r="G466" s="30" t="n">
        <v>13</v>
      </c>
      <c r="H466" s="30" t="n">
        <v>3</v>
      </c>
      <c r="I466" s="25">
        <f>E466*G466*H466</f>
        <v/>
      </c>
      <c r="J466" s="6" t="n"/>
    </row>
    <row r="467" ht="12" customHeight="1">
      <c r="A467" s="6" t="n"/>
      <c r="B467" s="6" t="n"/>
      <c r="C467" s="24" t="inlineStr">
        <is>
          <t>Su deposu tavan kalıbı</t>
        </is>
      </c>
      <c r="D467" s="6" t="n"/>
      <c r="E467" s="29" t="n">
        <v>1</v>
      </c>
      <c r="F467" s="30" t="n">
        <v>3</v>
      </c>
      <c r="G467" s="30" t="n">
        <v>4</v>
      </c>
      <c r="H467" s="6" t="n"/>
      <c r="I467" s="25">
        <f>E467*F467*G467</f>
        <v/>
      </c>
      <c r="J467" s="6" t="n"/>
    </row>
    <row r="468">
      <c r="A468" s="23" t="n"/>
      <c r="B468" s="23" t="n"/>
      <c r="C468" s="26" t="inlineStr">
        <is>
          <t>M20 TOPLAMI</t>
        </is>
      </c>
      <c r="D468" s="27" t="inlineStr">
        <is>
          <t>m²</t>
        </is>
      </c>
      <c r="E468" s="23" t="n"/>
      <c r="F468" s="23" t="n"/>
      <c r="G468" s="23" t="n"/>
      <c r="H468" s="23" t="n"/>
      <c r="I468" s="23" t="n"/>
      <c r="J468" s="28">
        <f>SUM(I465:I467)</f>
        <v/>
      </c>
    </row>
    <row r="469" ht="22" customHeight="1">
      <c r="A469" s="20" t="n">
        <v>5</v>
      </c>
      <c r="B469" s="21" t="inlineStr">
        <is>
          <t>15.160.1003</t>
        </is>
      </c>
      <c r="C469" s="8" t="inlineStr">
        <is>
          <t>[M26]  Ø8-Ø12 nervürlü beton çelik çubuğu — çukur, depo, foseptik ve silo kaideleri</t>
        </is>
      </c>
      <c r="D469" s="22" t="inlineStr">
        <is>
          <t>ton</t>
        </is>
      </c>
      <c r="E469" s="23" t="n"/>
      <c r="F469" s="23" t="n"/>
      <c r="G469" s="23" t="n"/>
      <c r="H469" s="23" t="n"/>
      <c r="I469" s="23" t="n"/>
      <c r="J469" s="23" t="n"/>
    </row>
    <row r="470" ht="20" customHeight="1">
      <c r="A470" s="6" t="n"/>
      <c r="B470" s="6" t="n"/>
      <c r="C470" s="24" t="inlineStr">
        <is>
          <t>Su deposu radye ve döşeme — proje metrajı 223,70+32,90 = 256,60 kg</t>
        </is>
      </c>
      <c r="D470" s="6" t="n"/>
      <c r="E470" s="29" t="n">
        <v>1</v>
      </c>
      <c r="F470" s="6" t="n"/>
      <c r="G470" s="6" t="n"/>
      <c r="H470" s="6" t="n"/>
      <c r="I470" s="25">
        <f>E470*J470</f>
        <v/>
      </c>
      <c r="J470" s="31" t="n">
        <v>0.2566</v>
      </c>
    </row>
    <row r="471" ht="12" customHeight="1">
      <c r="A471" s="6" t="n"/>
      <c r="B471" s="6" t="n"/>
      <c r="C471" s="24" t="inlineStr">
        <is>
          <t>Su deposu perdeleri: 13.00x0,25x3.00 m³, 100 kg/m³</t>
        </is>
      </c>
      <c r="D471" s="6" t="n"/>
      <c r="E471" s="29" t="n">
        <v>1</v>
      </c>
      <c r="F471" s="30" t="n">
        <v>0.25</v>
      </c>
      <c r="G471" s="30" t="n">
        <v>13</v>
      </c>
      <c r="H471" s="30" t="n">
        <v>3</v>
      </c>
      <c r="I471" s="25">
        <f>E471*F471*G471*H471*J471</f>
        <v/>
      </c>
      <c r="J471" s="31" t="n">
        <v>0.1</v>
      </c>
    </row>
    <row r="472">
      <c r="A472" s="23" t="n"/>
      <c r="B472" s="23" t="n"/>
      <c r="C472" s="26" t="inlineStr">
        <is>
          <t>M26 TOPLAMI</t>
        </is>
      </c>
      <c r="D472" s="27" t="inlineStr">
        <is>
          <t>ton</t>
        </is>
      </c>
      <c r="E472" s="23" t="n"/>
      <c r="F472" s="23" t="n"/>
      <c r="G472" s="23" t="n"/>
      <c r="H472" s="23" t="n"/>
      <c r="I472" s="23" t="n"/>
      <c r="J472" s="28">
        <f>SUM(I470:I471)</f>
        <v/>
      </c>
    </row>
    <row r="473"/>
    <row r="474" ht="20" customHeight="1">
      <c r="A474" s="19" t="inlineStr">
        <is>
          <t>Yapı/Bina Adı: YAĞMUR SUYU DEPOSU</t>
        </is>
      </c>
    </row>
    <row r="475" ht="28" customHeight="1">
      <c r="A475" s="7" t="inlineStr">
        <is>
          <t>No</t>
        </is>
      </c>
      <c r="B475" s="7" t="inlineStr">
        <is>
          <t>Poz No</t>
        </is>
      </c>
      <c r="C475" s="7" t="inlineStr">
        <is>
          <t>Tanımı / Ölçünün Alındığı Yer</t>
        </is>
      </c>
      <c r="D475" s="7" t="inlineStr">
        <is>
          <t>Birimi</t>
        </is>
      </c>
      <c r="E475" s="7" t="inlineStr">
        <is>
          <t>Adet</t>
        </is>
      </c>
      <c r="F475" s="7" t="inlineStr">
        <is>
          <t>En (m)</t>
        </is>
      </c>
      <c r="G475" s="7" t="inlineStr">
        <is>
          <t>Boy (m)</t>
        </is>
      </c>
      <c r="H475" s="7" t="inlineStr">
        <is>
          <t>Yükseklik (m)</t>
        </is>
      </c>
      <c r="I475" s="7" t="inlineStr">
        <is>
          <t>Miktar</t>
        </is>
      </c>
      <c r="J475" s="7" t="inlineStr">
        <is>
          <t>Toplam Miktar</t>
        </is>
      </c>
    </row>
    <row r="476" ht="22" customHeight="1">
      <c r="A476" s="20" t="n">
        <v>1</v>
      </c>
      <c r="B476" s="21" t="inlineStr">
        <is>
          <t>15.120.1101</t>
        </is>
      </c>
      <c r="C476" s="8" t="inlineStr">
        <is>
          <t>[M05]  Makine ile dar ve derin sandık kazı — ölü atma çukuru, depolar, foseptik ve silo kaideleri</t>
        </is>
      </c>
      <c r="D476" s="22" t="inlineStr">
        <is>
          <t>m³</t>
        </is>
      </c>
      <c r="E476" s="23" t="n"/>
      <c r="F476" s="23" t="n"/>
      <c r="G476" s="23" t="n"/>
      <c r="H476" s="23" t="n"/>
      <c r="I476" s="23" t="n"/>
      <c r="J476" s="23" t="n"/>
    </row>
    <row r="477" ht="20" customHeight="1">
      <c r="A477" s="6" t="n"/>
      <c r="B477" s="6" t="n"/>
      <c r="C477" s="24" t="inlineStr">
        <is>
          <t>Yağmur suyu deposu: dış 3.00x3.00; 1,00 m çalışma payı -&gt; 5.00x5.00; derinlik 3.55 m</t>
        </is>
      </c>
      <c r="D477" s="6" t="n"/>
      <c r="E477" s="29" t="n">
        <v>1</v>
      </c>
      <c r="F477" s="30" t="n">
        <v>5</v>
      </c>
      <c r="G477" s="30" t="n">
        <v>5</v>
      </c>
      <c r="H477" s="30" t="n">
        <v>3.55</v>
      </c>
      <c r="I477" s="25">
        <f>E477*F477*G477*H477</f>
        <v/>
      </c>
      <c r="J477" s="6" t="n"/>
    </row>
    <row r="478">
      <c r="A478" s="23" t="n"/>
      <c r="B478" s="23" t="n"/>
      <c r="C478" s="26" t="inlineStr">
        <is>
          <t>M05 TOPLAMI</t>
        </is>
      </c>
      <c r="D478" s="27" t="inlineStr">
        <is>
          <t>m³</t>
        </is>
      </c>
      <c r="E478" s="23" t="n"/>
      <c r="F478" s="23" t="n"/>
      <c r="G478" s="23" t="n"/>
      <c r="H478" s="23" t="n"/>
      <c r="I478" s="23" t="n"/>
      <c r="J478" s="28">
        <f>SUM(I477:I477)</f>
        <v/>
      </c>
    </row>
    <row r="479" ht="22" customHeight="1">
      <c r="A479" s="20" t="n">
        <v>2</v>
      </c>
      <c r="B479" s="21" t="inlineStr">
        <is>
          <t>15.150.1003</t>
        </is>
      </c>
      <c r="C479" s="8" t="inlineStr">
        <is>
          <t>[M11]  C 16/20 hazır beton dökülmesi — çukur, depo, foseptik ve silo kaideleri altı grobeton</t>
        </is>
      </c>
      <c r="D479" s="22" t="inlineStr">
        <is>
          <t>m³</t>
        </is>
      </c>
      <c r="E479" s="23" t="n"/>
      <c r="F479" s="23" t="n"/>
      <c r="G479" s="23" t="n"/>
      <c r="H479" s="23" t="n"/>
      <c r="I479" s="23" t="n"/>
      <c r="J479" s="23" t="n"/>
    </row>
    <row r="480" ht="12" customHeight="1">
      <c r="A480" s="6" t="n"/>
      <c r="B480" s="6" t="n"/>
      <c r="C480" s="24" t="inlineStr">
        <is>
          <t>Yağmur suyu deposu (3.00x3.00 + 0,10 taşma)</t>
        </is>
      </c>
      <c r="D480" s="6" t="n"/>
      <c r="E480" s="29" t="n">
        <v>1</v>
      </c>
      <c r="F480" s="30" t="n">
        <v>3.2</v>
      </c>
      <c r="G480" s="30" t="n">
        <v>3.2</v>
      </c>
      <c r="H480" s="30" t="n">
        <v>0.1</v>
      </c>
      <c r="I480" s="25">
        <f>E480*F480*G480*H480</f>
        <v/>
      </c>
      <c r="J480" s="6" t="n"/>
    </row>
    <row r="481">
      <c r="A481" s="23" t="n"/>
      <c r="B481" s="23" t="n"/>
      <c r="C481" s="26" t="inlineStr">
        <is>
          <t>M11 TOPLAMI</t>
        </is>
      </c>
      <c r="D481" s="27" t="inlineStr">
        <is>
          <t>m³</t>
        </is>
      </c>
      <c r="E481" s="23" t="n"/>
      <c r="F481" s="23" t="n"/>
      <c r="G481" s="23" t="n"/>
      <c r="H481" s="23" t="n"/>
      <c r="I481" s="23" t="n"/>
      <c r="J481" s="28">
        <f>SUM(I480:I480)</f>
        <v/>
      </c>
    </row>
    <row r="482" ht="22" customHeight="1">
      <c r="A482" s="20" t="n">
        <v>3</v>
      </c>
      <c r="B482" s="21" t="inlineStr">
        <is>
          <t>15.150.1005</t>
        </is>
      </c>
      <c r="C482" s="8" t="inlineStr">
        <is>
          <t>[M16]  C 25/30 hazır beton dökülmesi — ölü atma çukuru, su ve yağmur suyu depoları</t>
        </is>
      </c>
      <c r="D482" s="22" t="inlineStr">
        <is>
          <t>m³</t>
        </is>
      </c>
      <c r="E482" s="23" t="n"/>
      <c r="F482" s="23" t="n"/>
      <c r="G482" s="23" t="n"/>
      <c r="H482" s="23" t="n"/>
      <c r="I482" s="23" t="n"/>
      <c r="J482" s="23" t="n"/>
    </row>
    <row r="483" ht="12" customHeight="1">
      <c r="A483" s="6" t="n"/>
      <c r="B483" s="6" t="n"/>
      <c r="C483" s="24" t="inlineStr">
        <is>
          <t>Yağmur suyu deposu radye 30 cm (dış 3.00x3.00)</t>
        </is>
      </c>
      <c r="D483" s="6" t="n"/>
      <c r="E483" s="29" t="n">
        <v>1</v>
      </c>
      <c r="F483" s="30" t="n">
        <v>3</v>
      </c>
      <c r="G483" s="30" t="n">
        <v>3</v>
      </c>
      <c r="H483" s="30" t="n">
        <v>0.3</v>
      </c>
      <c r="I483" s="25">
        <f>E483*F483*G483*H483</f>
        <v/>
      </c>
      <c r="J483" s="6" t="n"/>
    </row>
    <row r="484" ht="20" customHeight="1">
      <c r="A484" s="6" t="n"/>
      <c r="B484" s="6" t="n"/>
      <c r="C484" s="24" t="inlineStr">
        <is>
          <t>Yağmur suyu deposu perdeleri: orta çevre 2x(2.75+2.75) = 11.00 m</t>
        </is>
      </c>
      <c r="D484" s="6" t="n"/>
      <c r="E484" s="29" t="n">
        <v>1</v>
      </c>
      <c r="F484" s="30" t="n">
        <v>0.25</v>
      </c>
      <c r="G484" s="30" t="n">
        <v>11</v>
      </c>
      <c r="H484" s="30" t="n">
        <v>3</v>
      </c>
      <c r="I484" s="25">
        <f>E484*F484*G484*H484</f>
        <v/>
      </c>
      <c r="J484" s="6" t="n"/>
    </row>
    <row r="485" ht="12" customHeight="1">
      <c r="A485" s="6" t="n"/>
      <c r="B485" s="6" t="n"/>
      <c r="C485" s="24" t="inlineStr">
        <is>
          <t>Yağmur suyu deposu üst döşemesi 15 cm</t>
        </is>
      </c>
      <c r="D485" s="6" t="n"/>
      <c r="E485" s="29" t="n">
        <v>1</v>
      </c>
      <c r="F485" s="30" t="n">
        <v>3</v>
      </c>
      <c r="G485" s="30" t="n">
        <v>3</v>
      </c>
      <c r="H485" s="30" t="n">
        <v>0.15</v>
      </c>
      <c r="I485" s="25">
        <f>E485*F485*G485*H485</f>
        <v/>
      </c>
      <c r="J485" s="6" t="n"/>
    </row>
    <row r="486">
      <c r="A486" s="23" t="n"/>
      <c r="B486" s="23" t="n"/>
      <c r="C486" s="26" t="inlineStr">
        <is>
          <t>M16 TOPLAMI</t>
        </is>
      </c>
      <c r="D486" s="27" t="inlineStr">
        <is>
          <t>m³</t>
        </is>
      </c>
      <c r="E486" s="23" t="n"/>
      <c r="F486" s="23" t="n"/>
      <c r="G486" s="23" t="n"/>
      <c r="H486" s="23" t="n"/>
      <c r="I486" s="23" t="n"/>
      <c r="J486" s="28">
        <f>SUM(I483:I485)</f>
        <v/>
      </c>
    </row>
    <row r="487" ht="15" customHeight="1">
      <c r="A487" s="20" t="n">
        <v>4</v>
      </c>
      <c r="B487" s="21" t="inlineStr">
        <is>
          <t>15.180.1003</t>
        </is>
      </c>
      <c r="C487" s="8" t="inlineStr">
        <is>
          <t>[M20]  Plywood ile düz yüzeyli betonarme kalıbı — çukur ve depolar</t>
        </is>
      </c>
      <c r="D487" s="22" t="inlineStr">
        <is>
          <t>m²</t>
        </is>
      </c>
      <c r="E487" s="23" t="n"/>
      <c r="F487" s="23" t="n"/>
      <c r="G487" s="23" t="n"/>
      <c r="H487" s="23" t="n"/>
      <c r="I487" s="23" t="n"/>
      <c r="J487" s="23" t="n"/>
    </row>
    <row r="488" ht="20" customHeight="1">
      <c r="A488" s="6" t="n"/>
      <c r="B488" s="6" t="n"/>
      <c r="C488" s="24" t="inlineStr">
        <is>
          <t>Yağmur suyu deposu radye çevresi 2x(3.00+3.00) = 12.00 m x 0,40</t>
        </is>
      </c>
      <c r="D488" s="6" t="n"/>
      <c r="E488" s="29" t="n">
        <v>1</v>
      </c>
      <c r="F488" s="6" t="n"/>
      <c r="G488" s="30" t="n">
        <v>12</v>
      </c>
      <c r="H488" s="30" t="n">
        <v>0.4</v>
      </c>
      <c r="I488" s="25">
        <f>E488*G488*H488</f>
        <v/>
      </c>
      <c r="J488" s="6" t="n"/>
    </row>
    <row r="489" ht="12" customHeight="1">
      <c r="A489" s="6" t="n"/>
      <c r="B489" s="6" t="n"/>
      <c r="C489" s="24" t="inlineStr">
        <is>
          <t>Yağmur suyu deposu perde iki yüz (11.00 m x 3.00 m)</t>
        </is>
      </c>
      <c r="D489" s="6" t="n"/>
      <c r="E489" s="29" t="n">
        <v>2</v>
      </c>
      <c r="F489" s="6" t="n"/>
      <c r="G489" s="30" t="n">
        <v>11</v>
      </c>
      <c r="H489" s="30" t="n">
        <v>3</v>
      </c>
      <c r="I489" s="25">
        <f>E489*G489*H489</f>
        <v/>
      </c>
      <c r="J489" s="6" t="n"/>
    </row>
    <row r="490" ht="12" customHeight="1">
      <c r="A490" s="6" t="n"/>
      <c r="B490" s="6" t="n"/>
      <c r="C490" s="24" t="inlineStr">
        <is>
          <t>Yağmur suyu deposu tavan kalıbı</t>
        </is>
      </c>
      <c r="D490" s="6" t="n"/>
      <c r="E490" s="29" t="n">
        <v>1</v>
      </c>
      <c r="F490" s="30" t="n">
        <v>3</v>
      </c>
      <c r="G490" s="30" t="n">
        <v>3</v>
      </c>
      <c r="H490" s="6" t="n"/>
      <c r="I490" s="25">
        <f>E490*F490*G490</f>
        <v/>
      </c>
      <c r="J490" s="6" t="n"/>
    </row>
    <row r="491">
      <c r="A491" s="23" t="n"/>
      <c r="B491" s="23" t="n"/>
      <c r="C491" s="26" t="inlineStr">
        <is>
          <t>M20 TOPLAMI</t>
        </is>
      </c>
      <c r="D491" s="27" t="inlineStr">
        <is>
          <t>m²</t>
        </is>
      </c>
      <c r="E491" s="23" t="n"/>
      <c r="F491" s="23" t="n"/>
      <c r="G491" s="23" t="n"/>
      <c r="H491" s="23" t="n"/>
      <c r="I491" s="23" t="n"/>
      <c r="J491" s="28">
        <f>SUM(I488:I490)</f>
        <v/>
      </c>
    </row>
    <row r="492" ht="22" customHeight="1">
      <c r="A492" s="20" t="n">
        <v>5</v>
      </c>
      <c r="B492" s="21" t="inlineStr">
        <is>
          <t>15.160.1003</t>
        </is>
      </c>
      <c r="C492" s="8" t="inlineStr">
        <is>
          <t>[M26]  Ø8-Ø12 nervürlü beton çelik çubuğu — çukur, depo, foseptik ve silo kaideleri</t>
        </is>
      </c>
      <c r="D492" s="22" t="inlineStr">
        <is>
          <t>ton</t>
        </is>
      </c>
      <c r="E492" s="23" t="n"/>
      <c r="F492" s="23" t="n"/>
      <c r="G492" s="23" t="n"/>
      <c r="H492" s="23" t="n"/>
      <c r="I492" s="23" t="n"/>
      <c r="J492" s="23" t="n"/>
    </row>
    <row r="493" ht="12" customHeight="1">
      <c r="A493" s="6" t="n"/>
      <c r="B493" s="6" t="n"/>
      <c r="C493" s="24" t="inlineStr">
        <is>
          <t>Yağmur suyu deposu radyesi: 3.00x3.00x0,30 m³, 100 kg/m³</t>
        </is>
      </c>
      <c r="D493" s="6" t="n"/>
      <c r="E493" s="29" t="n">
        <v>1</v>
      </c>
      <c r="F493" s="30" t="n">
        <v>3</v>
      </c>
      <c r="G493" s="30" t="n">
        <v>3</v>
      </c>
      <c r="H493" s="30" t="n">
        <v>0.3</v>
      </c>
      <c r="I493" s="25">
        <f>E493*F493*G493*H493*J493</f>
        <v/>
      </c>
      <c r="J493" s="31" t="n">
        <v>0.1</v>
      </c>
    </row>
    <row r="494" ht="20" customHeight="1">
      <c r="A494" s="6" t="n"/>
      <c r="B494" s="6" t="n"/>
      <c r="C494" s="24" t="inlineStr">
        <is>
          <t>Yağmur suyu deposu perdeleri: 11.00x0,25x3.00 m³, 100 kg/m³</t>
        </is>
      </c>
      <c r="D494" s="6" t="n"/>
      <c r="E494" s="29" t="n">
        <v>1</v>
      </c>
      <c r="F494" s="30" t="n">
        <v>0.25</v>
      </c>
      <c r="G494" s="30" t="n">
        <v>11</v>
      </c>
      <c r="H494" s="30" t="n">
        <v>3</v>
      </c>
      <c r="I494" s="25">
        <f>E494*F494*G494*H494*J494</f>
        <v/>
      </c>
      <c r="J494" s="31" t="n">
        <v>0.1</v>
      </c>
    </row>
    <row r="495" ht="12" customHeight="1">
      <c r="A495" s="6" t="n"/>
      <c r="B495" s="6" t="n"/>
      <c r="C495" s="24" t="inlineStr">
        <is>
          <t>Yağmur suyu deposu döşemesi: 3.00x3.00x0,15 m³, 100 kg/m³</t>
        </is>
      </c>
      <c r="D495" s="6" t="n"/>
      <c r="E495" s="29" t="n">
        <v>1</v>
      </c>
      <c r="F495" s="30" t="n">
        <v>3</v>
      </c>
      <c r="G495" s="30" t="n">
        <v>3</v>
      </c>
      <c r="H495" s="30" t="n">
        <v>0.15</v>
      </c>
      <c r="I495" s="25">
        <f>E495*F495*G495*H495*J495</f>
        <v/>
      </c>
      <c r="J495" s="31" t="n">
        <v>0.1</v>
      </c>
    </row>
    <row r="496">
      <c r="A496" s="23" t="n"/>
      <c r="B496" s="23" t="n"/>
      <c r="C496" s="26" t="inlineStr">
        <is>
          <t>M26 TOPLAMI</t>
        </is>
      </c>
      <c r="D496" s="27" t="inlineStr">
        <is>
          <t>ton</t>
        </is>
      </c>
      <c r="E496" s="23" t="n"/>
      <c r="F496" s="23" t="n"/>
      <c r="G496" s="23" t="n"/>
      <c r="H496" s="23" t="n"/>
      <c r="I496" s="23" t="n"/>
      <c r="J496" s="28">
        <f>SUM(I493:I495)</f>
        <v/>
      </c>
    </row>
    <row r="497"/>
    <row r="498" ht="20" customHeight="1">
      <c r="A498" s="19" t="inlineStr">
        <is>
          <t>Yapı/Bina Adı: ÇEVRE DÜZENLEMESI VE SAHA ALTYAPISI</t>
        </is>
      </c>
    </row>
    <row r="499" ht="28" customHeight="1">
      <c r="A499" s="7" t="inlineStr">
        <is>
          <t>No</t>
        </is>
      </c>
      <c r="B499" s="7" t="inlineStr">
        <is>
          <t>Poz No</t>
        </is>
      </c>
      <c r="C499" s="7" t="inlineStr">
        <is>
          <t>Tanımı / Ölçünün Alındığı Yer</t>
        </is>
      </c>
      <c r="D499" s="7" t="inlineStr">
        <is>
          <t>Birimi</t>
        </is>
      </c>
      <c r="E499" s="7" t="inlineStr">
        <is>
          <t>Adet</t>
        </is>
      </c>
      <c r="F499" s="7" t="inlineStr">
        <is>
          <t>En (m)</t>
        </is>
      </c>
      <c r="G499" s="7" t="inlineStr">
        <is>
          <t>Boy (m)</t>
        </is>
      </c>
      <c r="H499" s="7" t="inlineStr">
        <is>
          <t>Yükseklik (m)</t>
        </is>
      </c>
      <c r="I499" s="7" t="inlineStr">
        <is>
          <t>Miktar</t>
        </is>
      </c>
      <c r="J499" s="7" t="inlineStr">
        <is>
          <t>Toplam Miktar</t>
        </is>
      </c>
    </row>
    <row r="500" ht="15" customHeight="1">
      <c r="A500" s="20" t="n">
        <v>1</v>
      </c>
      <c r="B500" s="21" t="inlineStr">
        <is>
          <t>15.120.1001</t>
        </is>
      </c>
      <c r="C500" s="8" t="inlineStr">
        <is>
          <t>[M02]  Makine ile kaba tesviye kazısı — tesis içi yol güzergâhı</t>
        </is>
      </c>
      <c r="D500" s="22" t="inlineStr">
        <is>
          <t>m³</t>
        </is>
      </c>
      <c r="E500" s="23" t="n"/>
      <c r="F500" s="23" t="n"/>
      <c r="G500" s="23" t="n"/>
      <c r="H500" s="23" t="n"/>
      <c r="I500" s="23" t="n"/>
      <c r="J500" s="23" t="n"/>
    </row>
    <row r="501" ht="20" customHeight="1">
      <c r="A501" s="6" t="n"/>
      <c r="B501" s="6" t="n"/>
      <c r="C501" s="24" t="inlineStr">
        <is>
          <t>Tesis içi yol güzergâhı: 745,57 m² alan, ortalama 5,00 m genişlik -&gt; 149,11 m uzunluk</t>
        </is>
      </c>
      <c r="D501" s="6" t="n"/>
      <c r="E501" s="29" t="n">
        <v>1</v>
      </c>
      <c r="F501" s="30" t="n">
        <v>5</v>
      </c>
      <c r="G501" s="30" t="n">
        <v>149.11</v>
      </c>
      <c r="H501" s="30" t="n">
        <v>0.35</v>
      </c>
      <c r="I501" s="25">
        <f>E501*F501*G501*H501</f>
        <v/>
      </c>
      <c r="J501" s="6" t="n"/>
    </row>
    <row r="502">
      <c r="A502" s="23" t="n"/>
      <c r="B502" s="23" t="n"/>
      <c r="C502" s="26" t="inlineStr">
        <is>
          <t>M02 TOPLAMI</t>
        </is>
      </c>
      <c r="D502" s="27" t="inlineStr">
        <is>
          <t>m³</t>
        </is>
      </c>
      <c r="E502" s="23" t="n"/>
      <c r="F502" s="23" t="n"/>
      <c r="G502" s="23" t="n"/>
      <c r="H502" s="23" t="n"/>
      <c r="I502" s="23" t="n"/>
      <c r="J502" s="28">
        <f>SUM(I501:I501)</f>
        <v/>
      </c>
    </row>
    <row r="503" ht="22" customHeight="1">
      <c r="A503" s="20" t="n">
        <v>2</v>
      </c>
      <c r="B503" s="21" t="inlineStr">
        <is>
          <t>TKDK-0091</t>
        </is>
      </c>
      <c r="C503" s="8" t="inlineStr">
        <is>
          <t>[M46]  1,50 m yükseklikte sıcak daldırma galvanizli tel örgü ile çit yapılması</t>
        </is>
      </c>
      <c r="D503" s="22" t="inlineStr">
        <is>
          <t>m</t>
        </is>
      </c>
      <c r="E503" s="23" t="n"/>
      <c r="F503" s="23" t="n"/>
      <c r="G503" s="23" t="n"/>
      <c r="H503" s="23" t="n"/>
      <c r="I503" s="23" t="n"/>
      <c r="J503" s="23" t="n"/>
    </row>
    <row r="504" ht="30" customHeight="1">
      <c r="A504" s="6" t="n"/>
      <c r="B504" s="6" t="n"/>
      <c r="C504" s="24" t="inlineStr">
        <is>
          <t>Parsel 7.966,67 m²; yerleşim planındaki cephe 113,04 m, buna karşılık gelen derinlik 7.966,67/113,04 = 70,48 m; çevre 2x(113,04+70,48)</t>
        </is>
      </c>
      <c r="D504" s="6" t="n"/>
      <c r="E504" s="29" t="n">
        <v>1</v>
      </c>
      <c r="F504" s="6" t="n"/>
      <c r="G504" s="30" t="n">
        <v>367.04</v>
      </c>
      <c r="H504" s="6" t="n"/>
      <c r="I504" s="25">
        <f>E504*G504</f>
        <v/>
      </c>
      <c r="J504" s="6" t="n"/>
    </row>
    <row r="505" ht="12" customHeight="1">
      <c r="A505" s="6" t="n"/>
      <c r="B505" s="6" t="n"/>
      <c r="C505" s="24" t="inlineStr">
        <is>
          <t>Giriş kapısı açıklığı düşülür</t>
        </is>
      </c>
      <c r="D505" s="6" t="n"/>
      <c r="E505" s="29" t="n">
        <v>1</v>
      </c>
      <c r="F505" s="6" t="n"/>
      <c r="G505" s="30" t="n">
        <v>6</v>
      </c>
      <c r="H505" s="6" t="n"/>
      <c r="I505" s="25">
        <f>-E505*G505</f>
        <v/>
      </c>
      <c r="J505" s="6" t="n"/>
    </row>
    <row r="506">
      <c r="A506" s="23" t="n"/>
      <c r="B506" s="23" t="n"/>
      <c r="C506" s="26" t="inlineStr">
        <is>
          <t>M46 TOPLAMI</t>
        </is>
      </c>
      <c r="D506" s="27" t="inlineStr">
        <is>
          <t>m</t>
        </is>
      </c>
      <c r="E506" s="23" t="n"/>
      <c r="F506" s="23" t="n"/>
      <c r="G506" s="23" t="n"/>
      <c r="H506" s="23" t="n"/>
      <c r="I506" s="23" t="n"/>
      <c r="J506" s="28">
        <f>SUM(I504:I505)</f>
        <v/>
      </c>
    </row>
    <row r="507" ht="22" customHeight="1">
      <c r="A507" s="20" t="n">
        <v>3</v>
      </c>
      <c r="B507" s="21" t="inlineStr">
        <is>
          <t>43.527.1001</t>
        </is>
      </c>
      <c r="C507" s="8" t="inlineStr">
        <is>
          <t>[M59]  ø150 HDPE koruge boru ile pissu hattı döşenmesi (SN 8, lastik conta ve boru bedeli dahil)</t>
        </is>
      </c>
      <c r="D507" s="22" t="inlineStr">
        <is>
          <t>m</t>
        </is>
      </c>
      <c r="E507" s="23" t="n"/>
      <c r="F507" s="23" t="n"/>
      <c r="G507" s="23" t="n"/>
      <c r="H507" s="23" t="n"/>
      <c r="I507" s="23" t="n"/>
      <c r="J507" s="23" t="n"/>
    </row>
    <row r="508" ht="12" customHeight="1">
      <c r="A508" s="6" t="n"/>
      <c r="B508" s="6" t="n"/>
      <c r="C508" s="24" t="inlineStr">
        <is>
          <t>Kümes A blok servis bölümü - foseptik</t>
        </is>
      </c>
      <c r="D508" s="6" t="n"/>
      <c r="E508" s="29" t="n">
        <v>1</v>
      </c>
      <c r="F508" s="6" t="n"/>
      <c r="G508" s="30" t="n">
        <v>25</v>
      </c>
      <c r="H508" s="6" t="n"/>
      <c r="I508" s="25">
        <f>E508*G508</f>
        <v/>
      </c>
      <c r="J508" s="6" t="n"/>
    </row>
    <row r="509" ht="12" customHeight="1">
      <c r="A509" s="6" t="n"/>
      <c r="B509" s="6" t="n"/>
      <c r="C509" s="24" t="inlineStr">
        <is>
          <t>Kümes B blok servis bölümü - foseptik</t>
        </is>
      </c>
      <c r="D509" s="6" t="n"/>
      <c r="E509" s="29" t="n">
        <v>1</v>
      </c>
      <c r="F509" s="6" t="n"/>
      <c r="G509" s="30" t="n">
        <v>25</v>
      </c>
      <c r="H509" s="6" t="n"/>
      <c r="I509" s="25">
        <f>E509*G509</f>
        <v/>
      </c>
      <c r="J509" s="6" t="n"/>
    </row>
    <row r="510">
      <c r="A510" s="23" t="n"/>
      <c r="B510" s="23" t="n"/>
      <c r="C510" s="26" t="inlineStr">
        <is>
          <t>M59 TOPLAMI</t>
        </is>
      </c>
      <c r="D510" s="27" t="inlineStr">
        <is>
          <t>m</t>
        </is>
      </c>
      <c r="E510" s="23" t="n"/>
      <c r="F510" s="23" t="n"/>
      <c r="G510" s="23" t="n"/>
      <c r="H510" s="23" t="n"/>
      <c r="I510" s="23" t="n"/>
      <c r="J510" s="28">
        <f>SUM(I508:I509)</f>
        <v/>
      </c>
    </row>
    <row r="511" ht="15" customHeight="1">
      <c r="A511" s="20" t="n">
        <v>4</v>
      </c>
      <c r="B511" s="21" t="inlineStr">
        <is>
          <t>15.150.1005</t>
        </is>
      </c>
      <c r="C511" s="8" t="inlineStr">
        <is>
          <t>[M61A]  C 25/30 hazır beton dökülmesi — betonarme rögarlar</t>
        </is>
      </c>
      <c r="D511" s="22" t="inlineStr">
        <is>
          <t>m³</t>
        </is>
      </c>
      <c r="E511" s="23" t="n"/>
      <c r="F511" s="23" t="n"/>
      <c r="G511" s="23" t="n"/>
      <c r="H511" s="23" t="n"/>
      <c r="I511" s="23" t="n"/>
      <c r="J511" s="23" t="n"/>
    </row>
    <row r="512" ht="12" customHeight="1">
      <c r="A512" s="6" t="n"/>
      <c r="B512" s="6" t="n"/>
      <c r="C512" s="24" t="inlineStr">
        <is>
          <t>Dış prizma: 0,90 x 0,90 x 0,75; 4 adet</t>
        </is>
      </c>
      <c r="D512" s="6" t="n"/>
      <c r="E512" s="29" t="n">
        <v>4</v>
      </c>
      <c r="F512" s="30" t="n">
        <v>0.9</v>
      </c>
      <c r="G512" s="30" t="n">
        <v>0.9</v>
      </c>
      <c r="H512" s="30" t="n">
        <v>0.75</v>
      </c>
      <c r="I512" s="25">
        <f>E512*F512*G512*H512</f>
        <v/>
      </c>
      <c r="J512" s="6" t="n"/>
    </row>
    <row r="513" ht="12" customHeight="1">
      <c r="A513" s="6" t="n"/>
      <c r="B513" s="6" t="n"/>
      <c r="C513" s="24" t="inlineStr">
        <is>
          <t>Net iç hacim düşülür: 0,60 x 0,60 x 0,60; 4 adet</t>
        </is>
      </c>
      <c r="D513" s="6" t="n"/>
      <c r="E513" s="29" t="n">
        <v>4</v>
      </c>
      <c r="F513" s="30" t="n">
        <v>0.6</v>
      </c>
      <c r="G513" s="30" t="n">
        <v>0.6</v>
      </c>
      <c r="H513" s="30" t="n">
        <v>0.6</v>
      </c>
      <c r="I513" s="25">
        <f>-E513*F513*G513*H513</f>
        <v/>
      </c>
      <c r="J513" s="6" t="n"/>
    </row>
    <row r="514">
      <c r="A514" s="23" t="n"/>
      <c r="B514" s="23" t="n"/>
      <c r="C514" s="26" t="inlineStr">
        <is>
          <t>M61A TOPLAMI</t>
        </is>
      </c>
      <c r="D514" s="27" t="inlineStr">
        <is>
          <t>m³</t>
        </is>
      </c>
      <c r="E514" s="23" t="n"/>
      <c r="F514" s="23" t="n"/>
      <c r="G514" s="23" t="n"/>
      <c r="H514" s="23" t="n"/>
      <c r="I514" s="23" t="n"/>
      <c r="J514" s="28">
        <f>SUM(I512:I513)</f>
        <v/>
      </c>
    </row>
    <row r="515" ht="22" customHeight="1">
      <c r="A515" s="20" t="n">
        <v>5</v>
      </c>
      <c r="B515" s="21" t="inlineStr">
        <is>
          <t>15.180.1003</t>
        </is>
      </c>
      <c r="C515" s="8" t="inlineStr">
        <is>
          <t>[M61B]  Düz yüzeyli beton ve betonarme kalıbı yapılması — betonarme rögarlar</t>
        </is>
      </c>
      <c r="D515" s="22" t="inlineStr">
        <is>
          <t>m²</t>
        </is>
      </c>
      <c r="E515" s="23" t="n"/>
      <c r="F515" s="23" t="n"/>
      <c r="G515" s="23" t="n"/>
      <c r="H515" s="23" t="n"/>
      <c r="I515" s="23" t="n"/>
      <c r="J515" s="23" t="n"/>
    </row>
    <row r="516" ht="12" customHeight="1">
      <c r="A516" s="6" t="n"/>
      <c r="B516" s="6" t="n"/>
      <c r="C516" s="24" t="inlineStr">
        <is>
          <t>İç yüzler: 4 yüz x 0,60 x 0,60; 4 adet</t>
        </is>
      </c>
      <c r="D516" s="6" t="n"/>
      <c r="E516" s="29" t="n">
        <v>4</v>
      </c>
      <c r="F516" s="30" t="n">
        <v>0.6</v>
      </c>
      <c r="G516" s="30" t="n">
        <v>4</v>
      </c>
      <c r="H516" s="30" t="n">
        <v>0.6</v>
      </c>
      <c r="I516" s="25">
        <f>E516*F516*G516*H516</f>
        <v/>
      </c>
      <c r="J516" s="6" t="n"/>
    </row>
    <row r="517" ht="12" customHeight="1">
      <c r="A517" s="6" t="n"/>
      <c r="B517" s="6" t="n"/>
      <c r="C517" s="24" t="inlineStr">
        <is>
          <t>Dış yüzler: 4 yüz x 0,90 x 0,60; 4 adet</t>
        </is>
      </c>
      <c r="D517" s="6" t="n"/>
      <c r="E517" s="29" t="n">
        <v>4</v>
      </c>
      <c r="F517" s="30" t="n">
        <v>0.9</v>
      </c>
      <c r="G517" s="30" t="n">
        <v>4</v>
      </c>
      <c r="H517" s="30" t="n">
        <v>0.6</v>
      </c>
      <c r="I517" s="25">
        <f>E517*F517*G517*H517</f>
        <v/>
      </c>
      <c r="J517" s="6" t="n"/>
    </row>
    <row r="518">
      <c r="A518" s="23" t="n"/>
      <c r="B518" s="23" t="n"/>
      <c r="C518" s="26" t="inlineStr">
        <is>
          <t>M61B TOPLAMI</t>
        </is>
      </c>
      <c r="D518" s="27" t="inlineStr">
        <is>
          <t>m²</t>
        </is>
      </c>
      <c r="E518" s="23" t="n"/>
      <c r="F518" s="23" t="n"/>
      <c r="G518" s="23" t="n"/>
      <c r="H518" s="23" t="n"/>
      <c r="I518" s="23" t="n"/>
      <c r="J518" s="28">
        <f>SUM(I516:I517)</f>
        <v/>
      </c>
    </row>
    <row r="519" ht="15" customHeight="1">
      <c r="A519" s="20" t="n">
        <v>6</v>
      </c>
      <c r="B519" s="21" t="inlineStr">
        <is>
          <t>15.160.1003</t>
        </is>
      </c>
      <c r="C519" s="8" t="inlineStr">
        <is>
          <t>[M61C]  Nervürlü betonarme çeliği ø8-ø12 — betonarme rögarlar</t>
        </is>
      </c>
      <c r="D519" s="22" t="inlineStr">
        <is>
          <t>ton</t>
        </is>
      </c>
      <c r="E519" s="23" t="n"/>
      <c r="F519" s="23" t="n"/>
      <c r="G519" s="23" t="n"/>
      <c r="H519" s="23" t="n"/>
      <c r="I519" s="23" t="n"/>
      <c r="J519" s="23" t="n"/>
    </row>
    <row r="520" ht="20" customHeight="1">
      <c r="A520" s="6" t="n"/>
      <c r="B520" s="6" t="n"/>
      <c r="C520" s="24" t="inlineStr">
        <is>
          <t>Beton hacmi 1,566 m³, ortalama donatı oranı 90 kg/m³ -&gt; 140,94 kg = 0,141 ton</t>
        </is>
      </c>
      <c r="D520" s="6" t="n"/>
      <c r="E520" s="29" t="n">
        <v>1</v>
      </c>
      <c r="F520" s="6" t="n"/>
      <c r="G520" s="30" t="n">
        <v>1.566</v>
      </c>
      <c r="H520" s="6" t="n"/>
      <c r="I520" s="25">
        <f>E520*G520*J520</f>
        <v/>
      </c>
      <c r="J520" s="31" t="n">
        <v>0.09</v>
      </c>
    </row>
    <row r="521">
      <c r="A521" s="23" t="n"/>
      <c r="B521" s="23" t="n"/>
      <c r="C521" s="26" t="inlineStr">
        <is>
          <t>M61C TOPLAMI</t>
        </is>
      </c>
      <c r="D521" s="27" t="inlineStr">
        <is>
          <t>ton</t>
        </is>
      </c>
      <c r="E521" s="23" t="n"/>
      <c r="F521" s="23" t="n"/>
      <c r="G521" s="23" t="n"/>
      <c r="H521" s="23" t="n"/>
      <c r="I521" s="23" t="n"/>
      <c r="J521" s="28">
        <f>SUM(I520:I520)</f>
        <v/>
      </c>
    </row>
    <row r="522" ht="15" customHeight="1">
      <c r="A522" s="20" t="n">
        <v>7</v>
      </c>
      <c r="B522" s="21" t="inlineStr">
        <is>
          <t>15.560.1003</t>
        </is>
      </c>
      <c r="C522" s="8" t="inlineStr">
        <is>
          <t>[M61D]  Betonarme kompozit rögar kapağı temini ve yerine konulması</t>
        </is>
      </c>
      <c r="D522" s="22" t="inlineStr">
        <is>
          <t>ad</t>
        </is>
      </c>
      <c r="E522" s="23" t="n"/>
      <c r="F522" s="23" t="n"/>
      <c r="G522" s="23" t="n"/>
      <c r="H522" s="23" t="n"/>
      <c r="I522" s="23" t="n"/>
      <c r="J522" s="23" t="n"/>
    </row>
    <row r="523" ht="12" customHeight="1">
      <c r="A523" s="6" t="n"/>
      <c r="B523" s="6" t="n"/>
      <c r="C523" s="24" t="inlineStr">
        <is>
          <t>Pissu hattında 4 adet</t>
        </is>
      </c>
      <c r="D523" s="6" t="n"/>
      <c r="E523" s="29" t="n">
        <v>4</v>
      </c>
      <c r="F523" s="6" t="n"/>
      <c r="G523" s="6" t="n"/>
      <c r="H523" s="6" t="n"/>
      <c r="I523" s="25">
        <f>E523</f>
        <v/>
      </c>
      <c r="J523" s="6" t="n"/>
    </row>
    <row r="524">
      <c r="A524" s="23" t="n"/>
      <c r="B524" s="23" t="n"/>
      <c r="C524" s="26" t="inlineStr">
        <is>
          <t>M61D TOPLAMI</t>
        </is>
      </c>
      <c r="D524" s="27" t="inlineStr">
        <is>
          <t>ad</t>
        </is>
      </c>
      <c r="E524" s="23" t="n"/>
      <c r="F524" s="23" t="n"/>
      <c r="G524" s="23" t="n"/>
      <c r="H524" s="23" t="n"/>
      <c r="I524" s="23" t="n"/>
      <c r="J524" s="28">
        <f>SUM(I523:I523)</f>
        <v/>
      </c>
    </row>
    <row r="525" ht="22" customHeight="1">
      <c r="A525" s="20" t="n">
        <v>8</v>
      </c>
      <c r="B525" s="21" t="inlineStr">
        <is>
          <t>30.100.1104</t>
        </is>
      </c>
      <c r="C525" s="8" t="inlineStr">
        <is>
          <t>[M63]  Ana dağıtım panosu (dikili tip galvanizli sac, en az 700 mm en, 400 mm derinlik)</t>
        </is>
      </c>
      <c r="D525" s="22" t="inlineStr">
        <is>
          <t>ad</t>
        </is>
      </c>
      <c r="E525" s="23" t="n"/>
      <c r="F525" s="23" t="n"/>
      <c r="G525" s="23" t="n"/>
      <c r="H525" s="23" t="n"/>
      <c r="I525" s="23" t="n"/>
      <c r="J525" s="23" t="n"/>
    </row>
    <row r="526" ht="12" customHeight="1">
      <c r="A526" s="6" t="n"/>
      <c r="B526" s="6" t="n"/>
      <c r="C526" s="24" t="inlineStr">
        <is>
          <t>Tesis girişinde 1 adet</t>
        </is>
      </c>
      <c r="D526" s="6" t="n"/>
      <c r="E526" s="29" t="n">
        <v>1</v>
      </c>
      <c r="F526" s="6" t="n"/>
      <c r="G526" s="6" t="n"/>
      <c r="H526" s="6" t="n"/>
      <c r="I526" s="25">
        <f>E526*J526</f>
        <v/>
      </c>
      <c r="J526" s="31" t="n">
        <v>1</v>
      </c>
    </row>
    <row r="527">
      <c r="A527" s="23" t="n"/>
      <c r="B527" s="23" t="n"/>
      <c r="C527" s="26" t="inlineStr">
        <is>
          <t>M63 TOPLAMI</t>
        </is>
      </c>
      <c r="D527" s="27" t="inlineStr">
        <is>
          <t>ad</t>
        </is>
      </c>
      <c r="E527" s="23" t="n"/>
      <c r="F527" s="23" t="n"/>
      <c r="G527" s="23" t="n"/>
      <c r="H527" s="23" t="n"/>
      <c r="I527" s="23" t="n"/>
      <c r="J527" s="28">
        <f>SUM(I526:I526)</f>
        <v/>
      </c>
    </row>
    <row r="528" ht="15" customHeight="1">
      <c r="A528" s="20" t="n">
        <v>9</v>
      </c>
      <c r="B528" s="21" t="inlineStr">
        <is>
          <t>30.100.2106</t>
        </is>
      </c>
      <c r="C528" s="8" t="inlineStr">
        <is>
          <t>[M64]  Sayaç panosu (sıva üstü galvanizli sac tablo, 0,50-0,60 m²)</t>
        </is>
      </c>
      <c r="D528" s="22" t="inlineStr">
        <is>
          <t>ad</t>
        </is>
      </c>
      <c r="E528" s="23" t="n"/>
      <c r="F528" s="23" t="n"/>
      <c r="G528" s="23" t="n"/>
      <c r="H528" s="23" t="n"/>
      <c r="I528" s="23" t="n"/>
      <c r="J528" s="23" t="n"/>
    </row>
    <row r="529" ht="12" customHeight="1">
      <c r="A529" s="6" t="n"/>
      <c r="B529" s="6" t="n"/>
      <c r="C529" s="24" t="inlineStr">
        <is>
          <t>Tesis girişinde 1 adet</t>
        </is>
      </c>
      <c r="D529" s="6" t="n"/>
      <c r="E529" s="29" t="n">
        <v>1</v>
      </c>
      <c r="F529" s="6" t="n"/>
      <c r="G529" s="6" t="n"/>
      <c r="H529" s="6" t="n"/>
      <c r="I529" s="25">
        <f>E529*J529</f>
        <v/>
      </c>
      <c r="J529" s="31" t="n">
        <v>1</v>
      </c>
    </row>
    <row r="530">
      <c r="A530" s="23" t="n"/>
      <c r="B530" s="23" t="n"/>
      <c r="C530" s="26" t="inlineStr">
        <is>
          <t>M64 TOPLAMI</t>
        </is>
      </c>
      <c r="D530" s="27" t="inlineStr">
        <is>
          <t>ad</t>
        </is>
      </c>
      <c r="E530" s="23" t="n"/>
      <c r="F530" s="23" t="n"/>
      <c r="G530" s="23" t="n"/>
      <c r="H530" s="23" t="n"/>
      <c r="I530" s="23" t="n"/>
      <c r="J530" s="28">
        <f>SUM(I529:I529)</f>
        <v/>
      </c>
    </row>
    <row r="531" ht="22" customHeight="1">
      <c r="A531" s="20" t="n">
        <v>10</v>
      </c>
      <c r="B531" s="21" t="inlineStr">
        <is>
          <t>30.135.3201</t>
        </is>
      </c>
      <c r="C531" s="8" t="inlineStr">
        <is>
          <t>[M65]  Üç fazlı zaman tarifeli elektronik aktif sayaç, en az 5(100) A, 3x230/400 V</t>
        </is>
      </c>
      <c r="D531" s="22" t="inlineStr">
        <is>
          <t>ad</t>
        </is>
      </c>
      <c r="E531" s="23" t="n"/>
      <c r="F531" s="23" t="n"/>
      <c r="G531" s="23" t="n"/>
      <c r="H531" s="23" t="n"/>
      <c r="I531" s="23" t="n"/>
      <c r="J531" s="23" t="n"/>
    </row>
    <row r="532" ht="12" customHeight="1">
      <c r="A532" s="6" t="n"/>
      <c r="B532" s="6" t="n"/>
      <c r="C532" s="24" t="inlineStr">
        <is>
          <t>Sayaç panosu içinde 1 adet</t>
        </is>
      </c>
      <c r="D532" s="6" t="n"/>
      <c r="E532" s="29" t="n">
        <v>1</v>
      </c>
      <c r="F532" s="6" t="n"/>
      <c r="G532" s="6" t="n"/>
      <c r="H532" s="6" t="n"/>
      <c r="I532" s="25">
        <f>E532*J532</f>
        <v/>
      </c>
      <c r="J532" s="31" t="n">
        <v>1</v>
      </c>
    </row>
    <row r="533">
      <c r="A533" s="23" t="n"/>
      <c r="B533" s="23" t="n"/>
      <c r="C533" s="26" t="inlineStr">
        <is>
          <t>M65 TOPLAMI</t>
        </is>
      </c>
      <c r="D533" s="27" t="inlineStr">
        <is>
          <t>ad</t>
        </is>
      </c>
      <c r="E533" s="23" t="n"/>
      <c r="F533" s="23" t="n"/>
      <c r="G533" s="23" t="n"/>
      <c r="H533" s="23" t="n"/>
      <c r="I533" s="23" t="n"/>
      <c r="J533" s="28">
        <f>SUM(I532:I532)</f>
        <v/>
      </c>
    </row>
    <row r="534" ht="22" customHeight="1">
      <c r="A534" s="20" t="n">
        <v>11</v>
      </c>
      <c r="B534" s="21" t="inlineStr">
        <is>
          <t>30.110.1104</t>
        </is>
      </c>
      <c r="C534" s="8" t="inlineStr">
        <is>
          <t>[M66]  Termik-manyetik kompakt şalter 3x160 A, Icu 35 kA — ana giriş</t>
        </is>
      </c>
      <c r="D534" s="22" t="inlineStr">
        <is>
          <t>ad</t>
        </is>
      </c>
      <c r="E534" s="23" t="n"/>
      <c r="F534" s="23" t="n"/>
      <c r="G534" s="23" t="n"/>
      <c r="H534" s="23" t="n"/>
      <c r="I534" s="23" t="n"/>
      <c r="J534" s="23" t="n"/>
    </row>
    <row r="535" ht="12" customHeight="1">
      <c r="A535" s="6" t="n"/>
      <c r="B535" s="6" t="n"/>
      <c r="C535" s="24" t="inlineStr">
        <is>
          <t>Ana dağıtım panosu girişi</t>
        </is>
      </c>
      <c r="D535" s="6" t="n"/>
      <c r="E535" s="29" t="n">
        <v>1</v>
      </c>
      <c r="F535" s="6" t="n"/>
      <c r="G535" s="6" t="n"/>
      <c r="H535" s="6" t="n"/>
      <c r="I535" s="25">
        <f>E535*J535</f>
        <v/>
      </c>
      <c r="J535" s="31" t="n">
        <v>1</v>
      </c>
    </row>
    <row r="536">
      <c r="A536" s="23" t="n"/>
      <c r="B536" s="23" t="n"/>
      <c r="C536" s="26" t="inlineStr">
        <is>
          <t>M66 TOPLAMI</t>
        </is>
      </c>
      <c r="D536" s="27" t="inlineStr">
        <is>
          <t>ad</t>
        </is>
      </c>
      <c r="E536" s="23" t="n"/>
      <c r="F536" s="23" t="n"/>
      <c r="G536" s="23" t="n"/>
      <c r="H536" s="23" t="n"/>
      <c r="I536" s="23" t="n"/>
      <c r="J536" s="28">
        <f>SUM(I535:I535)</f>
        <v/>
      </c>
    </row>
    <row r="537" ht="15" customHeight="1">
      <c r="A537" s="20" t="n">
        <v>12</v>
      </c>
      <c r="B537" s="21" t="inlineStr">
        <is>
          <t>30.115.1003</t>
        </is>
      </c>
      <c r="C537" s="8" t="inlineStr">
        <is>
          <t>[M69]  Kaçak akım koruma şalteri 2x63 A, 30 mA</t>
        </is>
      </c>
      <c r="D537" s="22" t="inlineStr">
        <is>
          <t>ad</t>
        </is>
      </c>
      <c r="E537" s="23" t="n"/>
      <c r="F537" s="23" t="n"/>
      <c r="G537" s="23" t="n"/>
      <c r="H537" s="23" t="n"/>
      <c r="I537" s="23" t="n"/>
      <c r="J537" s="23" t="n"/>
    </row>
    <row r="538" ht="12" customHeight="1">
      <c r="A538" s="6" t="n"/>
      <c r="B538" s="6" t="n"/>
      <c r="C538" s="24" t="inlineStr">
        <is>
          <t>Ana pano ve sayaç panosunda</t>
        </is>
      </c>
      <c r="D538" s="6" t="n"/>
      <c r="E538" s="29" t="n">
        <v>1</v>
      </c>
      <c r="F538" s="6" t="n"/>
      <c r="G538" s="6" t="n"/>
      <c r="H538" s="6" t="n"/>
      <c r="I538" s="25">
        <f>E538*J538</f>
        <v/>
      </c>
      <c r="J538" s="31" t="n">
        <v>2</v>
      </c>
    </row>
    <row r="539">
      <c r="A539" s="23" t="n"/>
      <c r="B539" s="23" t="n"/>
      <c r="C539" s="26" t="inlineStr">
        <is>
          <t>M69 TOPLAMI</t>
        </is>
      </c>
      <c r="D539" s="27" t="inlineStr">
        <is>
          <t>ad</t>
        </is>
      </c>
      <c r="E539" s="23" t="n"/>
      <c r="F539" s="23" t="n"/>
      <c r="G539" s="23" t="n"/>
      <c r="H539" s="23" t="n"/>
      <c r="I539" s="23" t="n"/>
      <c r="J539" s="28">
        <f>SUM(I538:I538)</f>
        <v/>
      </c>
    </row>
    <row r="540" ht="22" customHeight="1">
      <c r="A540" s="20" t="n">
        <v>13</v>
      </c>
      <c r="B540" s="21" t="inlineStr">
        <is>
          <t>30.140.3105</t>
        </is>
      </c>
      <c r="C540" s="8" t="inlineStr">
        <is>
          <t>[M70]  YVV (NYY) 1 kV yeraltı kablosu ile besleme hattı tesisi — 1x35 mm²</t>
        </is>
      </c>
      <c r="D540" s="22" t="inlineStr">
        <is>
          <t>m</t>
        </is>
      </c>
      <c r="E540" s="23" t="n"/>
      <c r="F540" s="23" t="n"/>
      <c r="G540" s="23" t="n"/>
      <c r="H540" s="23" t="n"/>
      <c r="I540" s="23" t="n"/>
      <c r="J540" s="23" t="n"/>
    </row>
    <row r="541" ht="12" customHeight="1">
      <c r="A541" s="6" t="n"/>
      <c r="B541" s="6" t="n"/>
      <c r="C541" s="24" t="inlineStr">
        <is>
          <t>Şebeke bağlantı noktası - ana dağıtım panosu</t>
        </is>
      </c>
      <c r="D541" s="6" t="n"/>
      <c r="E541" s="29" t="n">
        <v>1</v>
      </c>
      <c r="F541" s="6" t="n"/>
      <c r="G541" s="6" t="n"/>
      <c r="H541" s="6" t="n"/>
      <c r="I541" s="25">
        <f>E541*J541</f>
        <v/>
      </c>
      <c r="J541" s="31" t="n">
        <v>50</v>
      </c>
    </row>
    <row r="542">
      <c r="A542" s="23" t="n"/>
      <c r="B542" s="23" t="n"/>
      <c r="C542" s="26" t="inlineStr">
        <is>
          <t>M70 TOPLAMI</t>
        </is>
      </c>
      <c r="D542" s="27" t="inlineStr">
        <is>
          <t>m</t>
        </is>
      </c>
      <c r="E542" s="23" t="n"/>
      <c r="F542" s="23" t="n"/>
      <c r="G542" s="23" t="n"/>
      <c r="H542" s="23" t="n"/>
      <c r="I542" s="23" t="n"/>
      <c r="J542" s="28">
        <f>SUM(I541:I541)</f>
        <v/>
      </c>
    </row>
    <row r="543" ht="22" customHeight="1">
      <c r="A543" s="20" t="n">
        <v>14</v>
      </c>
      <c r="B543" s="21" t="inlineStr">
        <is>
          <t>30.140.3101</t>
        </is>
      </c>
      <c r="C543" s="8" t="inlineStr">
        <is>
          <t>[M72]  YVV (NYY) 1 kV yeraltı kablosu ile besleme hattı tesisi — 1x6 mm²</t>
        </is>
      </c>
      <c r="D543" s="22" t="inlineStr">
        <is>
          <t>m</t>
        </is>
      </c>
      <c r="E543" s="23" t="n"/>
      <c r="F543" s="23" t="n"/>
      <c r="G543" s="23" t="n"/>
      <c r="H543" s="23" t="n"/>
      <c r="I543" s="23" t="n"/>
      <c r="J543" s="23" t="n"/>
    </row>
    <row r="544" ht="12" customHeight="1">
      <c r="A544" s="6" t="n"/>
      <c r="B544" s="6" t="n"/>
      <c r="C544" s="24" t="inlineStr">
        <is>
          <t>Saha aydınlatma direkleri besleme hattı</t>
        </is>
      </c>
      <c r="D544" s="6" t="n"/>
      <c r="E544" s="29" t="n">
        <v>1</v>
      </c>
      <c r="F544" s="6" t="n"/>
      <c r="G544" s="6" t="n"/>
      <c r="H544" s="6" t="n"/>
      <c r="I544" s="25">
        <f>E544*J544</f>
        <v/>
      </c>
      <c r="J544" s="31" t="n">
        <v>50</v>
      </c>
    </row>
    <row r="545">
      <c r="A545" s="23" t="n"/>
      <c r="B545" s="23" t="n"/>
      <c r="C545" s="26" t="inlineStr">
        <is>
          <t>M72 TOPLAMI</t>
        </is>
      </c>
      <c r="D545" s="27" t="inlineStr">
        <is>
          <t>m</t>
        </is>
      </c>
      <c r="E545" s="23" t="n"/>
      <c r="F545" s="23" t="n"/>
      <c r="G545" s="23" t="n"/>
      <c r="H545" s="23" t="n"/>
      <c r="I545" s="23" t="n"/>
      <c r="J545" s="28">
        <f>SUM(I544:I544)</f>
        <v/>
      </c>
    </row>
    <row r="546" ht="22" customHeight="1">
      <c r="A546" s="20" t="n">
        <v>15</v>
      </c>
      <c r="B546" s="21" t="inlineStr">
        <is>
          <t>30.172.1706</t>
        </is>
      </c>
      <c r="C546" s="8" t="inlineStr">
        <is>
          <t>[M82]  Aydınlatma direği — taban çapı en az 80 mm, yükseklik en az 4,00 m</t>
        </is>
      </c>
      <c r="D546" s="22" t="inlineStr">
        <is>
          <t>ad</t>
        </is>
      </c>
      <c r="E546" s="23" t="n"/>
      <c r="F546" s="23" t="n"/>
      <c r="G546" s="23" t="n"/>
      <c r="H546" s="23" t="n"/>
      <c r="I546" s="23" t="n"/>
      <c r="J546" s="23" t="n"/>
    </row>
    <row r="547" ht="12" customHeight="1">
      <c r="A547" s="6" t="n"/>
      <c r="B547" s="6" t="n"/>
      <c r="C547" s="24" t="inlineStr">
        <is>
          <t>Tesis içi yol ve saha aydınlatması</t>
        </is>
      </c>
      <c r="D547" s="6" t="n"/>
      <c r="E547" s="29" t="n">
        <v>1</v>
      </c>
      <c r="F547" s="6" t="n"/>
      <c r="G547" s="6" t="n"/>
      <c r="H547" s="6" t="n"/>
      <c r="I547" s="25">
        <f>E547*J547</f>
        <v/>
      </c>
      <c r="J547" s="31" t="n">
        <v>4</v>
      </c>
    </row>
    <row r="548">
      <c r="A548" s="23" t="n"/>
      <c r="B548" s="23" t="n"/>
      <c r="C548" s="26" t="inlineStr">
        <is>
          <t>M82 TOPLAMI</t>
        </is>
      </c>
      <c r="D548" s="27" t="inlineStr">
        <is>
          <t>ad</t>
        </is>
      </c>
      <c r="E548" s="23" t="n"/>
      <c r="F548" s="23" t="n"/>
      <c r="G548" s="23" t="n"/>
      <c r="H548" s="23" t="n"/>
      <c r="I548" s="23" t="n"/>
      <c r="J548" s="28">
        <f>SUM(I547:I547)</f>
        <v/>
      </c>
    </row>
    <row r="549" ht="15" customHeight="1">
      <c r="A549" s="20" t="n">
        <v>16</v>
      </c>
      <c r="B549" s="21" t="inlineStr">
        <is>
          <t>30.170.4002</t>
        </is>
      </c>
      <c r="C549" s="8" t="inlineStr">
        <is>
          <t>[M83]  LED projektör, ışık akısı en az 5100 lm</t>
        </is>
      </c>
      <c r="D549" s="22" t="inlineStr">
        <is>
          <t>ad</t>
        </is>
      </c>
      <c r="E549" s="23" t="n"/>
      <c r="F549" s="23" t="n"/>
      <c r="G549" s="23" t="n"/>
      <c r="H549" s="23" t="n"/>
      <c r="I549" s="23" t="n"/>
      <c r="J549" s="23" t="n"/>
    </row>
    <row r="550" ht="12" customHeight="1">
      <c r="A550" s="6" t="n"/>
      <c r="B550" s="6" t="n"/>
      <c r="C550" s="24" t="inlineStr">
        <is>
          <t>Aydınlatma direği başına 1 adet</t>
        </is>
      </c>
      <c r="D550" s="6" t="n"/>
      <c r="E550" s="29" t="n">
        <v>1</v>
      </c>
      <c r="F550" s="6" t="n"/>
      <c r="G550" s="6" t="n"/>
      <c r="H550" s="6" t="n"/>
      <c r="I550" s="25">
        <f>E550*J550</f>
        <v/>
      </c>
      <c r="J550" s="31" t="n">
        <v>4</v>
      </c>
    </row>
    <row r="551">
      <c r="A551" s="23" t="n"/>
      <c r="B551" s="23" t="n"/>
      <c r="C551" s="26" t="inlineStr">
        <is>
          <t>M83 TOPLAMI</t>
        </is>
      </c>
      <c r="D551" s="27" t="inlineStr">
        <is>
          <t>ad</t>
        </is>
      </c>
      <c r="E551" s="23" t="n"/>
      <c r="F551" s="23" t="n"/>
      <c r="G551" s="23" t="n"/>
      <c r="H551" s="23" t="n"/>
      <c r="I551" s="23" t="n"/>
      <c r="J551" s="28">
        <f>SUM(I550:I550)</f>
        <v/>
      </c>
    </row>
    <row r="552"/>
    <row r="553">
      <c r="A553" s="17" t="inlineStr">
        <is>
          <t>AÇIKLAMALAR</t>
        </is>
      </c>
      <c r="B553" s="6" t="n"/>
      <c r="C553" s="6" t="n"/>
      <c r="D553" s="6" t="n"/>
      <c r="E553" s="6" t="n"/>
      <c r="F553" s="6" t="n"/>
      <c r="G553" s="6" t="n"/>
      <c r="H553" s="6" t="n"/>
      <c r="I553" s="6" t="n"/>
      <c r="J553" s="6" t="n"/>
    </row>
    <row r="554" ht="13" customHeight="1">
      <c r="A554" s="18" t="inlineStr">
        <is>
          <t>•  Miktar sütunundaki her formül yalnızca o satırdaki ölçü hücrelerini çarpar; hiçbir sayı formülün içine gömülmemiştir.</t>
        </is>
      </c>
    </row>
    <row r="555" ht="13" customHeight="1">
      <c r="A555" s="18" t="inlineStr">
        <is>
          <t>•  Son sütundaki katsayı, birim ağırlık (kg/m², kg/m³, ton/m²), bindirme payı, üçgen alan çarpanı (0,50) veya adet çarpanıdır.</t>
        </is>
      </c>
    </row>
    <row r="556" ht="22" customHeight="1">
      <c r="A556" s="18" t="inlineStr">
        <is>
          <t>•  Ölçüler mimari ve betonarme paftalardan alınmıştır; kümes temellerinin beton, kalıp ve donatı miktarları doğrudan betonarme paftasındaki METRAJ tablosundandır.</t>
        </is>
      </c>
    </row>
    <row r="557" ht="13" customHeight="1">
      <c r="A557" s="18" t="inlineStr">
        <is>
          <t>•  (-) işaretli satırlar minha edilen (düşülen) miktarlardır.</t>
        </is>
      </c>
    </row>
  </sheetData>
  <mergeCells count="17">
    <mergeCell ref="A553:J553"/>
    <mergeCell ref="A1:J1"/>
    <mergeCell ref="A5:J5"/>
    <mergeCell ref="A557:J557"/>
    <mergeCell ref="A409:J409"/>
    <mergeCell ref="A433:J433"/>
    <mergeCell ref="A3:J3"/>
    <mergeCell ref="A386:J386"/>
    <mergeCell ref="A474:J474"/>
    <mergeCell ref="A556:J556"/>
    <mergeCell ref="A180:J180"/>
    <mergeCell ref="A355:J355"/>
    <mergeCell ref="A2:J2"/>
    <mergeCell ref="A451:J451"/>
    <mergeCell ref="A555:J555"/>
    <mergeCell ref="A498:J498"/>
    <mergeCell ref="A554:J554"/>
  </mergeCells>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K119"/>
  <sheetViews>
    <sheetView showGridLines="0" workbookViewId="0">
      <pane ySplit="4" topLeftCell="A5" activePane="bottomLeft" state="frozen"/>
      <selection pane="bottomLeft" activeCell="A1" sqref="A1"/>
    </sheetView>
  </sheetViews>
  <sheetFormatPr baseColWidth="8" defaultRowHeight="15"/>
  <cols>
    <col width="14" customWidth="1" min="1" max="1"/>
    <col width="58" customWidth="1" min="2" max="2"/>
    <col width="7" customWidth="1" min="3" max="3"/>
    <col width="8" customWidth="1" min="4" max="4"/>
    <col width="9" customWidth="1" min="5" max="5"/>
    <col width="10" customWidth="1" min="6" max="6"/>
    <col width="10" customWidth="1" min="7" max="7"/>
    <col width="18" customWidth="1" min="8" max="8"/>
    <col width="12" customWidth="1" min="9" max="9"/>
    <col width="13" customWidth="1" min="10" max="10"/>
    <col width="13" customWidth="1" min="11" max="11"/>
  </cols>
  <sheetData>
    <row r="1" ht="26" customHeight="1">
      <c r="A1" s="1" t="inlineStr">
        <is>
          <t>AĞIRLIK CİNSİNDEN FİYATLANDIRILAN POZLAR İÇİN METRAJ CETVELİ</t>
        </is>
      </c>
    </row>
    <row r="2">
      <c r="A2" s="2" t="inlineStr">
        <is>
          <t>MUSAB EDER ÇİFTLİĞİ KANATLI (ETLİK PİLİÇ) KÜMESİ — Kocaeli İli Karamürsel İlçesi İnebeyli Mahallesi 138 ada 17 parsel (7.966,67 m²)</t>
        </is>
      </c>
    </row>
    <row r="3">
      <c r="A3" s="3" t="inlineStr">
        <is>
          <t>Toplam Ağırlık = Benzer x Adet x Boy x (En) x Birim Ağırlık</t>
        </is>
      </c>
    </row>
    <row r="4"/>
    <row r="5" ht="20" customHeight="1">
      <c r="A5" s="19" t="inlineStr">
        <is>
          <t>Yapı/Bina Adı: KÜMES A BLOK</t>
        </is>
      </c>
    </row>
    <row r="6" ht="28" customHeight="1">
      <c r="A6" s="7" t="inlineStr">
        <is>
          <t>Poz No</t>
        </is>
      </c>
      <c r="B6" s="7" t="inlineStr">
        <is>
          <t>Tanımı</t>
        </is>
      </c>
      <c r="C6" s="7" t="inlineStr">
        <is>
          <t>Birim</t>
        </is>
      </c>
      <c r="D6" s="7" t="inlineStr">
        <is>
          <t>Benzer</t>
        </is>
      </c>
      <c r="E6" s="7" t="inlineStr">
        <is>
          <t>Adet</t>
        </is>
      </c>
      <c r="F6" s="7" t="inlineStr">
        <is>
          <t>Boy (m)</t>
        </is>
      </c>
      <c r="G6" s="7" t="inlineStr">
        <is>
          <t>En (m)</t>
        </is>
      </c>
      <c r="H6" s="7" t="inlineStr">
        <is>
          <t>Demir çapı veya profil tipi</t>
        </is>
      </c>
      <c r="I6" s="7" t="inlineStr">
        <is>
          <t>Birim Ağırlık</t>
        </is>
      </c>
      <c r="J6" s="7" t="inlineStr">
        <is>
          <t>Toplam Ağırlık</t>
        </is>
      </c>
      <c r="K6" s="7" t="inlineStr">
        <is>
          <t>Genel Toplam</t>
        </is>
      </c>
    </row>
    <row r="7" ht="22" customHeight="1">
      <c r="A7" s="21" t="inlineStr">
        <is>
          <t>15.160.1003</t>
        </is>
      </c>
      <c r="B7" s="8" t="inlineStr">
        <is>
          <t>[M22]  Ø 8 - Ø 12 mm nervürlü beton çelik çubuğu, çubukların kesilmesi, bükülmesi ve yerine konulması</t>
        </is>
      </c>
      <c r="C7" s="20" t="inlineStr">
        <is>
          <t>ton</t>
        </is>
      </c>
      <c r="D7" s="23" t="n"/>
      <c r="E7" s="23" t="n"/>
      <c r="F7" s="23" t="n"/>
      <c r="G7" s="23" t="n"/>
      <c r="H7" s="23" t="n"/>
      <c r="I7" s="23" t="n"/>
      <c r="J7" s="23" t="n"/>
      <c r="K7" s="23" t="n"/>
    </row>
    <row r="8" ht="30" customHeight="1">
      <c r="A8" s="6" t="n"/>
      <c r="B8" s="32" t="inlineStr">
        <is>
          <t>Şerit temel etriyesi T1…T21 (50/60), ø8/20 — aks başına 13,55/0,20 = 68 adet, 21 aks; etriye açılım boyu 2x(0,44+0,54)+0,20 kanca = 2,16 m (blok başına)</t>
        </is>
      </c>
      <c r="C8" s="6" t="n"/>
      <c r="D8" s="29" t="n">
        <v>1</v>
      </c>
      <c r="E8" s="29" t="n">
        <v>1428</v>
      </c>
      <c r="F8" s="30" t="n">
        <v>2.16</v>
      </c>
      <c r="G8" s="6" t="n"/>
      <c r="H8" s="33" t="inlineStr">
        <is>
          <t>ø8 nervürlü</t>
        </is>
      </c>
      <c r="I8" s="34" t="n">
        <v>0.000395</v>
      </c>
      <c r="J8" s="35">
        <f>D8*E8*F8*I8</f>
        <v/>
      </c>
      <c r="K8" s="6" t="n"/>
    </row>
    <row r="9" ht="20" customHeight="1">
      <c r="A9" s="6" t="n"/>
      <c r="B9" s="32" t="inlineStr">
        <is>
          <t>Şerit temel gövde ve montaj donatısı ø12 — aks başına 4 adet, 21 aks, aks boyu 13,55 m (blok başına)</t>
        </is>
      </c>
      <c r="C9" s="6" t="n"/>
      <c r="D9" s="29" t="n">
        <v>1</v>
      </c>
      <c r="E9" s="29" t="n">
        <v>84</v>
      </c>
      <c r="F9" s="30" t="n">
        <v>13.55</v>
      </c>
      <c r="G9" s="6" t="n"/>
      <c r="H9" s="33" t="inlineStr">
        <is>
          <t>ø12 nervürlü</t>
        </is>
      </c>
      <c r="I9" s="34" t="n">
        <v>0.000888</v>
      </c>
      <c r="J9" s="35">
        <f>D9*E9*F9*I9</f>
        <v/>
      </c>
      <c r="K9" s="6" t="n"/>
    </row>
    <row r="10" ht="30" customHeight="1">
      <c r="A10" s="6" t="n"/>
      <c r="B10" s="32" t="inlineStr">
        <is>
          <t>Bağ kirişi etriyesi BK (30/30), ø8/20 — hat başına 78.55/0,20 = 393 adet, 4 hat; etriye açılım boyu 2x(0,24+0,24)+0,20 kanca = 1,16 m (blok başına)</t>
        </is>
      </c>
      <c r="C10" s="6" t="n"/>
      <c r="D10" s="29" t="n">
        <v>1</v>
      </c>
      <c r="E10" s="29" t="n">
        <v>1572</v>
      </c>
      <c r="F10" s="30" t="n">
        <v>1.16</v>
      </c>
      <c r="G10" s="6" t="n"/>
      <c r="H10" s="33" t="inlineStr">
        <is>
          <t>ø8 nervürlü</t>
        </is>
      </c>
      <c r="I10" s="34" t="n">
        <v>0.000395</v>
      </c>
      <c r="J10" s="35">
        <f>D10*E10*F10*I10</f>
        <v/>
      </c>
      <c r="K10" s="6" t="n"/>
    </row>
    <row r="11" ht="20" customHeight="1">
      <c r="A11" s="6" t="n"/>
      <c r="B11" s="32" t="inlineStr">
        <is>
          <t>Kolon ankraj ve guse donatısı ø12 — 21 aks x 4 kolon = 84 adet, boy 2,50 m (blok başına)</t>
        </is>
      </c>
      <c r="C11" s="6" t="n"/>
      <c r="D11" s="29" t="n">
        <v>1</v>
      </c>
      <c r="E11" s="29" t="n">
        <v>84</v>
      </c>
      <c r="F11" s="30" t="n">
        <v>2.5</v>
      </c>
      <c r="G11" s="6" t="n"/>
      <c r="H11" s="33" t="inlineStr">
        <is>
          <t>ø12 nervürlü</t>
        </is>
      </c>
      <c r="I11" s="34" t="n">
        <v>0.000888</v>
      </c>
      <c r="J11" s="35">
        <f>D11*E11*F11*I11</f>
        <v/>
      </c>
      <c r="K11" s="6" t="n"/>
    </row>
    <row r="12" ht="30" customHeight="1">
      <c r="A12" s="6" t="n"/>
      <c r="B12" s="32" t="inlineStr">
        <is>
          <t>Montaj donatısı, çiroz, pilye ve bindirme payı — betonarme proje METRAJ tablosundaki blok başına 4.159,89 kg toplamını tamamlayan fark</t>
        </is>
      </c>
      <c r="C12" s="6" t="n"/>
      <c r="D12" s="29" t="n">
        <v>1</v>
      </c>
      <c r="E12" s="29" t="n">
        <v>1</v>
      </c>
      <c r="F12" s="6" t="n"/>
      <c r="G12" s="6" t="n"/>
      <c r="H12" s="33" t="inlineStr">
        <is>
          <t>ø8-12 nervürlü</t>
        </is>
      </c>
      <c r="I12" s="34" t="n">
        <v>1.0240284</v>
      </c>
      <c r="J12" s="35">
        <f>D12*E12*I12</f>
        <v/>
      </c>
      <c r="K12" s="6" t="n"/>
    </row>
    <row r="13">
      <c r="A13" s="23" t="n"/>
      <c r="B13" s="26" t="inlineStr">
        <is>
          <t>KA/M22 GENEL TOPLAM</t>
        </is>
      </c>
      <c r="C13" s="27" t="inlineStr">
        <is>
          <t>ton</t>
        </is>
      </c>
      <c r="D13" s="23" t="n"/>
      <c r="E13" s="23" t="n"/>
      <c r="F13" s="23" t="n"/>
      <c r="G13" s="23" t="n"/>
      <c r="H13" s="23" t="n"/>
      <c r="I13" s="23" t="n"/>
      <c r="J13" s="23" t="n"/>
      <c r="K13" s="36">
        <f>SUM(J8:J12)</f>
        <v/>
      </c>
    </row>
    <row r="14" ht="22" customHeight="1">
      <c r="A14" s="21" t="inlineStr">
        <is>
          <t>15.160.1004</t>
        </is>
      </c>
      <c r="B14" s="8" t="inlineStr">
        <is>
          <t>[M23]  Ø 14 - Ø 28 mm nervürlü beton çelik çubuğu, çubukların kesilmesi, bükülmesi ve yerine konulması</t>
        </is>
      </c>
      <c r="C14" s="20" t="inlineStr">
        <is>
          <t>ton</t>
        </is>
      </c>
      <c r="D14" s="23" t="n"/>
      <c r="E14" s="23" t="n"/>
      <c r="F14" s="23" t="n"/>
      <c r="G14" s="23" t="n"/>
      <c r="H14" s="23" t="n"/>
      <c r="I14" s="23" t="n"/>
      <c r="J14" s="23" t="n"/>
      <c r="K14" s="23" t="n"/>
    </row>
    <row r="15" ht="30" customHeight="1">
      <c r="A15" s="6" t="n"/>
      <c r="B15" s="32" t="inlineStr">
        <is>
          <t>Şerit temel boyuna donatısı ø16 — aks başına 6 alt + 4 üst = 10 adet, 21 aks, aks boyu 13,55 m (blok başına)</t>
        </is>
      </c>
      <c r="C15" s="6" t="n"/>
      <c r="D15" s="29" t="n">
        <v>1</v>
      </c>
      <c r="E15" s="29" t="n">
        <v>210</v>
      </c>
      <c r="F15" s="30" t="n">
        <v>13.55</v>
      </c>
      <c r="G15" s="6" t="n"/>
      <c r="H15" s="33" t="inlineStr">
        <is>
          <t>ø16 nervürlü</t>
        </is>
      </c>
      <c r="I15" s="34" t="n">
        <v>0.00158</v>
      </c>
      <c r="J15" s="35">
        <f>D15*E15*F15*I15</f>
        <v/>
      </c>
      <c r="K15" s="6" t="n"/>
    </row>
    <row r="16" ht="20" customHeight="1">
      <c r="A16" s="6" t="n"/>
      <c r="B16" s="32" t="inlineStr">
        <is>
          <t>Bağ kirişi boyuna donatısı ø14 — hat başına 3 alt + 3 üst = 6 adet, 4 hat, hat boyu 78.55 m (blok başına)</t>
        </is>
      </c>
      <c r="C16" s="6" t="n"/>
      <c r="D16" s="29" t="n">
        <v>1</v>
      </c>
      <c r="E16" s="29" t="n">
        <v>24</v>
      </c>
      <c r="F16" s="30" t="n">
        <v>78.55</v>
      </c>
      <c r="G16" s="6" t="n"/>
      <c r="H16" s="33" t="inlineStr">
        <is>
          <t>ø14 nervürlü</t>
        </is>
      </c>
      <c r="I16" s="34" t="n">
        <v>0.00121</v>
      </c>
      <c r="J16" s="35">
        <f>D16*E16*F16*I16</f>
        <v/>
      </c>
      <c r="K16" s="6" t="n"/>
    </row>
    <row r="17" ht="30" customHeight="1">
      <c r="A17" s="6" t="n"/>
      <c r="B17" s="32" t="inlineStr">
        <is>
          <t>Bindirme, filiz ve gönye payı — betonarme proje METRAJ tablosundaki blok başına 7.287,50 kg toplamını tamamlayan fark</t>
        </is>
      </c>
      <c r="C17" s="6" t="n"/>
      <c r="D17" s="29" t="n">
        <v>1</v>
      </c>
      <c r="E17" s="29" t="n">
        <v>1</v>
      </c>
      <c r="F17" s="6" t="n"/>
      <c r="G17" s="6" t="n"/>
      <c r="H17" s="33" t="inlineStr">
        <is>
          <t>ø14-28 nervürlü</t>
        </is>
      </c>
      <c r="I17" s="34" t="n">
        <v>0.510518</v>
      </c>
      <c r="J17" s="35">
        <f>D17*E17*I17</f>
        <v/>
      </c>
      <c r="K17" s="6" t="n"/>
    </row>
    <row r="18">
      <c r="A18" s="23" t="n"/>
      <c r="B18" s="26" t="inlineStr">
        <is>
          <t>KA/M23 GENEL TOPLAM</t>
        </is>
      </c>
      <c r="C18" s="27" t="inlineStr">
        <is>
          <t>ton</t>
        </is>
      </c>
      <c r="D18" s="23" t="n"/>
      <c r="E18" s="23" t="n"/>
      <c r="F18" s="23" t="n"/>
      <c r="G18" s="23" t="n"/>
      <c r="H18" s="23" t="n"/>
      <c r="I18" s="23" t="n"/>
      <c r="J18" s="23" t="n"/>
      <c r="K18" s="36">
        <f>SUM(J15:J17)</f>
        <v/>
      </c>
    </row>
    <row r="19" ht="15" customHeight="1">
      <c r="A19" s="21" t="inlineStr">
        <is>
          <t>15.160.1002</t>
        </is>
      </c>
      <c r="B19" s="8" t="inlineStr">
        <is>
          <t>[M27]  Nervürlü çelik hasırın yerine konulması</t>
        </is>
      </c>
      <c r="C19" s="20" t="inlineStr">
        <is>
          <t>ton</t>
        </is>
      </c>
      <c r="D19" s="23" t="n"/>
      <c r="E19" s="23" t="n"/>
      <c r="F19" s="23" t="n"/>
      <c r="G19" s="23" t="n"/>
      <c r="H19" s="23" t="n"/>
      <c r="I19" s="23" t="n"/>
      <c r="J19" s="23" t="n"/>
      <c r="K19" s="23" t="n"/>
    </row>
    <row r="20" ht="30" customHeight="1">
      <c r="A20" s="6" t="n"/>
      <c r="B20" s="24" t="inlineStr">
        <is>
          <t>Kümes zemin döşemesi 78.00 x 13,90 (servis bölümü hariç); Q188 hasır = 3,05 kg/m², %10 bindirme payı ile 3,355 kg/m² (blok başına)</t>
        </is>
      </c>
      <c r="C20" s="6" t="n"/>
      <c r="D20" s="29" t="n">
        <v>1</v>
      </c>
      <c r="E20" s="29" t="n">
        <v>1</v>
      </c>
      <c r="F20" s="30" t="n">
        <v>78</v>
      </c>
      <c r="G20" s="30" t="n">
        <v>13.9</v>
      </c>
      <c r="H20" s="37" t="inlineStr">
        <is>
          <t>Q188 çelik hasır</t>
        </is>
      </c>
      <c r="I20" s="34" t="n">
        <v>0.003355</v>
      </c>
      <c r="J20" s="35">
        <f>D20*E20*F20*G20*I20</f>
        <v/>
      </c>
      <c r="K20" s="6" t="n"/>
    </row>
    <row r="21">
      <c r="A21" s="23" t="n"/>
      <c r="B21" s="26" t="inlineStr">
        <is>
          <t>KA/M27 GENEL TOPLAM</t>
        </is>
      </c>
      <c r="C21" s="27" t="inlineStr">
        <is>
          <t>ton</t>
        </is>
      </c>
      <c r="D21" s="23" t="n"/>
      <c r="E21" s="23" t="n"/>
      <c r="F21" s="23" t="n"/>
      <c r="G21" s="23" t="n"/>
      <c r="H21" s="23" t="n"/>
      <c r="I21" s="23" t="n"/>
      <c r="J21" s="23" t="n"/>
      <c r="K21" s="36">
        <f>SUM(J20:J20)</f>
        <v/>
      </c>
    </row>
    <row r="22" ht="22" customHeight="1">
      <c r="A22" s="21" t="inlineStr">
        <is>
          <t>15.165.1003</t>
        </is>
      </c>
      <c r="B22" s="8" t="inlineStr">
        <is>
          <t>[M31]  Her çeşit profil, çelik çubuk ve saclarla karkas (çerçeve) inşaat yapılması, yerine tespiti</t>
        </is>
      </c>
      <c r="C22" s="20" t="inlineStr">
        <is>
          <t>ton</t>
        </is>
      </c>
      <c r="D22" s="23" t="n"/>
      <c r="E22" s="23" t="n"/>
      <c r="F22" s="23" t="n"/>
      <c r="G22" s="23" t="n"/>
      <c r="H22" s="23" t="n"/>
      <c r="I22" s="23" t="n"/>
      <c r="J22" s="23" t="n"/>
      <c r="K22" s="23" t="n"/>
    </row>
    <row r="23" ht="20" customHeight="1">
      <c r="A23" s="6" t="n"/>
      <c r="B23" s="24" t="inlineStr">
        <is>
          <t>KLN dış kolonlar — 21 çerçeve x 2 adet, boy 2,84 m (kolon üstü kotu +2,84)</t>
        </is>
      </c>
      <c r="C23" s="6" t="n"/>
      <c r="D23" s="29" t="n">
        <v>21</v>
      </c>
      <c r="E23" s="29" t="n">
        <v>2</v>
      </c>
      <c r="F23" s="30" t="n">
        <v>2.84</v>
      </c>
      <c r="G23" s="6" t="n"/>
      <c r="H23" s="37" t="inlineStr">
        <is>
          <t>SHS 150x150x6</t>
        </is>
      </c>
      <c r="I23" s="34" t="n">
        <v>0.02689</v>
      </c>
      <c r="J23" s="35">
        <f>D23*E23*F23*I23</f>
        <v/>
      </c>
      <c r="K23" s="6" t="n"/>
    </row>
    <row r="24" ht="20" customHeight="1">
      <c r="A24" s="6" t="n"/>
      <c r="B24" s="24" t="inlineStr">
        <is>
          <t>KLN iç kolonlar — 21 çerçeve x 2 adet, ortalama boy 3,68 m (eğik kiriş altında)</t>
        </is>
      </c>
      <c r="C24" s="6" t="n"/>
      <c r="D24" s="29" t="n">
        <v>21</v>
      </c>
      <c r="E24" s="29" t="n">
        <v>2</v>
      </c>
      <c r="F24" s="30" t="n">
        <v>3.6755</v>
      </c>
      <c r="G24" s="6" t="n"/>
      <c r="H24" s="37" t="inlineStr">
        <is>
          <t>SHS 150x150x6</t>
        </is>
      </c>
      <c r="I24" s="34" t="n">
        <v>0.02689</v>
      </c>
      <c r="J24" s="35">
        <f>D24*E24*F24*I24</f>
        <v/>
      </c>
      <c r="K24" s="6" t="n"/>
    </row>
    <row r="25" ht="20" customHeight="1">
      <c r="A25" s="6" t="n"/>
      <c r="B25" s="24" t="inlineStr">
        <is>
          <t>AKR ana kirişler — 21 çerçeve x 2 adet, eğik boy 6,94 m (yarım açıklık 6,775 / kot farkı 1,50)</t>
        </is>
      </c>
      <c r="C25" s="6" t="n"/>
      <c r="D25" s="29" t="n">
        <v>21</v>
      </c>
      <c r="E25" s="29" t="n">
        <v>2</v>
      </c>
      <c r="F25" s="30" t="n">
        <v>6.939</v>
      </c>
      <c r="G25" s="6" t="n"/>
      <c r="H25" s="37" t="inlineStr">
        <is>
          <t>SHS 150x150x6</t>
        </is>
      </c>
      <c r="I25" s="34" t="n">
        <v>0.02689</v>
      </c>
      <c r="J25" s="35">
        <f>D25*E25*F25*I25</f>
        <v/>
      </c>
      <c r="K25" s="6" t="n"/>
    </row>
    <row r="26" ht="20" customHeight="1">
      <c r="A26" s="6" t="n"/>
      <c r="B26" s="24" t="inlineStr">
        <is>
          <t>SKR boyuna kirişler — 2 saçak + 1 mahya hattı, boy 79,00 m</t>
        </is>
      </c>
      <c r="C26" s="6" t="n"/>
      <c r="D26" s="29" t="n">
        <v>3</v>
      </c>
      <c r="E26" s="29" t="n">
        <v>1</v>
      </c>
      <c r="F26" s="30" t="n">
        <v>79</v>
      </c>
      <c r="G26" s="6" t="n"/>
      <c r="H26" s="37" t="inlineStr">
        <is>
          <t>SHS 150x150x6</t>
        </is>
      </c>
      <c r="I26" s="34" t="n">
        <v>0.02689</v>
      </c>
      <c r="J26" s="35">
        <f>D26*E26*F26*I26</f>
        <v/>
      </c>
      <c r="K26" s="6" t="n"/>
    </row>
    <row r="27" ht="20" customHeight="1">
      <c r="A27" s="6" t="n"/>
      <c r="B27" s="24" t="inlineStr">
        <is>
          <t>CAS çatı aşıkları — kesitte sayılan 16 hat, boy 79,80 m (saçak payı dâhil)</t>
        </is>
      </c>
      <c r="C27" s="6" t="n"/>
      <c r="D27" s="29" t="n">
        <v>16</v>
      </c>
      <c r="E27" s="29" t="n">
        <v>1</v>
      </c>
      <c r="F27" s="30" t="n">
        <v>79.8</v>
      </c>
      <c r="G27" s="6" t="n"/>
      <c r="H27" s="37" t="inlineStr">
        <is>
          <t>RHS 100x50x3</t>
        </is>
      </c>
      <c r="I27" s="34" t="n">
        <v>0.00672</v>
      </c>
      <c r="J27" s="35">
        <f>D27*E27*F27*I27</f>
        <v/>
      </c>
      <c r="K27" s="6" t="n"/>
    </row>
    <row r="28" ht="20" customHeight="1">
      <c r="A28" s="6" t="n"/>
      <c r="B28" s="24" t="inlineStr">
        <is>
          <t>YAS uzun cephe kuşakları — 4 seviye x 2 cephe, boy 79,00 m</t>
        </is>
      </c>
      <c r="C28" s="6" t="n"/>
      <c r="D28" s="29" t="n">
        <v>8</v>
      </c>
      <c r="E28" s="29" t="n">
        <v>1</v>
      </c>
      <c r="F28" s="30" t="n">
        <v>79</v>
      </c>
      <c r="G28" s="6" t="n"/>
      <c r="H28" s="37" t="inlineStr">
        <is>
          <t>RHS 100x50x3</t>
        </is>
      </c>
      <c r="I28" s="34" t="n">
        <v>0.00672</v>
      </c>
      <c r="J28" s="35">
        <f>D28*E28*F28*I28</f>
        <v/>
      </c>
      <c r="K28" s="6" t="n"/>
    </row>
    <row r="29" ht="20" customHeight="1">
      <c r="A29" s="6" t="n"/>
      <c r="B29" s="24" t="inlineStr">
        <is>
          <t>YAS alınlık kuşakları — 4 seviye x 2 alınlık, boy 13,55 m</t>
        </is>
      </c>
      <c r="C29" s="6" t="n"/>
      <c r="D29" s="29" t="n">
        <v>8</v>
      </c>
      <c r="E29" s="29" t="n">
        <v>1</v>
      </c>
      <c r="F29" s="30" t="n">
        <v>13.55</v>
      </c>
      <c r="G29" s="6" t="n"/>
      <c r="H29" s="37" t="inlineStr">
        <is>
          <t>RHS 100x50x3</t>
        </is>
      </c>
      <c r="I29" s="34" t="n">
        <v>0.00672</v>
      </c>
      <c r="J29" s="35">
        <f>D29*E29*F29*I29</f>
        <v/>
      </c>
      <c r="K29" s="6" t="n"/>
    </row>
    <row r="30" ht="20" customHeight="1">
      <c r="A30" s="6" t="n"/>
      <c r="B30" s="24" t="inlineStr">
        <is>
          <t>KS iç kuşaklar — 21 çerçeve x 2 adet, orta açıklık 6,00 m</t>
        </is>
      </c>
      <c r="C30" s="6" t="n"/>
      <c r="D30" s="29" t="n">
        <v>21</v>
      </c>
      <c r="E30" s="29" t="n">
        <v>2</v>
      </c>
      <c r="F30" s="30" t="n">
        <v>6</v>
      </c>
      <c r="G30" s="6" t="n"/>
      <c r="H30" s="37" t="inlineStr">
        <is>
          <t>RHS 100x50x3</t>
        </is>
      </c>
      <c r="I30" s="34" t="n">
        <v>0.00672</v>
      </c>
      <c r="J30" s="35">
        <f>D30*E30*F30*I30</f>
        <v/>
      </c>
      <c r="K30" s="6" t="n"/>
    </row>
    <row r="31" ht="20" customHeight="1">
      <c r="A31" s="6" t="n"/>
      <c r="B31" s="24" t="inlineStr">
        <is>
          <t>CCPR ve YCPR çatı ve cephe çaprazları — toplam 270,00 m</t>
        </is>
      </c>
      <c r="C31" s="6" t="n"/>
      <c r="D31" s="29" t="n">
        <v>1</v>
      </c>
      <c r="E31" s="29" t="n">
        <v>1</v>
      </c>
      <c r="F31" s="30" t="n">
        <v>270</v>
      </c>
      <c r="G31" s="6" t="n"/>
      <c r="H31" s="37" t="inlineStr">
        <is>
          <t>SHS 100x100x4</t>
        </is>
      </c>
      <c r="I31" s="34" t="n">
        <v>0.01195</v>
      </c>
      <c r="J31" s="35">
        <f>D31*E31*F31*I31</f>
        <v/>
      </c>
      <c r="K31" s="6" t="n"/>
    </row>
    <row r="32" ht="20" customHeight="1">
      <c r="A32" s="6" t="n"/>
      <c r="B32" s="32" t="inlineStr">
        <is>
          <t>Gusse, alın levhası, taban plakası ve bulonlar — profil ağırlığının %10'u</t>
        </is>
      </c>
      <c r="C32" s="6" t="n"/>
      <c r="D32" s="29" t="n">
        <v>1</v>
      </c>
      <c r="E32" s="29" t="n">
        <v>1</v>
      </c>
      <c r="F32" s="6" t="n"/>
      <c r="G32" s="6" t="n"/>
      <c r="H32" s="33" t="inlineStr">
        <is>
          <t>Levha ve bulon</t>
        </is>
      </c>
      <c r="I32" s="34" t="n">
        <v>4.00439689</v>
      </c>
      <c r="J32" s="35">
        <f>D32*E32*I32</f>
        <v/>
      </c>
      <c r="K32" s="6" t="n"/>
    </row>
    <row r="33">
      <c r="A33" s="23" t="n"/>
      <c r="B33" s="26" t="inlineStr">
        <is>
          <t>KA/M31 GENEL TOPLAM</t>
        </is>
      </c>
      <c r="C33" s="27" t="inlineStr">
        <is>
          <t>ton</t>
        </is>
      </c>
      <c r="D33" s="23" t="n"/>
      <c r="E33" s="23" t="n"/>
      <c r="F33" s="23" t="n"/>
      <c r="G33" s="23" t="n"/>
      <c r="H33" s="23" t="n"/>
      <c r="I33" s="23" t="n"/>
      <c r="J33" s="23" t="n"/>
      <c r="K33" s="36">
        <f>SUM(J23:J32)</f>
        <v/>
      </c>
    </row>
    <row r="34" ht="22" customHeight="1">
      <c r="A34" s="21" t="inlineStr">
        <is>
          <t>15.550.1202</t>
        </is>
      </c>
      <c r="B34" s="8" t="inlineStr">
        <is>
          <t>[M34]  Lama ve profil demirlerden çeşitli demir işleri yapılması ve yerine konulması</t>
        </is>
      </c>
      <c r="C34" s="20" t="inlineStr">
        <is>
          <t>kg</t>
        </is>
      </c>
      <c r="D34" s="23" t="n"/>
      <c r="E34" s="23" t="n"/>
      <c r="F34" s="23" t="n"/>
      <c r="G34" s="23" t="n"/>
      <c r="H34" s="23" t="n"/>
      <c r="I34" s="23" t="n"/>
      <c r="J34" s="23" t="n"/>
      <c r="K34" s="23" t="n"/>
    </row>
    <row r="35" ht="12" customHeight="1">
      <c r="A35" s="6" t="n"/>
      <c r="B35" s="24" t="inlineStr">
        <is>
          <t>Mahya kapama profili — blok başına, boy 79,80 m</t>
        </is>
      </c>
      <c r="C35" s="6" t="n"/>
      <c r="D35" s="29" t="n">
        <v>1</v>
      </c>
      <c r="E35" s="29" t="n">
        <v>1</v>
      </c>
      <c r="F35" s="30" t="n">
        <v>79.8</v>
      </c>
      <c r="G35" s="6" t="n"/>
      <c r="H35" s="37" t="inlineStr">
        <is>
          <t>50x5 lama</t>
        </is>
      </c>
      <c r="I35" s="34" t="n">
        <v>2.5</v>
      </c>
      <c r="J35" s="35">
        <f>D35*E35*F35*I35</f>
        <v/>
      </c>
      <c r="K35" s="6" t="n"/>
    </row>
    <row r="36" ht="20" customHeight="1">
      <c r="A36" s="6" t="n"/>
      <c r="B36" s="24" t="inlineStr">
        <is>
          <t>Saçak kapama profili — blok başına 2 kenar, 2 kenar; boy 79,80 m</t>
        </is>
      </c>
      <c r="C36" s="6" t="n"/>
      <c r="D36" s="29" t="n">
        <v>2</v>
      </c>
      <c r="E36" s="29" t="n">
        <v>1</v>
      </c>
      <c r="F36" s="30" t="n">
        <v>79.8</v>
      </c>
      <c r="G36" s="6" t="n"/>
      <c r="H36" s="37" t="inlineStr">
        <is>
          <t>50x5 lama</t>
        </is>
      </c>
      <c r="I36" s="34" t="n">
        <v>2.5</v>
      </c>
      <c r="J36" s="35">
        <f>D36*E36*F36*I36</f>
        <v/>
      </c>
      <c r="K36" s="6" t="n"/>
    </row>
    <row r="37" ht="20" customHeight="1">
      <c r="A37" s="6" t="n"/>
      <c r="B37" s="24" t="inlineStr">
        <is>
          <t>Alınlık eğim kapamaları — alınlık başına 2 eğim, 2 alınlık, 2 blok = 8; eğik boy 7,55 m</t>
        </is>
      </c>
      <c r="C37" s="6" t="n"/>
      <c r="D37" s="29" t="n">
        <v>4</v>
      </c>
      <c r="E37" s="29" t="n">
        <v>1</v>
      </c>
      <c r="F37" s="30" t="n">
        <v>7.55</v>
      </c>
      <c r="G37" s="6" t="n"/>
      <c r="H37" s="37" t="inlineStr">
        <is>
          <t>50x5 lama</t>
        </is>
      </c>
      <c r="I37" s="34" t="n">
        <v>2.5</v>
      </c>
      <c r="J37" s="35">
        <f>D37*E37*F37*I37</f>
        <v/>
      </c>
      <c r="K37" s="6" t="n"/>
    </row>
    <row r="38">
      <c r="A38" s="23" t="n"/>
      <c r="B38" s="26" t="inlineStr">
        <is>
          <t>KA/M34 GENEL TOPLAM</t>
        </is>
      </c>
      <c r="C38" s="27" t="inlineStr">
        <is>
          <t>kg</t>
        </is>
      </c>
      <c r="D38" s="23" t="n"/>
      <c r="E38" s="23" t="n"/>
      <c r="F38" s="23" t="n"/>
      <c r="G38" s="23" t="n"/>
      <c r="H38" s="23" t="n"/>
      <c r="I38" s="23" t="n"/>
      <c r="J38" s="23" t="n"/>
      <c r="K38" s="36">
        <f>SUM(J35:J37)</f>
        <v/>
      </c>
    </row>
    <row r="39"/>
    <row r="40" ht="20" customHeight="1">
      <c r="A40" s="19" t="inlineStr">
        <is>
          <t>Yapı/Bina Adı: KÜMES B BLOK</t>
        </is>
      </c>
    </row>
    <row r="41" ht="28" customHeight="1">
      <c r="A41" s="7" t="inlineStr">
        <is>
          <t>Poz No</t>
        </is>
      </c>
      <c r="B41" s="7" t="inlineStr">
        <is>
          <t>Tanımı</t>
        </is>
      </c>
      <c r="C41" s="7" t="inlineStr">
        <is>
          <t>Birim</t>
        </is>
      </c>
      <c r="D41" s="7" t="inlineStr">
        <is>
          <t>Benzer</t>
        </is>
      </c>
      <c r="E41" s="7" t="inlineStr">
        <is>
          <t>Adet</t>
        </is>
      </c>
      <c r="F41" s="7" t="inlineStr">
        <is>
          <t>Boy (m)</t>
        </is>
      </c>
      <c r="G41" s="7" t="inlineStr">
        <is>
          <t>En (m)</t>
        </is>
      </c>
      <c r="H41" s="7" t="inlineStr">
        <is>
          <t>Demir çapı veya profil tipi</t>
        </is>
      </c>
      <c r="I41" s="7" t="inlineStr">
        <is>
          <t>Birim Ağırlık</t>
        </is>
      </c>
      <c r="J41" s="7" t="inlineStr">
        <is>
          <t>Toplam Ağırlık</t>
        </is>
      </c>
      <c r="K41" s="7" t="inlineStr">
        <is>
          <t>Genel Toplam</t>
        </is>
      </c>
    </row>
    <row r="42" ht="22" customHeight="1">
      <c r="A42" s="21" t="inlineStr">
        <is>
          <t>15.160.1003</t>
        </is>
      </c>
      <c r="B42" s="8" t="inlineStr">
        <is>
          <t>[M22]  Ø 8 - Ø 12 mm nervürlü beton çelik çubuğu, çubukların kesilmesi, bükülmesi ve yerine konulması</t>
        </is>
      </c>
      <c r="C42" s="20" t="inlineStr">
        <is>
          <t>ton</t>
        </is>
      </c>
      <c r="D42" s="23" t="n"/>
      <c r="E42" s="23" t="n"/>
      <c r="F42" s="23" t="n"/>
      <c r="G42" s="23" t="n"/>
      <c r="H42" s="23" t="n"/>
      <c r="I42" s="23" t="n"/>
      <c r="J42" s="23" t="n"/>
      <c r="K42" s="23" t="n"/>
    </row>
    <row r="43" ht="30" customHeight="1">
      <c r="A43" s="6" t="n"/>
      <c r="B43" s="32" t="inlineStr">
        <is>
          <t>Şerit temel etriyesi T1…T21 (50/60), ø8/20 — aks başına 13,55/0,20 = 68 adet, 21 aks; etriye açılım boyu 2x(0,44+0,54)+0,20 kanca = 2,16 m (blok başına)</t>
        </is>
      </c>
      <c r="C43" s="6" t="n"/>
      <c r="D43" s="29" t="n">
        <v>1</v>
      </c>
      <c r="E43" s="29" t="n">
        <v>1428</v>
      </c>
      <c r="F43" s="30" t="n">
        <v>2.16</v>
      </c>
      <c r="G43" s="6" t="n"/>
      <c r="H43" s="33" t="inlineStr">
        <is>
          <t>ø8 nervürlü</t>
        </is>
      </c>
      <c r="I43" s="34" t="n">
        <v>0.000395</v>
      </c>
      <c r="J43" s="35">
        <f>D43*E43*F43*I43</f>
        <v/>
      </c>
      <c r="K43" s="6" t="n"/>
    </row>
    <row r="44" ht="20" customHeight="1">
      <c r="A44" s="6" t="n"/>
      <c r="B44" s="32" t="inlineStr">
        <is>
          <t>Şerit temel gövde ve montaj donatısı ø12 — aks başına 4 adet, 21 aks, aks boyu 13,55 m (blok başına)</t>
        </is>
      </c>
      <c r="C44" s="6" t="n"/>
      <c r="D44" s="29" t="n">
        <v>1</v>
      </c>
      <c r="E44" s="29" t="n">
        <v>84</v>
      </c>
      <c r="F44" s="30" t="n">
        <v>13.55</v>
      </c>
      <c r="G44" s="6" t="n"/>
      <c r="H44" s="33" t="inlineStr">
        <is>
          <t>ø12 nervürlü</t>
        </is>
      </c>
      <c r="I44" s="34" t="n">
        <v>0.000888</v>
      </c>
      <c r="J44" s="35">
        <f>D44*E44*F44*I44</f>
        <v/>
      </c>
      <c r="K44" s="6" t="n"/>
    </row>
    <row r="45" ht="30" customHeight="1">
      <c r="A45" s="6" t="n"/>
      <c r="B45" s="32" t="inlineStr">
        <is>
          <t>Bağ kirişi etriyesi BK (30/30), ø8/20 — hat başına 78.55/0,20 = 393 adet, 4 hat; etriye açılım boyu 2x(0,24+0,24)+0,20 kanca = 1,16 m (blok başına)</t>
        </is>
      </c>
      <c r="C45" s="6" t="n"/>
      <c r="D45" s="29" t="n">
        <v>1</v>
      </c>
      <c r="E45" s="29" t="n">
        <v>1572</v>
      </c>
      <c r="F45" s="30" t="n">
        <v>1.16</v>
      </c>
      <c r="G45" s="6" t="n"/>
      <c r="H45" s="33" t="inlineStr">
        <is>
          <t>ø8 nervürlü</t>
        </is>
      </c>
      <c r="I45" s="34" t="n">
        <v>0.000395</v>
      </c>
      <c r="J45" s="35">
        <f>D45*E45*F45*I45</f>
        <v/>
      </c>
      <c r="K45" s="6" t="n"/>
    </row>
    <row r="46" ht="20" customHeight="1">
      <c r="A46" s="6" t="n"/>
      <c r="B46" s="32" t="inlineStr">
        <is>
          <t>Kolon ankraj ve guse donatısı ø12 — 21 aks x 4 kolon = 84 adet, boy 2,50 m (blok başına)</t>
        </is>
      </c>
      <c r="C46" s="6" t="n"/>
      <c r="D46" s="29" t="n">
        <v>1</v>
      </c>
      <c r="E46" s="29" t="n">
        <v>84</v>
      </c>
      <c r="F46" s="30" t="n">
        <v>2.5</v>
      </c>
      <c r="G46" s="6" t="n"/>
      <c r="H46" s="33" t="inlineStr">
        <is>
          <t>ø12 nervürlü</t>
        </is>
      </c>
      <c r="I46" s="34" t="n">
        <v>0.000888</v>
      </c>
      <c r="J46" s="35">
        <f>D46*E46*F46*I46</f>
        <v/>
      </c>
      <c r="K46" s="6" t="n"/>
    </row>
    <row r="47" ht="30" customHeight="1">
      <c r="A47" s="6" t="n"/>
      <c r="B47" s="32" t="inlineStr">
        <is>
          <t>Montaj donatısı, çiroz, pilye ve bindirme payı — betonarme proje METRAJ tablosundaki blok başına 4.159,89 kg toplamını tamamlayan fark</t>
        </is>
      </c>
      <c r="C47" s="6" t="n"/>
      <c r="D47" s="29" t="n">
        <v>1</v>
      </c>
      <c r="E47" s="29" t="n">
        <v>1</v>
      </c>
      <c r="F47" s="6" t="n"/>
      <c r="G47" s="6" t="n"/>
      <c r="H47" s="33" t="inlineStr">
        <is>
          <t>ø8-12 nervürlü</t>
        </is>
      </c>
      <c r="I47" s="34" t="n">
        <v>1.0240284</v>
      </c>
      <c r="J47" s="35">
        <f>D47*E47*I47</f>
        <v/>
      </c>
      <c r="K47" s="6" t="n"/>
    </row>
    <row r="48">
      <c r="A48" s="23" t="n"/>
      <c r="B48" s="26" t="inlineStr">
        <is>
          <t>KB/M22 GENEL TOPLAM</t>
        </is>
      </c>
      <c r="C48" s="27" t="inlineStr">
        <is>
          <t>ton</t>
        </is>
      </c>
      <c r="D48" s="23" t="n"/>
      <c r="E48" s="23" t="n"/>
      <c r="F48" s="23" t="n"/>
      <c r="G48" s="23" t="n"/>
      <c r="H48" s="23" t="n"/>
      <c r="I48" s="23" t="n"/>
      <c r="J48" s="23" t="n"/>
      <c r="K48" s="36">
        <f>SUM(J43:J47)</f>
        <v/>
      </c>
    </row>
    <row r="49" ht="22" customHeight="1">
      <c r="A49" s="21" t="inlineStr">
        <is>
          <t>15.160.1004</t>
        </is>
      </c>
      <c r="B49" s="8" t="inlineStr">
        <is>
          <t>[M23]  Ø 14 - Ø 28 mm nervürlü beton çelik çubuğu, çubukların kesilmesi, bükülmesi ve yerine konulması</t>
        </is>
      </c>
      <c r="C49" s="20" t="inlineStr">
        <is>
          <t>ton</t>
        </is>
      </c>
      <c r="D49" s="23" t="n"/>
      <c r="E49" s="23" t="n"/>
      <c r="F49" s="23" t="n"/>
      <c r="G49" s="23" t="n"/>
      <c r="H49" s="23" t="n"/>
      <c r="I49" s="23" t="n"/>
      <c r="J49" s="23" t="n"/>
      <c r="K49" s="23" t="n"/>
    </row>
    <row r="50" ht="30" customHeight="1">
      <c r="A50" s="6" t="n"/>
      <c r="B50" s="32" t="inlineStr">
        <is>
          <t>Şerit temel boyuna donatısı ø16 — aks başına 6 alt + 4 üst = 10 adet, 21 aks, aks boyu 13,55 m (blok başına)</t>
        </is>
      </c>
      <c r="C50" s="6" t="n"/>
      <c r="D50" s="29" t="n">
        <v>1</v>
      </c>
      <c r="E50" s="29" t="n">
        <v>210</v>
      </c>
      <c r="F50" s="30" t="n">
        <v>13.55</v>
      </c>
      <c r="G50" s="6" t="n"/>
      <c r="H50" s="33" t="inlineStr">
        <is>
          <t>ø16 nervürlü</t>
        </is>
      </c>
      <c r="I50" s="34" t="n">
        <v>0.00158</v>
      </c>
      <c r="J50" s="35">
        <f>D50*E50*F50*I50</f>
        <v/>
      </c>
      <c r="K50" s="6" t="n"/>
    </row>
    <row r="51" ht="20" customHeight="1">
      <c r="A51" s="6" t="n"/>
      <c r="B51" s="32" t="inlineStr">
        <is>
          <t>Bağ kirişi boyuna donatısı ø14 — hat başına 3 alt + 3 üst = 6 adet, 4 hat, hat boyu 78.55 m (blok başına)</t>
        </is>
      </c>
      <c r="C51" s="6" t="n"/>
      <c r="D51" s="29" t="n">
        <v>1</v>
      </c>
      <c r="E51" s="29" t="n">
        <v>24</v>
      </c>
      <c r="F51" s="30" t="n">
        <v>78.55</v>
      </c>
      <c r="G51" s="6" t="n"/>
      <c r="H51" s="33" t="inlineStr">
        <is>
          <t>ø14 nervürlü</t>
        </is>
      </c>
      <c r="I51" s="34" t="n">
        <v>0.00121</v>
      </c>
      <c r="J51" s="35">
        <f>D51*E51*F51*I51</f>
        <v/>
      </c>
      <c r="K51" s="6" t="n"/>
    </row>
    <row r="52" ht="30" customHeight="1">
      <c r="A52" s="6" t="n"/>
      <c r="B52" s="32" t="inlineStr">
        <is>
          <t>Bindirme, filiz ve gönye payı — betonarme proje METRAJ tablosundaki blok başına 7.287,50 kg toplamını tamamlayan fark</t>
        </is>
      </c>
      <c r="C52" s="6" t="n"/>
      <c r="D52" s="29" t="n">
        <v>1</v>
      </c>
      <c r="E52" s="29" t="n">
        <v>1</v>
      </c>
      <c r="F52" s="6" t="n"/>
      <c r="G52" s="6" t="n"/>
      <c r="H52" s="33" t="inlineStr">
        <is>
          <t>ø14-28 nervürlü</t>
        </is>
      </c>
      <c r="I52" s="34" t="n">
        <v>0.510518</v>
      </c>
      <c r="J52" s="35">
        <f>D52*E52*I52</f>
        <v/>
      </c>
      <c r="K52" s="6" t="n"/>
    </row>
    <row r="53">
      <c r="A53" s="23" t="n"/>
      <c r="B53" s="26" t="inlineStr">
        <is>
          <t>KB/M23 GENEL TOPLAM</t>
        </is>
      </c>
      <c r="C53" s="27" t="inlineStr">
        <is>
          <t>ton</t>
        </is>
      </c>
      <c r="D53" s="23" t="n"/>
      <c r="E53" s="23" t="n"/>
      <c r="F53" s="23" t="n"/>
      <c r="G53" s="23" t="n"/>
      <c r="H53" s="23" t="n"/>
      <c r="I53" s="23" t="n"/>
      <c r="J53" s="23" t="n"/>
      <c r="K53" s="36">
        <f>SUM(J50:J52)</f>
        <v/>
      </c>
    </row>
    <row r="54" ht="15" customHeight="1">
      <c r="A54" s="21" t="inlineStr">
        <is>
          <t>15.160.1002</t>
        </is>
      </c>
      <c r="B54" s="8" t="inlineStr">
        <is>
          <t>[M27]  Nervürlü çelik hasırın yerine konulması</t>
        </is>
      </c>
      <c r="C54" s="20" t="inlineStr">
        <is>
          <t>ton</t>
        </is>
      </c>
      <c r="D54" s="23" t="n"/>
      <c r="E54" s="23" t="n"/>
      <c r="F54" s="23" t="n"/>
      <c r="G54" s="23" t="n"/>
      <c r="H54" s="23" t="n"/>
      <c r="I54" s="23" t="n"/>
      <c r="J54" s="23" t="n"/>
      <c r="K54" s="23" t="n"/>
    </row>
    <row r="55" ht="30" customHeight="1">
      <c r="A55" s="6" t="n"/>
      <c r="B55" s="24" t="inlineStr">
        <is>
          <t>Kümes zemin döşemesi 78.00 x 13,90 (servis bölümü hariç); Q188 hasır = 3,05 kg/m², %10 bindirme payı ile 3,355 kg/m² (blok başına)</t>
        </is>
      </c>
      <c r="C55" s="6" t="n"/>
      <c r="D55" s="29" t="n">
        <v>1</v>
      </c>
      <c r="E55" s="29" t="n">
        <v>1</v>
      </c>
      <c r="F55" s="30" t="n">
        <v>78</v>
      </c>
      <c r="G55" s="30" t="n">
        <v>13.9</v>
      </c>
      <c r="H55" s="37" t="inlineStr">
        <is>
          <t>Q188 çelik hasır</t>
        </is>
      </c>
      <c r="I55" s="34" t="n">
        <v>0.003355</v>
      </c>
      <c r="J55" s="35">
        <f>D55*E55*F55*G55*I55</f>
        <v/>
      </c>
      <c r="K55" s="6" t="n"/>
    </row>
    <row r="56">
      <c r="A56" s="23" t="n"/>
      <c r="B56" s="26" t="inlineStr">
        <is>
          <t>KB/M27 GENEL TOPLAM</t>
        </is>
      </c>
      <c r="C56" s="27" t="inlineStr">
        <is>
          <t>ton</t>
        </is>
      </c>
      <c r="D56" s="23" t="n"/>
      <c r="E56" s="23" t="n"/>
      <c r="F56" s="23" t="n"/>
      <c r="G56" s="23" t="n"/>
      <c r="H56" s="23" t="n"/>
      <c r="I56" s="23" t="n"/>
      <c r="J56" s="23" t="n"/>
      <c r="K56" s="36">
        <f>SUM(J55:J55)</f>
        <v/>
      </c>
    </row>
    <row r="57" ht="22" customHeight="1">
      <c r="A57" s="21" t="inlineStr">
        <is>
          <t>15.165.1003</t>
        </is>
      </c>
      <c r="B57" s="8" t="inlineStr">
        <is>
          <t>[M31]  Her çeşit profil, çelik çubuk ve saclarla karkas (çerçeve) inşaat yapılması, yerine tespiti</t>
        </is>
      </c>
      <c r="C57" s="20" t="inlineStr">
        <is>
          <t>ton</t>
        </is>
      </c>
      <c r="D57" s="23" t="n"/>
      <c r="E57" s="23" t="n"/>
      <c r="F57" s="23" t="n"/>
      <c r="G57" s="23" t="n"/>
      <c r="H57" s="23" t="n"/>
      <c r="I57" s="23" t="n"/>
      <c r="J57" s="23" t="n"/>
      <c r="K57" s="23" t="n"/>
    </row>
    <row r="58" ht="20" customHeight="1">
      <c r="A58" s="6" t="n"/>
      <c r="B58" s="24" t="inlineStr">
        <is>
          <t>KLN dış kolonlar — 21 çerçeve x 2 adet, boy 2,84 m (kolon üstü kotu +2,84)</t>
        </is>
      </c>
      <c r="C58" s="6" t="n"/>
      <c r="D58" s="29" t="n">
        <v>21</v>
      </c>
      <c r="E58" s="29" t="n">
        <v>2</v>
      </c>
      <c r="F58" s="30" t="n">
        <v>2.84</v>
      </c>
      <c r="G58" s="6" t="n"/>
      <c r="H58" s="37" t="inlineStr">
        <is>
          <t>SHS 150x150x6</t>
        </is>
      </c>
      <c r="I58" s="34" t="n">
        <v>0.02689</v>
      </c>
      <c r="J58" s="35">
        <f>D58*E58*F58*I58</f>
        <v/>
      </c>
      <c r="K58" s="6" t="n"/>
    </row>
    <row r="59" ht="20" customHeight="1">
      <c r="A59" s="6" t="n"/>
      <c r="B59" s="24" t="inlineStr">
        <is>
          <t>KLN iç kolonlar — 21 çerçeve x 2 adet, ortalama boy 3,68 m (eğik kiriş altında)</t>
        </is>
      </c>
      <c r="C59" s="6" t="n"/>
      <c r="D59" s="29" t="n">
        <v>21</v>
      </c>
      <c r="E59" s="29" t="n">
        <v>2</v>
      </c>
      <c r="F59" s="30" t="n">
        <v>3.6755</v>
      </c>
      <c r="G59" s="6" t="n"/>
      <c r="H59" s="37" t="inlineStr">
        <is>
          <t>SHS 150x150x6</t>
        </is>
      </c>
      <c r="I59" s="34" t="n">
        <v>0.02689</v>
      </c>
      <c r="J59" s="35">
        <f>D59*E59*F59*I59</f>
        <v/>
      </c>
      <c r="K59" s="6" t="n"/>
    </row>
    <row r="60" ht="20" customHeight="1">
      <c r="A60" s="6" t="n"/>
      <c r="B60" s="24" t="inlineStr">
        <is>
          <t>AKR ana kirişler — 21 çerçeve x 2 adet, eğik boy 6,94 m (yarım açıklık 6,775 / kot farkı 1,50)</t>
        </is>
      </c>
      <c r="C60" s="6" t="n"/>
      <c r="D60" s="29" t="n">
        <v>21</v>
      </c>
      <c r="E60" s="29" t="n">
        <v>2</v>
      </c>
      <c r="F60" s="30" t="n">
        <v>6.939</v>
      </c>
      <c r="G60" s="6" t="n"/>
      <c r="H60" s="37" t="inlineStr">
        <is>
          <t>SHS 150x150x6</t>
        </is>
      </c>
      <c r="I60" s="34" t="n">
        <v>0.02689</v>
      </c>
      <c r="J60" s="35">
        <f>D60*E60*F60*I60</f>
        <v/>
      </c>
      <c r="K60" s="6" t="n"/>
    </row>
    <row r="61" ht="20" customHeight="1">
      <c r="A61" s="6" t="n"/>
      <c r="B61" s="24" t="inlineStr">
        <is>
          <t>SKR boyuna kirişler — 2 saçak + 1 mahya hattı, boy 79,00 m</t>
        </is>
      </c>
      <c r="C61" s="6" t="n"/>
      <c r="D61" s="29" t="n">
        <v>3</v>
      </c>
      <c r="E61" s="29" t="n">
        <v>1</v>
      </c>
      <c r="F61" s="30" t="n">
        <v>79</v>
      </c>
      <c r="G61" s="6" t="n"/>
      <c r="H61" s="37" t="inlineStr">
        <is>
          <t>SHS 150x150x6</t>
        </is>
      </c>
      <c r="I61" s="34" t="n">
        <v>0.02689</v>
      </c>
      <c r="J61" s="35">
        <f>D61*E61*F61*I61</f>
        <v/>
      </c>
      <c r="K61" s="6" t="n"/>
    </row>
    <row r="62" ht="20" customHeight="1">
      <c r="A62" s="6" t="n"/>
      <c r="B62" s="24" t="inlineStr">
        <is>
          <t>CAS çatı aşıkları — kesitte sayılan 16 hat, boy 79,80 m (saçak payı dâhil)</t>
        </is>
      </c>
      <c r="C62" s="6" t="n"/>
      <c r="D62" s="29" t="n">
        <v>16</v>
      </c>
      <c r="E62" s="29" t="n">
        <v>1</v>
      </c>
      <c r="F62" s="30" t="n">
        <v>79.8</v>
      </c>
      <c r="G62" s="6" t="n"/>
      <c r="H62" s="37" t="inlineStr">
        <is>
          <t>RHS 100x50x3</t>
        </is>
      </c>
      <c r="I62" s="34" t="n">
        <v>0.00672</v>
      </c>
      <c r="J62" s="35">
        <f>D62*E62*F62*I62</f>
        <v/>
      </c>
      <c r="K62" s="6" t="n"/>
    </row>
    <row r="63" ht="20" customHeight="1">
      <c r="A63" s="6" t="n"/>
      <c r="B63" s="24" t="inlineStr">
        <is>
          <t>YAS uzun cephe kuşakları — 4 seviye x 2 cephe, boy 79,00 m</t>
        </is>
      </c>
      <c r="C63" s="6" t="n"/>
      <c r="D63" s="29" t="n">
        <v>8</v>
      </c>
      <c r="E63" s="29" t="n">
        <v>1</v>
      </c>
      <c r="F63" s="30" t="n">
        <v>79</v>
      </c>
      <c r="G63" s="6" t="n"/>
      <c r="H63" s="37" t="inlineStr">
        <is>
          <t>RHS 100x50x3</t>
        </is>
      </c>
      <c r="I63" s="34" t="n">
        <v>0.00672</v>
      </c>
      <c r="J63" s="35">
        <f>D63*E63*F63*I63</f>
        <v/>
      </c>
      <c r="K63" s="6" t="n"/>
    </row>
    <row r="64" ht="20" customHeight="1">
      <c r="A64" s="6" t="n"/>
      <c r="B64" s="24" t="inlineStr">
        <is>
          <t>YAS alınlık kuşakları — 4 seviye x 2 alınlık, boy 13,55 m</t>
        </is>
      </c>
      <c r="C64" s="6" t="n"/>
      <c r="D64" s="29" t="n">
        <v>8</v>
      </c>
      <c r="E64" s="29" t="n">
        <v>1</v>
      </c>
      <c r="F64" s="30" t="n">
        <v>13.55</v>
      </c>
      <c r="G64" s="6" t="n"/>
      <c r="H64" s="37" t="inlineStr">
        <is>
          <t>RHS 100x50x3</t>
        </is>
      </c>
      <c r="I64" s="34" t="n">
        <v>0.00672</v>
      </c>
      <c r="J64" s="35">
        <f>D64*E64*F64*I64</f>
        <v/>
      </c>
      <c r="K64" s="6" t="n"/>
    </row>
    <row r="65" ht="20" customHeight="1">
      <c r="A65" s="6" t="n"/>
      <c r="B65" s="24" t="inlineStr">
        <is>
          <t>KS iç kuşaklar — 21 çerçeve x 2 adet, orta açıklık 6,00 m</t>
        </is>
      </c>
      <c r="C65" s="6" t="n"/>
      <c r="D65" s="29" t="n">
        <v>21</v>
      </c>
      <c r="E65" s="29" t="n">
        <v>2</v>
      </c>
      <c r="F65" s="30" t="n">
        <v>6</v>
      </c>
      <c r="G65" s="6" t="n"/>
      <c r="H65" s="37" t="inlineStr">
        <is>
          <t>RHS 100x50x3</t>
        </is>
      </c>
      <c r="I65" s="34" t="n">
        <v>0.00672</v>
      </c>
      <c r="J65" s="35">
        <f>D65*E65*F65*I65</f>
        <v/>
      </c>
      <c r="K65" s="6" t="n"/>
    </row>
    <row r="66" ht="20" customHeight="1">
      <c r="A66" s="6" t="n"/>
      <c r="B66" s="24" t="inlineStr">
        <is>
          <t>CCPR ve YCPR çatı ve cephe çaprazları — toplam 270,00 m</t>
        </is>
      </c>
      <c r="C66" s="6" t="n"/>
      <c r="D66" s="29" t="n">
        <v>1</v>
      </c>
      <c r="E66" s="29" t="n">
        <v>1</v>
      </c>
      <c r="F66" s="30" t="n">
        <v>270</v>
      </c>
      <c r="G66" s="6" t="n"/>
      <c r="H66" s="37" t="inlineStr">
        <is>
          <t>SHS 100x100x4</t>
        </is>
      </c>
      <c r="I66" s="34" t="n">
        <v>0.01195</v>
      </c>
      <c r="J66" s="35">
        <f>D66*E66*F66*I66</f>
        <v/>
      </c>
      <c r="K66" s="6" t="n"/>
    </row>
    <row r="67" ht="20" customHeight="1">
      <c r="A67" s="6" t="n"/>
      <c r="B67" s="32" t="inlineStr">
        <is>
          <t>Gusse, alın levhası, taban plakası ve bulonlar — profil ağırlığının %10'u</t>
        </is>
      </c>
      <c r="C67" s="6" t="n"/>
      <c r="D67" s="29" t="n">
        <v>1</v>
      </c>
      <c r="E67" s="29" t="n">
        <v>1</v>
      </c>
      <c r="F67" s="6" t="n"/>
      <c r="G67" s="6" t="n"/>
      <c r="H67" s="33" t="inlineStr">
        <is>
          <t>Levha ve bulon</t>
        </is>
      </c>
      <c r="I67" s="34" t="n">
        <v>4.00439689</v>
      </c>
      <c r="J67" s="35">
        <f>D67*E67*I67</f>
        <v/>
      </c>
      <c r="K67" s="6" t="n"/>
    </row>
    <row r="68">
      <c r="A68" s="23" t="n"/>
      <c r="B68" s="26" t="inlineStr">
        <is>
          <t>KB/M31 GENEL TOPLAM</t>
        </is>
      </c>
      <c r="C68" s="27" t="inlineStr">
        <is>
          <t>ton</t>
        </is>
      </c>
      <c r="D68" s="23" t="n"/>
      <c r="E68" s="23" t="n"/>
      <c r="F68" s="23" t="n"/>
      <c r="G68" s="23" t="n"/>
      <c r="H68" s="23" t="n"/>
      <c r="I68" s="23" t="n"/>
      <c r="J68" s="23" t="n"/>
      <c r="K68" s="36">
        <f>SUM(J58:J67)</f>
        <v/>
      </c>
    </row>
    <row r="69" ht="22" customHeight="1">
      <c r="A69" s="21" t="inlineStr">
        <is>
          <t>15.550.1202</t>
        </is>
      </c>
      <c r="B69" s="8" t="inlineStr">
        <is>
          <t>[M34]  Lama ve profil demirlerden çeşitli demir işleri yapılması ve yerine konulması</t>
        </is>
      </c>
      <c r="C69" s="20" t="inlineStr">
        <is>
          <t>kg</t>
        </is>
      </c>
      <c r="D69" s="23" t="n"/>
      <c r="E69" s="23" t="n"/>
      <c r="F69" s="23" t="n"/>
      <c r="G69" s="23" t="n"/>
      <c r="H69" s="23" t="n"/>
      <c r="I69" s="23" t="n"/>
      <c r="J69" s="23" t="n"/>
      <c r="K69" s="23" t="n"/>
    </row>
    <row r="70" ht="12" customHeight="1">
      <c r="A70" s="6" t="n"/>
      <c r="B70" s="24" t="inlineStr">
        <is>
          <t>Mahya kapama profili — blok başına, boy 79,80 m</t>
        </is>
      </c>
      <c r="C70" s="6" t="n"/>
      <c r="D70" s="29" t="n">
        <v>1</v>
      </c>
      <c r="E70" s="29" t="n">
        <v>1</v>
      </c>
      <c r="F70" s="30" t="n">
        <v>79.8</v>
      </c>
      <c r="G70" s="6" t="n"/>
      <c r="H70" s="37" t="inlineStr">
        <is>
          <t>50x5 lama</t>
        </is>
      </c>
      <c r="I70" s="34" t="n">
        <v>2.5</v>
      </c>
      <c r="J70" s="35">
        <f>D70*E70*F70*I70</f>
        <v/>
      </c>
      <c r="K70" s="6" t="n"/>
    </row>
    <row r="71" ht="20" customHeight="1">
      <c r="A71" s="6" t="n"/>
      <c r="B71" s="24" t="inlineStr">
        <is>
          <t>Saçak kapama profili — blok başına 2 kenar, 2 kenar; boy 79,80 m</t>
        </is>
      </c>
      <c r="C71" s="6" t="n"/>
      <c r="D71" s="29" t="n">
        <v>2</v>
      </c>
      <c r="E71" s="29" t="n">
        <v>1</v>
      </c>
      <c r="F71" s="30" t="n">
        <v>79.8</v>
      </c>
      <c r="G71" s="6" t="n"/>
      <c r="H71" s="37" t="inlineStr">
        <is>
          <t>50x5 lama</t>
        </is>
      </c>
      <c r="I71" s="34" t="n">
        <v>2.5</v>
      </c>
      <c r="J71" s="35">
        <f>D71*E71*F71*I71</f>
        <v/>
      </c>
      <c r="K71" s="6" t="n"/>
    </row>
    <row r="72" ht="20" customHeight="1">
      <c r="A72" s="6" t="n"/>
      <c r="B72" s="24" t="inlineStr">
        <is>
          <t>Alınlık eğim kapamaları — alınlık başına 2 eğim, 2 alınlık, 2 blok = 8; eğik boy 7,55 m</t>
        </is>
      </c>
      <c r="C72" s="6" t="n"/>
      <c r="D72" s="29" t="n">
        <v>4</v>
      </c>
      <c r="E72" s="29" t="n">
        <v>1</v>
      </c>
      <c r="F72" s="30" t="n">
        <v>7.55</v>
      </c>
      <c r="G72" s="6" t="n"/>
      <c r="H72" s="37" t="inlineStr">
        <is>
          <t>50x5 lama</t>
        </is>
      </c>
      <c r="I72" s="34" t="n">
        <v>2.5</v>
      </c>
      <c r="J72" s="35">
        <f>D72*E72*F72*I72</f>
        <v/>
      </c>
      <c r="K72" s="6" t="n"/>
    </row>
    <row r="73">
      <c r="A73" s="23" t="n"/>
      <c r="B73" s="26" t="inlineStr">
        <is>
          <t>KB/M34 GENEL TOPLAM</t>
        </is>
      </c>
      <c r="C73" s="27" t="inlineStr">
        <is>
          <t>kg</t>
        </is>
      </c>
      <c r="D73" s="23" t="n"/>
      <c r="E73" s="23" t="n"/>
      <c r="F73" s="23" t="n"/>
      <c r="G73" s="23" t="n"/>
      <c r="H73" s="23" t="n"/>
      <c r="I73" s="23" t="n"/>
      <c r="J73" s="23" t="n"/>
      <c r="K73" s="36">
        <f>SUM(J70:J72)</f>
        <v/>
      </c>
    </row>
    <row r="74"/>
    <row r="75" ht="20" customHeight="1">
      <c r="A75" s="19" t="inlineStr">
        <is>
          <t>Yapı/Bina Adı: GÜBRE ÇUKURU</t>
        </is>
      </c>
    </row>
    <row r="76" ht="28" customHeight="1">
      <c r="A76" s="7" t="inlineStr">
        <is>
          <t>Poz No</t>
        </is>
      </c>
      <c r="B76" s="7" t="inlineStr">
        <is>
          <t>Tanımı</t>
        </is>
      </c>
      <c r="C76" s="7" t="inlineStr">
        <is>
          <t>Birim</t>
        </is>
      </c>
      <c r="D76" s="7" t="inlineStr">
        <is>
          <t>Benzer</t>
        </is>
      </c>
      <c r="E76" s="7" t="inlineStr">
        <is>
          <t>Adet</t>
        </is>
      </c>
      <c r="F76" s="7" t="inlineStr">
        <is>
          <t>Boy (m)</t>
        </is>
      </c>
      <c r="G76" s="7" t="inlineStr">
        <is>
          <t>En (m)</t>
        </is>
      </c>
      <c r="H76" s="7" t="inlineStr">
        <is>
          <t>Demir çapı veya profil tipi</t>
        </is>
      </c>
      <c r="I76" s="7" t="inlineStr">
        <is>
          <t>Birim Ağırlık</t>
        </is>
      </c>
      <c r="J76" s="7" t="inlineStr">
        <is>
          <t>Toplam Ağırlık</t>
        </is>
      </c>
      <c r="K76" s="7" t="inlineStr">
        <is>
          <t>Genel Toplam</t>
        </is>
      </c>
    </row>
    <row r="77" ht="22" customHeight="1">
      <c r="A77" s="21" t="inlineStr">
        <is>
          <t>15.160.1003</t>
        </is>
      </c>
      <c r="B77" s="8" t="inlineStr">
        <is>
          <t>[M24]  Ø 8 - Ø 12 mm nervürlü beton çelik çubuğu, çubukların kesilmesi, bükülmesi ve yerine konulması</t>
        </is>
      </c>
      <c r="C77" s="20" t="inlineStr">
        <is>
          <t>ton</t>
        </is>
      </c>
      <c r="D77" s="23" t="n"/>
      <c r="E77" s="23" t="n"/>
      <c r="F77" s="23" t="n"/>
      <c r="G77" s="23" t="n"/>
      <c r="H77" s="23" t="n"/>
      <c r="I77" s="23" t="n"/>
      <c r="J77" s="23" t="n"/>
      <c r="K77" s="23" t="n"/>
    </row>
    <row r="78" ht="20" customHeight="1">
      <c r="A78" s="6" t="n"/>
      <c r="B78" s="24" t="inlineStr">
        <is>
          <t>Radye temel 11.50 x 10.00 x 0,40 m; birim donatı oranı 110 kg/m³</t>
        </is>
      </c>
      <c r="C78" s="6" t="n"/>
      <c r="D78" s="29" t="n">
        <v>1</v>
      </c>
      <c r="E78" s="29" t="n">
        <v>1</v>
      </c>
      <c r="F78" s="30" t="n">
        <v>115</v>
      </c>
      <c r="G78" s="30" t="n">
        <v>0.4</v>
      </c>
      <c r="H78" s="37" t="inlineStr">
        <is>
          <t>ø8-12 nervürlü</t>
        </is>
      </c>
      <c r="I78" s="34" t="n">
        <v>0.11</v>
      </c>
      <c r="J78" s="35">
        <f>D78*E78*F78*G78*I78</f>
        <v/>
      </c>
      <c r="K78" s="6" t="n"/>
    </row>
    <row r="79" ht="20" customHeight="1">
      <c r="A79" s="6" t="n"/>
      <c r="B79" s="24" t="inlineStr">
        <is>
          <t>Üst döşeme donatısı — proje METRAJ tablosu 577,60 kg, alan oranı (1.000000) ile ölçeklenmiş</t>
        </is>
      </c>
      <c r="C79" s="6" t="n"/>
      <c r="D79" s="29" t="n">
        <v>1</v>
      </c>
      <c r="E79" s="29" t="n">
        <v>1</v>
      </c>
      <c r="F79" s="6" t="n"/>
      <c r="G79" s="6" t="n"/>
      <c r="H79" s="37" t="inlineStr">
        <is>
          <t>ø8-12 nervürlü</t>
        </is>
      </c>
      <c r="I79" s="34" t="n">
        <v>0.5776</v>
      </c>
      <c r="J79" s="35">
        <f>D79*E79*I79</f>
        <v/>
      </c>
      <c r="K79" s="6" t="n"/>
    </row>
    <row r="80" ht="20" customHeight="1">
      <c r="A80" s="6" t="n"/>
      <c r="B80" s="24" t="inlineStr">
        <is>
          <t>Perde ve kolon donatısı — proje METRAJ tablosu 1.961,69 kg, alan oranı ile ölçeklenmiş</t>
        </is>
      </c>
      <c r="C80" s="6" t="n"/>
      <c r="D80" s="29" t="n">
        <v>1</v>
      </c>
      <c r="E80" s="29" t="n">
        <v>1</v>
      </c>
      <c r="F80" s="6" t="n"/>
      <c r="G80" s="6" t="n"/>
      <c r="H80" s="37" t="inlineStr">
        <is>
          <t>ø8-12 nervürlü</t>
        </is>
      </c>
      <c r="I80" s="34" t="n">
        <v>1.96169</v>
      </c>
      <c r="J80" s="35">
        <f>D80*E80*I80</f>
        <v/>
      </c>
      <c r="K80" s="6" t="n"/>
    </row>
    <row r="81">
      <c r="A81" s="23" t="n"/>
      <c r="B81" s="26" t="inlineStr">
        <is>
          <t>GC/M24 GENEL TOPLAM</t>
        </is>
      </c>
      <c r="C81" s="27" t="inlineStr">
        <is>
          <t>ton</t>
        </is>
      </c>
      <c r="D81" s="23" t="n"/>
      <c r="E81" s="23" t="n"/>
      <c r="F81" s="23" t="n"/>
      <c r="G81" s="23" t="n"/>
      <c r="H81" s="23" t="n"/>
      <c r="I81" s="23" t="n"/>
      <c r="J81" s="23" t="n"/>
      <c r="K81" s="36">
        <f>SUM(J78:J80)</f>
        <v/>
      </c>
    </row>
    <row r="82" ht="22" customHeight="1">
      <c r="A82" s="21" t="inlineStr">
        <is>
          <t>15.160.1004</t>
        </is>
      </c>
      <c r="B82" s="8" t="inlineStr">
        <is>
          <t>[M25]  Ø 14 - Ø 28 mm nervürlü beton çelik çubuğu, çubukların kesilmesi, bükülmesi ve yerine konulması</t>
        </is>
      </c>
      <c r="C82" s="20" t="inlineStr">
        <is>
          <t>ton</t>
        </is>
      </c>
      <c r="D82" s="23" t="n"/>
      <c r="E82" s="23" t="n"/>
      <c r="F82" s="23" t="n"/>
      <c r="G82" s="23" t="n"/>
      <c r="H82" s="23" t="n"/>
      <c r="I82" s="23" t="n"/>
      <c r="J82" s="23" t="n"/>
      <c r="K82" s="23" t="n"/>
    </row>
    <row r="83" ht="20" customHeight="1">
      <c r="A83" s="6" t="n"/>
      <c r="B83" s="24" t="inlineStr">
        <is>
          <t>Gübre çukuru kalın donatı — proje METRAJ tablosu 564,10 kg, alan oranı (1.000000) ile ölçeklenmiş</t>
        </is>
      </c>
      <c r="C83" s="6" t="n"/>
      <c r="D83" s="29" t="n">
        <v>1</v>
      </c>
      <c r="E83" s="29" t="n">
        <v>1</v>
      </c>
      <c r="F83" s="6" t="n"/>
      <c r="G83" s="6" t="n"/>
      <c r="H83" s="37" t="inlineStr">
        <is>
          <t>ø14-28 nervürlü</t>
        </is>
      </c>
      <c r="I83" s="34" t="n">
        <v>0.5641</v>
      </c>
      <c r="J83" s="35">
        <f>D83*E83*I83</f>
        <v/>
      </c>
      <c r="K83" s="6" t="n"/>
    </row>
    <row r="84">
      <c r="A84" s="23" t="n"/>
      <c r="B84" s="26" t="inlineStr">
        <is>
          <t>GC/M25 GENEL TOPLAM</t>
        </is>
      </c>
      <c r="C84" s="27" t="inlineStr">
        <is>
          <t>ton</t>
        </is>
      </c>
      <c r="D84" s="23" t="n"/>
      <c r="E84" s="23" t="n"/>
      <c r="F84" s="23" t="n"/>
      <c r="G84" s="23" t="n"/>
      <c r="H84" s="23" t="n"/>
      <c r="I84" s="23" t="n"/>
      <c r="J84" s="23" t="n"/>
      <c r="K84" s="36">
        <f>SUM(J83:J83)</f>
        <v/>
      </c>
    </row>
    <row r="85"/>
    <row r="86" ht="20" customHeight="1">
      <c r="A86" s="19" t="inlineStr">
        <is>
          <t>Yapı/Bina Adı: ÖLÜ ATMA ÇUKURU</t>
        </is>
      </c>
    </row>
    <row r="87" ht="28" customHeight="1">
      <c r="A87" s="7" t="inlineStr">
        <is>
          <t>Poz No</t>
        </is>
      </c>
      <c r="B87" s="7" t="inlineStr">
        <is>
          <t>Tanımı</t>
        </is>
      </c>
      <c r="C87" s="7" t="inlineStr">
        <is>
          <t>Birim</t>
        </is>
      </c>
      <c r="D87" s="7" t="inlineStr">
        <is>
          <t>Benzer</t>
        </is>
      </c>
      <c r="E87" s="7" t="inlineStr">
        <is>
          <t>Adet</t>
        </is>
      </c>
      <c r="F87" s="7" t="inlineStr">
        <is>
          <t>Boy (m)</t>
        </is>
      </c>
      <c r="G87" s="7" t="inlineStr">
        <is>
          <t>En (m)</t>
        </is>
      </c>
      <c r="H87" s="7" t="inlineStr">
        <is>
          <t>Demir çapı veya profil tipi</t>
        </is>
      </c>
      <c r="I87" s="7" t="inlineStr">
        <is>
          <t>Birim Ağırlık</t>
        </is>
      </c>
      <c r="J87" s="7" t="inlineStr">
        <is>
          <t>Toplam Ağırlık</t>
        </is>
      </c>
      <c r="K87" s="7" t="inlineStr">
        <is>
          <t>Genel Toplam</t>
        </is>
      </c>
    </row>
    <row r="88" ht="22" customHeight="1">
      <c r="A88" s="21" t="inlineStr">
        <is>
          <t>15.160.1003</t>
        </is>
      </c>
      <c r="B88" s="8" t="inlineStr">
        <is>
          <t>[M26]  Ø 8 - Ø 12 mm nervürlü beton çelik çubuğu, çubukların kesilmesi, bükülmesi ve yerine konulması</t>
        </is>
      </c>
      <c r="C88" s="20" t="inlineStr">
        <is>
          <t>ton</t>
        </is>
      </c>
      <c r="D88" s="23" t="n"/>
      <c r="E88" s="23" t="n"/>
      <c r="F88" s="23" t="n"/>
      <c r="G88" s="23" t="n"/>
      <c r="H88" s="23" t="n"/>
      <c r="I88" s="23" t="n"/>
      <c r="J88" s="23" t="n"/>
      <c r="K88" s="23" t="n"/>
    </row>
    <row r="89" ht="20" customHeight="1">
      <c r="A89" s="6" t="n"/>
      <c r="B89" s="24" t="inlineStr">
        <is>
          <t>Radye ve üst döşeme — proje metrajı 335,40 + 46,70 = 382,10 kg</t>
        </is>
      </c>
      <c r="C89" s="6" t="n"/>
      <c r="D89" s="29" t="n">
        <v>1</v>
      </c>
      <c r="E89" s="29" t="n">
        <v>1</v>
      </c>
      <c r="F89" s="6" t="n"/>
      <c r="G89" s="6" t="n"/>
      <c r="H89" s="37" t="inlineStr">
        <is>
          <t>ø8-12 nervürlü</t>
        </is>
      </c>
      <c r="I89" s="34" t="n">
        <v>0.3821</v>
      </c>
      <c r="J89" s="35">
        <f>D89*E89*I89</f>
        <v/>
      </c>
      <c r="K89" s="6" t="n"/>
    </row>
    <row r="90" ht="12" customHeight="1">
      <c r="A90" s="6" t="n"/>
      <c r="B90" s="24" t="inlineStr">
        <is>
          <t>Perdeler 17,00 x 0,25 x 3,00 m³; 100 kg/m³</t>
        </is>
      </c>
      <c r="C90" s="6" t="n"/>
      <c r="D90" s="29" t="n">
        <v>1</v>
      </c>
      <c r="E90" s="29" t="n">
        <v>1</v>
      </c>
      <c r="F90" s="30" t="n">
        <v>4.25</v>
      </c>
      <c r="G90" s="30" t="n">
        <v>3</v>
      </c>
      <c r="H90" s="37" t="inlineStr">
        <is>
          <t>ø8-12 nervürlü</t>
        </is>
      </c>
      <c r="I90" s="34" t="n">
        <v>0.1</v>
      </c>
      <c r="J90" s="35">
        <f>D90*E90*F90*G90*I90</f>
        <v/>
      </c>
      <c r="K90" s="6" t="n"/>
    </row>
    <row r="91">
      <c r="A91" s="23" t="n"/>
      <c r="B91" s="26" t="inlineStr">
        <is>
          <t>OC/M26 GENEL TOPLAM</t>
        </is>
      </c>
      <c r="C91" s="27" t="inlineStr">
        <is>
          <t>ton</t>
        </is>
      </c>
      <c r="D91" s="23" t="n"/>
      <c r="E91" s="23" t="n"/>
      <c r="F91" s="23" t="n"/>
      <c r="G91" s="23" t="n"/>
      <c r="H91" s="23" t="n"/>
      <c r="I91" s="23" t="n"/>
      <c r="J91" s="23" t="n"/>
      <c r="K91" s="36">
        <f>SUM(J89:J90)</f>
        <v/>
      </c>
    </row>
    <row r="92"/>
    <row r="93" ht="20" customHeight="1">
      <c r="A93" s="19" t="inlineStr">
        <is>
          <t>Yapı/Bina Adı: FOSEPTIK</t>
        </is>
      </c>
    </row>
    <row r="94" ht="28" customHeight="1">
      <c r="A94" s="7" t="inlineStr">
        <is>
          <t>Poz No</t>
        </is>
      </c>
      <c r="B94" s="7" t="inlineStr">
        <is>
          <t>Tanımı</t>
        </is>
      </c>
      <c r="C94" s="7" t="inlineStr">
        <is>
          <t>Birim</t>
        </is>
      </c>
      <c r="D94" s="7" t="inlineStr">
        <is>
          <t>Benzer</t>
        </is>
      </c>
      <c r="E94" s="7" t="inlineStr">
        <is>
          <t>Adet</t>
        </is>
      </c>
      <c r="F94" s="7" t="inlineStr">
        <is>
          <t>Boy (m)</t>
        </is>
      </c>
      <c r="G94" s="7" t="inlineStr">
        <is>
          <t>En (m)</t>
        </is>
      </c>
      <c r="H94" s="7" t="inlineStr">
        <is>
          <t>Demir çapı veya profil tipi</t>
        </is>
      </c>
      <c r="I94" s="7" t="inlineStr">
        <is>
          <t>Birim Ağırlık</t>
        </is>
      </c>
      <c r="J94" s="7" t="inlineStr">
        <is>
          <t>Toplam Ağırlık</t>
        </is>
      </c>
      <c r="K94" s="7" t="inlineStr">
        <is>
          <t>Genel Toplam</t>
        </is>
      </c>
    </row>
    <row r="95" ht="22" customHeight="1">
      <c r="A95" s="21" t="inlineStr">
        <is>
          <t>15.160.1003</t>
        </is>
      </c>
      <c r="B95" s="8" t="inlineStr">
        <is>
          <t>[M26]  Ø 8 - Ø 12 mm nervürlü beton çelik çubuğu, çubukların kesilmesi, bükülmesi ve yerine konulması</t>
        </is>
      </c>
      <c r="C95" s="20" t="inlineStr">
        <is>
          <t>ton</t>
        </is>
      </c>
      <c r="D95" s="23" t="n"/>
      <c r="E95" s="23" t="n"/>
      <c r="F95" s="23" t="n"/>
      <c r="G95" s="23" t="n"/>
      <c r="H95" s="23" t="n"/>
      <c r="I95" s="23" t="n"/>
      <c r="J95" s="23" t="n"/>
      <c r="K95" s="23" t="n"/>
    </row>
    <row r="96" ht="12" customHeight="1">
      <c r="A96" s="6" t="n"/>
      <c r="B96" s="24" t="inlineStr">
        <is>
          <t>Radye 2,00 x 2,00 x 0,30 m³; 95 kg/m³</t>
        </is>
      </c>
      <c r="C96" s="6" t="n"/>
      <c r="D96" s="29" t="n">
        <v>1</v>
      </c>
      <c r="E96" s="29" t="n">
        <v>1</v>
      </c>
      <c r="F96" s="30" t="n">
        <v>4</v>
      </c>
      <c r="G96" s="30" t="n">
        <v>0.3</v>
      </c>
      <c r="H96" s="37" t="inlineStr">
        <is>
          <t>ø8-12 nervürlü</t>
        </is>
      </c>
      <c r="I96" s="34" t="n">
        <v>0.095</v>
      </c>
      <c r="J96" s="35">
        <f>D96*E96*F96*G96*I96</f>
        <v/>
      </c>
      <c r="K96" s="6" t="n"/>
    </row>
    <row r="97" ht="12" customHeight="1">
      <c r="A97" s="6" t="n"/>
      <c r="B97" s="24" t="inlineStr">
        <is>
          <t>Perdeler 7,00 x 0,25 x 2,50 m³; 95 kg/m³</t>
        </is>
      </c>
      <c r="C97" s="6" t="n"/>
      <c r="D97" s="29" t="n">
        <v>1</v>
      </c>
      <c r="E97" s="29" t="n">
        <v>1</v>
      </c>
      <c r="F97" s="30" t="n">
        <v>1.75</v>
      </c>
      <c r="G97" s="30" t="n">
        <v>2.5</v>
      </c>
      <c r="H97" s="37" t="inlineStr">
        <is>
          <t>ø8-12 nervürlü</t>
        </is>
      </c>
      <c r="I97" s="34" t="n">
        <v>0.095</v>
      </c>
      <c r="J97" s="35">
        <f>D97*E97*F97*G97*I97</f>
        <v/>
      </c>
      <c r="K97" s="6" t="n"/>
    </row>
    <row r="98" ht="12" customHeight="1">
      <c r="A98" s="6" t="n"/>
      <c r="B98" s="24" t="inlineStr">
        <is>
          <t>Üst döşeme 2,00 x 2,00 x 0,15 m³; 95 kg/m³</t>
        </is>
      </c>
      <c r="C98" s="6" t="n"/>
      <c r="D98" s="29" t="n">
        <v>1</v>
      </c>
      <c r="E98" s="29" t="n">
        <v>1</v>
      </c>
      <c r="F98" s="30" t="n">
        <v>4</v>
      </c>
      <c r="G98" s="30" t="n">
        <v>0.15</v>
      </c>
      <c r="H98" s="37" t="inlineStr">
        <is>
          <t>ø8-12 nervürlü</t>
        </is>
      </c>
      <c r="I98" s="34" t="n">
        <v>0.095</v>
      </c>
      <c r="J98" s="35">
        <f>D98*E98*F98*G98*I98</f>
        <v/>
      </c>
      <c r="K98" s="6" t="n"/>
    </row>
    <row r="99">
      <c r="A99" s="23" t="n"/>
      <c r="B99" s="26" t="inlineStr">
        <is>
          <t>FS/M26 GENEL TOPLAM</t>
        </is>
      </c>
      <c r="C99" s="27" t="inlineStr">
        <is>
          <t>ton</t>
        </is>
      </c>
      <c r="D99" s="23" t="n"/>
      <c r="E99" s="23" t="n"/>
      <c r="F99" s="23" t="n"/>
      <c r="G99" s="23" t="n"/>
      <c r="H99" s="23" t="n"/>
      <c r="I99" s="23" t="n"/>
      <c r="J99" s="23" t="n"/>
      <c r="K99" s="36">
        <f>SUM(J96:J98)</f>
        <v/>
      </c>
    </row>
    <row r="100"/>
    <row r="101" ht="20" customHeight="1">
      <c r="A101" s="19" t="inlineStr">
        <is>
          <t>Yapı/Bina Adı: YEM SILOSU BETONARME KAIDELERI</t>
        </is>
      </c>
    </row>
    <row r="102" ht="28" customHeight="1">
      <c r="A102" s="7" t="inlineStr">
        <is>
          <t>Poz No</t>
        </is>
      </c>
      <c r="B102" s="7" t="inlineStr">
        <is>
          <t>Tanımı</t>
        </is>
      </c>
      <c r="C102" s="7" t="inlineStr">
        <is>
          <t>Birim</t>
        </is>
      </c>
      <c r="D102" s="7" t="inlineStr">
        <is>
          <t>Benzer</t>
        </is>
      </c>
      <c r="E102" s="7" t="inlineStr">
        <is>
          <t>Adet</t>
        </is>
      </c>
      <c r="F102" s="7" t="inlineStr">
        <is>
          <t>Boy (m)</t>
        </is>
      </c>
      <c r="G102" s="7" t="inlineStr">
        <is>
          <t>En (m)</t>
        </is>
      </c>
      <c r="H102" s="7" t="inlineStr">
        <is>
          <t>Demir çapı veya profil tipi</t>
        </is>
      </c>
      <c r="I102" s="7" t="inlineStr">
        <is>
          <t>Birim Ağırlık</t>
        </is>
      </c>
      <c r="J102" s="7" t="inlineStr">
        <is>
          <t>Toplam Ağırlık</t>
        </is>
      </c>
      <c r="K102" s="7" t="inlineStr">
        <is>
          <t>Genel Toplam</t>
        </is>
      </c>
    </row>
    <row r="103" ht="22" customHeight="1">
      <c r="A103" s="21" t="inlineStr">
        <is>
          <t>15.160.1003</t>
        </is>
      </c>
      <c r="B103" s="8" t="inlineStr">
        <is>
          <t>[M26]  Ø 8 - Ø 12 mm nervürlü beton çelik çubuğu, çubukların kesilmesi, bükülmesi ve yerine konulması</t>
        </is>
      </c>
      <c r="C103" s="20" t="inlineStr">
        <is>
          <t>ton</t>
        </is>
      </c>
      <c r="D103" s="23" t="n"/>
      <c r="E103" s="23" t="n"/>
      <c r="F103" s="23" t="n"/>
      <c r="G103" s="23" t="n"/>
      <c r="H103" s="23" t="n"/>
      <c r="I103" s="23" t="n"/>
      <c r="J103" s="23" t="n"/>
      <c r="K103" s="23" t="n"/>
    </row>
    <row r="104" ht="12" customHeight="1">
      <c r="A104" s="6" t="n"/>
      <c r="B104" s="24" t="inlineStr">
        <is>
          <t>Kaideler 2,90 x 2,90 x 0,50 m³, 2 adet; 90 kg/m³</t>
        </is>
      </c>
      <c r="C104" s="6" t="n"/>
      <c r="D104" s="29" t="n">
        <v>2</v>
      </c>
      <c r="E104" s="29" t="n">
        <v>1</v>
      </c>
      <c r="F104" s="30" t="n">
        <v>8.41</v>
      </c>
      <c r="G104" s="30" t="n">
        <v>0.5</v>
      </c>
      <c r="H104" s="37" t="inlineStr">
        <is>
          <t>ø8-12 nervürlü</t>
        </is>
      </c>
      <c r="I104" s="34" t="n">
        <v>0.09</v>
      </c>
      <c r="J104" s="35">
        <f>D104*E104*F104*G104*I104</f>
        <v/>
      </c>
      <c r="K104" s="6" t="n"/>
    </row>
    <row r="105">
      <c r="A105" s="23" t="n"/>
      <c r="B105" s="26" t="inlineStr">
        <is>
          <t>SL/M26 GENEL TOPLAM</t>
        </is>
      </c>
      <c r="C105" s="27" t="inlineStr">
        <is>
          <t>ton</t>
        </is>
      </c>
      <c r="D105" s="23" t="n"/>
      <c r="E105" s="23" t="n"/>
      <c r="F105" s="23" t="n"/>
      <c r="G105" s="23" t="n"/>
      <c r="H105" s="23" t="n"/>
      <c r="I105" s="23" t="n"/>
      <c r="J105" s="23" t="n"/>
      <c r="K105" s="36">
        <f>SUM(J104:J104)</f>
        <v/>
      </c>
    </row>
    <row r="106"/>
    <row r="107" ht="20" customHeight="1">
      <c r="A107" s="19" t="inlineStr">
        <is>
          <t>Yapı/Bina Adı: SU DEPOSU</t>
        </is>
      </c>
    </row>
    <row r="108" ht="28" customHeight="1">
      <c r="A108" s="7" t="inlineStr">
        <is>
          <t>Poz No</t>
        </is>
      </c>
      <c r="B108" s="7" t="inlineStr">
        <is>
          <t>Tanımı</t>
        </is>
      </c>
      <c r="C108" s="7" t="inlineStr">
        <is>
          <t>Birim</t>
        </is>
      </c>
      <c r="D108" s="7" t="inlineStr">
        <is>
          <t>Benzer</t>
        </is>
      </c>
      <c r="E108" s="7" t="inlineStr">
        <is>
          <t>Adet</t>
        </is>
      </c>
      <c r="F108" s="7" t="inlineStr">
        <is>
          <t>Boy (m)</t>
        </is>
      </c>
      <c r="G108" s="7" t="inlineStr">
        <is>
          <t>En (m)</t>
        </is>
      </c>
      <c r="H108" s="7" t="inlineStr">
        <is>
          <t>Demir çapı veya profil tipi</t>
        </is>
      </c>
      <c r="I108" s="7" t="inlineStr">
        <is>
          <t>Birim Ağırlık</t>
        </is>
      </c>
      <c r="J108" s="7" t="inlineStr">
        <is>
          <t>Toplam Ağırlık</t>
        </is>
      </c>
      <c r="K108" s="7" t="inlineStr">
        <is>
          <t>Genel Toplam</t>
        </is>
      </c>
    </row>
    <row r="109" ht="22" customHeight="1">
      <c r="A109" s="21" t="inlineStr">
        <is>
          <t>15.160.1003</t>
        </is>
      </c>
      <c r="B109" s="8" t="inlineStr">
        <is>
          <t>[M26]  Ø 8 - Ø 12 mm nervürlü beton çelik çubuğu, çubukların kesilmesi, bükülmesi ve yerine konulması</t>
        </is>
      </c>
      <c r="C109" s="20" t="inlineStr">
        <is>
          <t>ton</t>
        </is>
      </c>
      <c r="D109" s="23" t="n"/>
      <c r="E109" s="23" t="n"/>
      <c r="F109" s="23" t="n"/>
      <c r="G109" s="23" t="n"/>
      <c r="H109" s="23" t="n"/>
      <c r="I109" s="23" t="n"/>
      <c r="J109" s="23" t="n"/>
      <c r="K109" s="23" t="n"/>
    </row>
    <row r="110" ht="20" customHeight="1">
      <c r="A110" s="6" t="n"/>
      <c r="B110" s="24" t="inlineStr">
        <is>
          <t>Radye ve üst döşeme — proje metrajı 223,70 + 32,90 = 256,60 kg</t>
        </is>
      </c>
      <c r="C110" s="6" t="n"/>
      <c r="D110" s="29" t="n">
        <v>1</v>
      </c>
      <c r="E110" s="29" t="n">
        <v>1</v>
      </c>
      <c r="F110" s="6" t="n"/>
      <c r="G110" s="6" t="n"/>
      <c r="H110" s="37" t="inlineStr">
        <is>
          <t>ø8-12 nervürlü</t>
        </is>
      </c>
      <c r="I110" s="34" t="n">
        <v>0.2566</v>
      </c>
      <c r="J110" s="35">
        <f>D110*E110*I110</f>
        <v/>
      </c>
      <c r="K110" s="6" t="n"/>
    </row>
    <row r="111" ht="12" customHeight="1">
      <c r="A111" s="6" t="n"/>
      <c r="B111" s="24" t="inlineStr">
        <is>
          <t>Perdeler 13,00 x 0,25 x 3,00 m³; 100 kg/m³</t>
        </is>
      </c>
      <c r="C111" s="6" t="n"/>
      <c r="D111" s="29" t="n">
        <v>1</v>
      </c>
      <c r="E111" s="29" t="n">
        <v>1</v>
      </c>
      <c r="F111" s="30" t="n">
        <v>3.25</v>
      </c>
      <c r="G111" s="30" t="n">
        <v>3</v>
      </c>
      <c r="H111" s="37" t="inlineStr">
        <is>
          <t>ø8-12 nervürlü</t>
        </is>
      </c>
      <c r="I111" s="34" t="n">
        <v>0.1</v>
      </c>
      <c r="J111" s="35">
        <f>D111*E111*F111*G111*I111</f>
        <v/>
      </c>
      <c r="K111" s="6" t="n"/>
    </row>
    <row r="112">
      <c r="A112" s="23" t="n"/>
      <c r="B112" s="26" t="inlineStr">
        <is>
          <t>SD/M26 GENEL TOPLAM</t>
        </is>
      </c>
      <c r="C112" s="27" t="inlineStr">
        <is>
          <t>ton</t>
        </is>
      </c>
      <c r="D112" s="23" t="n"/>
      <c r="E112" s="23" t="n"/>
      <c r="F112" s="23" t="n"/>
      <c r="G112" s="23" t="n"/>
      <c r="H112" s="23" t="n"/>
      <c r="I112" s="23" t="n"/>
      <c r="J112" s="23" t="n"/>
      <c r="K112" s="36">
        <f>SUM(J110:J111)</f>
        <v/>
      </c>
    </row>
    <row r="113"/>
    <row r="114">
      <c r="A114" s="17" t="inlineStr">
        <is>
          <t>AÇIKLAMALAR VE VARSAYIMLAR</t>
        </is>
      </c>
      <c r="B114" s="6" t="n"/>
      <c r="C114" s="6" t="n"/>
      <c r="D114" s="6" t="n"/>
      <c r="E114" s="6" t="n"/>
      <c r="F114" s="6" t="n"/>
      <c r="G114" s="6" t="n"/>
      <c r="H114" s="6" t="n"/>
      <c r="I114" s="6" t="n"/>
      <c r="J114" s="6" t="n"/>
      <c r="K114" s="6" t="n"/>
    </row>
    <row r="115" ht="13" customHeight="1">
      <c r="A115" s="18" t="inlineStr">
        <is>
          <t>•  SARI zeminli 'demir çapı veya profil tipi' hücreleri, proje toplamını tutturmak üzere yapılan dağıtımı gösterir.</t>
        </is>
      </c>
    </row>
    <row r="116" ht="33" customHeight="1">
      <c r="A116" s="18" t="inlineStr">
        <is>
          <t>•  Kümes A ve B blok temellerinin donatı TOPLAMLARI betonarme paftasındaki METRAJ tablosundan aynen alınmıştır (blok başına ø6-12 = 4.159,89 kg, ø14-50 = 7.287,50 kg). Bu toplamlar eleman bazında dağıtılmış, dağıtılamayan kısım açıkça 'proje METRAJ tablosunu tamamlayan pay' satırı olarak gösterilmiştir. Genel toplamlar proje tablosuyla birebir tutmaktadır.</t>
        </is>
      </c>
    </row>
    <row r="117" ht="22" customHeight="1">
      <c r="A117" s="18" t="inlineStr">
        <is>
          <t>•  ÇELİK TAŞIYICI SİSTEM STATİK ÇELİK PROJESİNDEN ALINMIŞTIR. Profiller SHS 150x150x6 (kolon, ana kiriş, boyuna kiriş), RHS 100x50x3 (çatı aşığı, yan aşık, kuşak) ve SHS 100x100x4 (çapraz); malzeme S235JR. Çerçeve geometrisi projedeki gibidir: aks açıklıkları 3,75 + 6,00 + 3,80 = 13,55 m, kolon üstü +2,84, mahya +4,34.</t>
        </is>
      </c>
    </row>
    <row r="118" ht="13" customHeight="1">
      <c r="A118" s="18" t="inlineStr">
        <is>
          <t>•  Gübre çukuru ve müştemilat donatısı, projedeki METRAJ tablolarından ve eleman hacmi x birim donatı oranı (kg/m³) esasıyla hesaplanmıştır.</t>
        </is>
      </c>
    </row>
    <row r="119" ht="22" customHeight="1">
      <c r="A119" s="18" t="inlineStr">
        <is>
          <t>•  Birim ağırlıklar (ton/m): ø8 0,000395 · ø10 0,000617 · ø12 0,000888 · ø14 0,001210 · ø16 0,001580 · ø20 0,002470 · HEA 200 0,0423 · HEA 260 0,0541 · IPE 270 0,0361 · Z 200x70x2,5 0,00900 · L 70x70x7 0,00738.</t>
        </is>
      </c>
    </row>
  </sheetData>
  <mergeCells count="16">
    <mergeCell ref="A119:K119"/>
    <mergeCell ref="A114:K114"/>
    <mergeCell ref="A118:K118"/>
    <mergeCell ref="A3:K3"/>
    <mergeCell ref="A101:K101"/>
    <mergeCell ref="A86:K86"/>
    <mergeCell ref="A2:K2"/>
    <mergeCell ref="A107:K107"/>
    <mergeCell ref="A115:K115"/>
    <mergeCell ref="A117:K117"/>
    <mergeCell ref="A5:K5"/>
    <mergeCell ref="A93:K93"/>
    <mergeCell ref="A116:K116"/>
    <mergeCell ref="A75:K75"/>
    <mergeCell ref="A1:K1"/>
    <mergeCell ref="A40:K40"/>
  </mergeCell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L35"/>
  <sheetViews>
    <sheetView showGridLines="0" workbookViewId="0">
      <pane ySplit="4" topLeftCell="A5" activePane="bottomLeft" state="frozen"/>
      <selection pane="bottomLeft" activeCell="A1" sqref="A1"/>
    </sheetView>
  </sheetViews>
  <sheetFormatPr baseColWidth="8" defaultRowHeight="15"/>
  <cols>
    <col width="26" customWidth="1" min="1" max="1"/>
    <col width="20" customWidth="1" min="2" max="2"/>
    <col width="62"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6" customHeight="1">
      <c r="A1" s="1" t="inlineStr">
        <is>
          <t>MAHAL LİSTESİ</t>
        </is>
      </c>
    </row>
    <row r="2">
      <c r="A2" s="2" t="inlineStr">
        <is>
          <t>MUSAB EDER ÇİFTLİĞİ KANATLI (ETLİK PİLİÇ) KÜMESİ — Kocaeli İli Karamürsel İlçesi İnebeyli Mahallesi 138 ada 17 parsel (7.966,67 m²)</t>
        </is>
      </c>
    </row>
    <row r="3">
      <c r="A3" s="3" t="inlineStr">
        <is>
          <t>Mimari projenin ekidir. X işareti, o mahalde ilgili poz numaralı malzemenin kullanılacağını gösterir.</t>
        </is>
      </c>
    </row>
    <row r="4"/>
    <row r="5" ht="40" customHeight="1">
      <c r="A5" s="7" t="inlineStr">
        <is>
          <t>Yapı Elemanı</t>
        </is>
      </c>
      <c r="B5" s="7" t="inlineStr">
        <is>
          <t>Poz No</t>
        </is>
      </c>
      <c r="C5" s="7" t="inlineStr">
        <is>
          <t>Malzeme / İmalat</t>
        </is>
      </c>
      <c r="D5" s="7" t="inlineStr">
        <is>
          <t>Kümes Hacmi
(A ve B blok)</t>
        </is>
      </c>
      <c r="E5" s="7" t="inlineStr">
        <is>
          <t>Kümes Servis
Bölümü</t>
        </is>
      </c>
      <c r="F5" s="7" t="inlineStr">
        <is>
          <t>Çatı</t>
        </is>
      </c>
      <c r="G5" s="7" t="inlineStr">
        <is>
          <t>Gübre
Çukuru</t>
        </is>
      </c>
      <c r="H5" s="7" t="inlineStr">
        <is>
          <t>Ölü Atma
Çukuru</t>
        </is>
      </c>
      <c r="I5" s="7" t="inlineStr">
        <is>
          <t>Su ve Yağmur
Suyu Deposu</t>
        </is>
      </c>
      <c r="J5" s="7" t="inlineStr">
        <is>
          <t>Foseptik</t>
        </is>
      </c>
      <c r="K5" s="7" t="inlineStr">
        <is>
          <t>Yem Silosu
Kaidesi</t>
        </is>
      </c>
      <c r="L5" s="7" t="inlineStr">
        <is>
          <t>Parsel
Çevresi</t>
        </is>
      </c>
    </row>
    <row r="6" ht="15" customHeight="1">
      <c r="A6" s="8" t="inlineStr">
        <is>
          <t>Taşıyıcı Sistem</t>
        </is>
      </c>
      <c r="B6" s="10" t="inlineStr">
        <is>
          <t>15.150.1005</t>
        </is>
      </c>
      <c r="C6" s="38" t="inlineStr">
        <is>
          <t>C 25/30 betonarme (temel, perde, döşeme)</t>
        </is>
      </c>
      <c r="D6" s="22" t="inlineStr">
        <is>
          <t>X</t>
        </is>
      </c>
      <c r="E6" s="22" t="inlineStr">
        <is>
          <t>X</t>
        </is>
      </c>
      <c r="F6" s="16" t="inlineStr"/>
      <c r="G6" s="22" t="inlineStr">
        <is>
          <t>X</t>
        </is>
      </c>
      <c r="H6" s="22" t="inlineStr">
        <is>
          <t>X</t>
        </is>
      </c>
      <c r="I6" s="22" t="inlineStr">
        <is>
          <t>X</t>
        </is>
      </c>
      <c r="J6" s="22" t="inlineStr">
        <is>
          <t>X</t>
        </is>
      </c>
      <c r="K6" s="22" t="inlineStr">
        <is>
          <t>X</t>
        </is>
      </c>
      <c r="L6" s="16" t="inlineStr"/>
    </row>
    <row r="7" ht="15" customHeight="1">
      <c r="A7" s="14" t="n"/>
      <c r="B7" s="10" t="inlineStr">
        <is>
          <t>15.150.1003</t>
        </is>
      </c>
      <c r="C7" s="38" t="inlineStr">
        <is>
          <t>C 16/20 grobeton (temel altı)</t>
        </is>
      </c>
      <c r="D7" s="22" t="inlineStr">
        <is>
          <t>X</t>
        </is>
      </c>
      <c r="E7" s="22" t="inlineStr">
        <is>
          <t>X</t>
        </is>
      </c>
      <c r="F7" s="16" t="inlineStr"/>
      <c r="G7" s="22" t="inlineStr">
        <is>
          <t>X</t>
        </is>
      </c>
      <c r="H7" s="22" t="inlineStr">
        <is>
          <t>X</t>
        </is>
      </c>
      <c r="I7" s="22" t="inlineStr">
        <is>
          <t>X</t>
        </is>
      </c>
      <c r="J7" s="22" t="inlineStr">
        <is>
          <t>X</t>
        </is>
      </c>
      <c r="K7" s="22" t="inlineStr">
        <is>
          <t>X</t>
        </is>
      </c>
      <c r="L7" s="16" t="inlineStr"/>
    </row>
    <row r="8" ht="15" customHeight="1">
      <c r="A8" s="14" t="n"/>
      <c r="B8" s="10" t="inlineStr">
        <is>
          <t>15.165.1003</t>
        </is>
      </c>
      <c r="C8" s="38" t="inlineStr">
        <is>
          <t>Çelik karkas (kolon, çatı kirişi, aşık, çapraz)</t>
        </is>
      </c>
      <c r="D8" s="22" t="inlineStr">
        <is>
          <t>X</t>
        </is>
      </c>
      <c r="E8" s="22" t="inlineStr">
        <is>
          <t>X</t>
        </is>
      </c>
      <c r="F8" s="22" t="inlineStr">
        <is>
          <t>X</t>
        </is>
      </c>
      <c r="G8" s="16" t="inlineStr"/>
      <c r="H8" s="16" t="inlineStr"/>
      <c r="I8" s="16" t="inlineStr"/>
      <c r="J8" s="16" t="inlineStr"/>
      <c r="K8" s="16" t="inlineStr"/>
      <c r="L8" s="16" t="inlineStr"/>
    </row>
    <row r="9" ht="15" customHeight="1">
      <c r="A9" s="14" t="n"/>
      <c r="B9" s="10" t="inlineStr">
        <is>
          <t>15.160.1003</t>
        </is>
      </c>
      <c r="C9" s="38" t="inlineStr">
        <is>
          <t>B420C nervürlü betonarme çeliği ø8 - ø12</t>
        </is>
      </c>
      <c r="D9" s="22" t="inlineStr">
        <is>
          <t>X</t>
        </is>
      </c>
      <c r="E9" s="22" t="inlineStr">
        <is>
          <t>X</t>
        </is>
      </c>
      <c r="F9" s="16" t="inlineStr"/>
      <c r="G9" s="22" t="inlineStr">
        <is>
          <t>X</t>
        </is>
      </c>
      <c r="H9" s="22" t="inlineStr">
        <is>
          <t>X</t>
        </is>
      </c>
      <c r="I9" s="22" t="inlineStr">
        <is>
          <t>X</t>
        </is>
      </c>
      <c r="J9" s="22" t="inlineStr">
        <is>
          <t>X</t>
        </is>
      </c>
      <c r="K9" s="22" t="inlineStr">
        <is>
          <t>X</t>
        </is>
      </c>
      <c r="L9" s="16" t="inlineStr"/>
    </row>
    <row r="10" ht="15" customHeight="1">
      <c r="A10" s="15" t="n"/>
      <c r="B10" s="10" t="inlineStr">
        <is>
          <t>15.160.1004</t>
        </is>
      </c>
      <c r="C10" s="38" t="inlineStr">
        <is>
          <t>B420C nervürlü betonarme çeliği ø14 - ø28</t>
        </is>
      </c>
      <c r="D10" s="22" t="inlineStr">
        <is>
          <t>X</t>
        </is>
      </c>
      <c r="E10" s="22" t="inlineStr">
        <is>
          <t>X</t>
        </is>
      </c>
      <c r="F10" s="16" t="inlineStr"/>
      <c r="G10" s="22" t="inlineStr">
        <is>
          <t>X</t>
        </is>
      </c>
      <c r="H10" s="16" t="inlineStr"/>
      <c r="I10" s="22" t="inlineStr">
        <is>
          <t>X</t>
        </is>
      </c>
      <c r="J10" s="16" t="inlineStr"/>
      <c r="K10" s="16" t="inlineStr"/>
      <c r="L10" s="16" t="inlineStr"/>
    </row>
    <row r="11" ht="15" customHeight="1">
      <c r="A11" s="8" t="inlineStr">
        <is>
          <t>Zemin Kaplaması</t>
        </is>
      </c>
      <c r="B11" s="10" t="inlineStr">
        <is>
          <t>15.150.1005</t>
        </is>
      </c>
      <c r="C11" s="38" t="inlineStr">
        <is>
          <t>C 25/30 betonarme zemin döşemesi (15 cm)</t>
        </is>
      </c>
      <c r="D11" s="22" t="inlineStr">
        <is>
          <t>X</t>
        </is>
      </c>
      <c r="E11" s="22" t="inlineStr">
        <is>
          <t>X</t>
        </is>
      </c>
      <c r="F11" s="16" t="inlineStr"/>
      <c r="G11" s="22" t="inlineStr">
        <is>
          <t>X</t>
        </is>
      </c>
      <c r="H11" s="22" t="inlineStr">
        <is>
          <t>X</t>
        </is>
      </c>
      <c r="I11" s="22" t="inlineStr">
        <is>
          <t>X</t>
        </is>
      </c>
      <c r="J11" s="22" t="inlineStr">
        <is>
          <t>X</t>
        </is>
      </c>
      <c r="K11" s="16" t="inlineStr"/>
      <c r="L11" s="16" t="inlineStr"/>
    </row>
    <row r="12" ht="15" customHeight="1">
      <c r="A12" s="14" t="n"/>
      <c r="B12" s="10" t="inlineStr">
        <is>
          <t>15.160.1002</t>
        </is>
      </c>
      <c r="C12" s="38" t="inlineStr">
        <is>
          <t>Q188 nervürlü çelik hasır</t>
        </is>
      </c>
      <c r="D12" s="22" t="inlineStr">
        <is>
          <t>X</t>
        </is>
      </c>
      <c r="E12" s="22" t="inlineStr">
        <is>
          <t>X</t>
        </is>
      </c>
      <c r="F12" s="16" t="inlineStr"/>
      <c r="G12" s="16" t="inlineStr"/>
      <c r="H12" s="16" t="inlineStr"/>
      <c r="I12" s="16" t="inlineStr"/>
      <c r="J12" s="16" t="inlineStr"/>
      <c r="K12" s="16" t="inlineStr"/>
      <c r="L12" s="16" t="inlineStr"/>
    </row>
    <row r="13" ht="22" customHeight="1">
      <c r="A13" s="15" t="n"/>
      <c r="B13" s="21" t="inlineStr">
        <is>
          <t>TKDK-0177</t>
        </is>
      </c>
      <c r="C13" s="38" t="inlineStr">
        <is>
          <t>Duvar karosu ile döşeme kaplaması (hijyen bölmesi, ofis ve WC)</t>
        </is>
      </c>
      <c r="D13" s="16" t="inlineStr"/>
      <c r="E13" s="22" t="inlineStr">
        <is>
          <t>X</t>
        </is>
      </c>
      <c r="F13" s="16" t="inlineStr"/>
      <c r="G13" s="16" t="inlineStr"/>
      <c r="H13" s="16" t="inlineStr"/>
      <c r="I13" s="16" t="inlineStr"/>
      <c r="J13" s="16" t="inlineStr"/>
      <c r="K13" s="16" t="inlineStr"/>
      <c r="L13" s="16" t="inlineStr"/>
    </row>
    <row r="14" ht="15" customHeight="1">
      <c r="A14" s="8" t="inlineStr">
        <is>
          <t>Duvar Kaplaması</t>
        </is>
      </c>
      <c r="B14" s="10" t="inlineStr">
        <is>
          <t>15.225.1010</t>
        </is>
      </c>
      <c r="C14" s="38" t="inlineStr">
        <is>
          <t>20 cm teçhizatsız gazbeton blok duvar (gazbeton tutkalı)</t>
        </is>
      </c>
      <c r="D14" s="22" t="inlineStr">
        <is>
          <t>X</t>
        </is>
      </c>
      <c r="E14" s="22" t="inlineStr">
        <is>
          <t>X</t>
        </is>
      </c>
      <c r="F14" s="16" t="inlineStr"/>
      <c r="G14" s="16" t="inlineStr"/>
      <c r="H14" s="16" t="inlineStr"/>
      <c r="I14" s="16" t="inlineStr"/>
      <c r="J14" s="16" t="inlineStr"/>
      <c r="K14" s="16" t="inlineStr"/>
      <c r="L14" s="16" t="inlineStr"/>
    </row>
    <row r="15" ht="15" customHeight="1">
      <c r="A15" s="14" t="n"/>
      <c r="B15" s="10" t="inlineStr">
        <is>
          <t>15.225.1410</t>
        </is>
      </c>
      <c r="C15" s="38" t="inlineStr">
        <is>
          <t>20 cm teçhizatlı gazbeton lento ve yatay hatıl</t>
        </is>
      </c>
      <c r="D15" s="22" t="inlineStr">
        <is>
          <t>X</t>
        </is>
      </c>
      <c r="E15" s="22" t="inlineStr">
        <is>
          <t>X</t>
        </is>
      </c>
      <c r="F15" s="16" t="inlineStr"/>
      <c r="G15" s="16" t="inlineStr"/>
      <c r="H15" s="16" t="inlineStr"/>
      <c r="I15" s="16" t="inlineStr"/>
      <c r="J15" s="16" t="inlineStr"/>
      <c r="K15" s="16" t="inlineStr"/>
      <c r="L15" s="16" t="inlineStr"/>
    </row>
    <row r="16" ht="15" customHeight="1">
      <c r="A16" s="14" t="n"/>
      <c r="B16" s="10" t="inlineStr">
        <is>
          <t>15.275.1116</t>
        </is>
      </c>
      <c r="C16" s="38" t="inlineStr">
        <is>
          <t>250 kg çimento dozlu kaba sıva — dış yüz</t>
        </is>
      </c>
      <c r="D16" s="22" t="inlineStr">
        <is>
          <t>X</t>
        </is>
      </c>
      <c r="E16" s="22" t="inlineStr">
        <is>
          <t>X</t>
        </is>
      </c>
      <c r="F16" s="16" t="inlineStr"/>
      <c r="G16" s="16" t="inlineStr"/>
      <c r="H16" s="16" t="inlineStr"/>
      <c r="I16" s="16" t="inlineStr"/>
      <c r="J16" s="16" t="inlineStr"/>
      <c r="K16" s="16" t="inlineStr"/>
      <c r="L16" s="16" t="inlineStr"/>
    </row>
    <row r="17" ht="15" customHeight="1">
      <c r="A17" s="14" t="n"/>
      <c r="B17" s="10" t="inlineStr">
        <is>
          <t>15.275.1117</t>
        </is>
      </c>
      <c r="C17" s="38" t="inlineStr">
        <is>
          <t>200 kg çimento ve kireç karışımı kaba sıva — iç yüz</t>
        </is>
      </c>
      <c r="D17" s="22" t="inlineStr">
        <is>
          <t>X</t>
        </is>
      </c>
      <c r="E17" s="22" t="inlineStr">
        <is>
          <t>X</t>
        </is>
      </c>
      <c r="F17" s="16" t="inlineStr"/>
      <c r="G17" s="16" t="inlineStr"/>
      <c r="H17" s="16" t="inlineStr"/>
      <c r="I17" s="16" t="inlineStr"/>
      <c r="J17" s="16" t="inlineStr"/>
      <c r="K17" s="16" t="inlineStr"/>
      <c r="L17" s="16" t="inlineStr"/>
    </row>
    <row r="18" ht="15" customHeight="1">
      <c r="A18" s="14" t="n"/>
      <c r="B18" s="10" t="inlineStr">
        <is>
          <t>15.540.1606</t>
        </is>
      </c>
      <c r="C18" s="38" t="inlineStr">
        <is>
          <t>Silikon esaslı su bazlı dış cephe boyası</t>
        </is>
      </c>
      <c r="D18" s="22" t="inlineStr">
        <is>
          <t>X</t>
        </is>
      </c>
      <c r="E18" s="22" t="inlineStr">
        <is>
          <t>X</t>
        </is>
      </c>
      <c r="F18" s="16" t="inlineStr"/>
      <c r="G18" s="16" t="inlineStr"/>
      <c r="H18" s="16" t="inlineStr"/>
      <c r="I18" s="16" t="inlineStr"/>
      <c r="J18" s="16" t="inlineStr"/>
      <c r="K18" s="16" t="inlineStr"/>
      <c r="L18" s="16" t="inlineStr"/>
    </row>
    <row r="19" ht="15" customHeight="1">
      <c r="A19" s="14" t="n"/>
      <c r="B19" s="10" t="inlineStr">
        <is>
          <t>15.540.1537</t>
        </is>
      </c>
      <c r="C19" s="38" t="inlineStr">
        <is>
          <t>Su bazlı plastik antibakteriyel iç cephe boyası</t>
        </is>
      </c>
      <c r="D19" s="22" t="inlineStr">
        <is>
          <t>X</t>
        </is>
      </c>
      <c r="E19" s="22" t="inlineStr">
        <is>
          <t>X</t>
        </is>
      </c>
      <c r="F19" s="16" t="inlineStr"/>
      <c r="G19" s="16" t="inlineStr"/>
      <c r="H19" s="16" t="inlineStr"/>
      <c r="I19" s="16" t="inlineStr"/>
      <c r="J19" s="16" t="inlineStr"/>
      <c r="K19" s="16" t="inlineStr"/>
      <c r="L19" s="16" t="inlineStr"/>
    </row>
    <row r="20" ht="15" customHeight="1">
      <c r="A20" s="15" t="n"/>
      <c r="B20" s="10" t="inlineStr">
        <is>
          <t>15.150.1005</t>
        </is>
      </c>
      <c r="C20" s="38" t="inlineStr">
        <is>
          <t>Brüt betonarme perde (kaplamasız)</t>
        </is>
      </c>
      <c r="D20" s="16" t="inlineStr"/>
      <c r="E20" s="16" t="inlineStr"/>
      <c r="F20" s="16" t="inlineStr"/>
      <c r="G20" s="22" t="inlineStr">
        <is>
          <t>X</t>
        </is>
      </c>
      <c r="H20" s="22" t="inlineStr">
        <is>
          <t>X</t>
        </is>
      </c>
      <c r="I20" s="22" t="inlineStr">
        <is>
          <t>X</t>
        </is>
      </c>
      <c r="J20" s="22" t="inlineStr">
        <is>
          <t>X</t>
        </is>
      </c>
      <c r="K20" s="16" t="inlineStr"/>
      <c r="L20" s="16" t="inlineStr"/>
    </row>
    <row r="21" ht="15" customHeight="1">
      <c r="A21" s="8" t="inlineStr">
        <is>
          <t>Tavan Kaplaması</t>
        </is>
      </c>
      <c r="B21" s="21" t="inlineStr">
        <is>
          <t>TKDK-0042</t>
        </is>
      </c>
      <c r="C21" s="38" t="inlineStr">
        <is>
          <t>6 cm poliüretan dolgulu sandviç panel (alttan görünür yüz)</t>
        </is>
      </c>
      <c r="D21" s="22" t="inlineStr">
        <is>
          <t>X</t>
        </is>
      </c>
      <c r="E21" s="22" t="inlineStr">
        <is>
          <t>X</t>
        </is>
      </c>
      <c r="F21" s="16" t="inlineStr"/>
      <c r="G21" s="16" t="inlineStr"/>
      <c r="H21" s="16" t="inlineStr"/>
      <c r="I21" s="16" t="inlineStr"/>
      <c r="J21" s="16" t="inlineStr"/>
      <c r="K21" s="16" t="inlineStr"/>
      <c r="L21" s="16" t="inlineStr"/>
    </row>
    <row r="22" ht="15" customHeight="1">
      <c r="A22" s="15" t="n"/>
      <c r="B22" s="10" t="inlineStr">
        <is>
          <t>15.150.1005</t>
        </is>
      </c>
      <c r="C22" s="38" t="inlineStr">
        <is>
          <t>C 25/30 betonarme üst döşeme</t>
        </is>
      </c>
      <c r="D22" s="16" t="inlineStr"/>
      <c r="E22" s="16" t="inlineStr"/>
      <c r="F22" s="16" t="inlineStr"/>
      <c r="G22" s="22" t="inlineStr">
        <is>
          <t>X</t>
        </is>
      </c>
      <c r="H22" s="22" t="inlineStr">
        <is>
          <t>X</t>
        </is>
      </c>
      <c r="I22" s="22" t="inlineStr">
        <is>
          <t>X</t>
        </is>
      </c>
      <c r="J22" s="22" t="inlineStr">
        <is>
          <t>X</t>
        </is>
      </c>
      <c r="K22" s="16" t="inlineStr"/>
      <c r="L22" s="16" t="inlineStr"/>
    </row>
    <row r="23" ht="15" customHeight="1">
      <c r="A23" s="8" t="inlineStr">
        <is>
          <t>Çatı İmalatları</t>
        </is>
      </c>
      <c r="B23" s="21" t="inlineStr">
        <is>
          <t>TKDK-0042</t>
        </is>
      </c>
      <c r="C23" s="38" t="inlineStr">
        <is>
          <t>6 cm poliüretan dolgulu ısı yalıtımlı sandviç çatı paneli</t>
        </is>
      </c>
      <c r="D23" s="16" t="inlineStr"/>
      <c r="E23" s="16" t="inlineStr"/>
      <c r="F23" s="22" t="inlineStr">
        <is>
          <t>X</t>
        </is>
      </c>
      <c r="G23" s="16" t="inlineStr"/>
      <c r="H23" s="16" t="inlineStr"/>
      <c r="I23" s="16" t="inlineStr"/>
      <c r="J23" s="16" t="inlineStr"/>
      <c r="K23" s="16" t="inlineStr"/>
      <c r="L23" s="16" t="inlineStr"/>
    </row>
    <row r="24" ht="15" customHeight="1">
      <c r="A24" s="14" t="n"/>
      <c r="B24" s="10" t="inlineStr">
        <is>
          <t>15.550.1202</t>
        </is>
      </c>
      <c r="C24" s="38" t="inlineStr">
        <is>
          <t>Lama ve profil demirden mahya, saçak ve köşe kapaması</t>
        </is>
      </c>
      <c r="D24" s="16" t="inlineStr"/>
      <c r="E24" s="16" t="inlineStr"/>
      <c r="F24" s="22" t="inlineStr">
        <is>
          <t>X</t>
        </is>
      </c>
      <c r="G24" s="16" t="inlineStr"/>
      <c r="H24" s="16" t="inlineStr"/>
      <c r="I24" s="16" t="inlineStr"/>
      <c r="J24" s="16" t="inlineStr"/>
      <c r="K24" s="16" t="inlineStr"/>
      <c r="L24" s="16" t="inlineStr"/>
    </row>
    <row r="25" ht="15" customHeight="1">
      <c r="A25" s="15" t="n"/>
      <c r="B25" s="21" t="inlineStr">
        <is>
          <t>TKDK-0115</t>
        </is>
      </c>
      <c r="C25" s="38" t="inlineStr">
        <is>
          <t>Galvanizli düz sacdan yağmur oluğu ve ø100 iniş borusu</t>
        </is>
      </c>
      <c r="D25" s="16" t="inlineStr"/>
      <c r="E25" s="16" t="inlineStr"/>
      <c r="F25" s="22" t="inlineStr">
        <is>
          <t>X</t>
        </is>
      </c>
      <c r="G25" s="16" t="inlineStr"/>
      <c r="H25" s="16" t="inlineStr"/>
      <c r="I25" s="16" t="inlineStr"/>
      <c r="J25" s="16" t="inlineStr"/>
      <c r="K25" s="16" t="inlineStr"/>
      <c r="L25" s="16" t="inlineStr"/>
    </row>
    <row r="26" ht="22" customHeight="1">
      <c r="A26" s="8" t="inlineStr">
        <is>
          <t>Kapı Doğraması</t>
        </is>
      </c>
      <c r="B26" s="21" t="inlineStr">
        <is>
          <t>TKDK-0151</t>
        </is>
      </c>
      <c r="C26" s="38" t="inlineStr">
        <is>
          <t>5 cm poliüretan dolgulu ısı yalıtımlı kapı — servis kapısı 100/220 ve yükleme kapısı 300/300</t>
        </is>
      </c>
      <c r="D26" s="22" t="inlineStr">
        <is>
          <t>X</t>
        </is>
      </c>
      <c r="E26" s="16" t="inlineStr"/>
      <c r="F26" s="16" t="inlineStr"/>
      <c r="G26" s="16" t="inlineStr"/>
      <c r="H26" s="16" t="inlineStr"/>
      <c r="I26" s="16" t="inlineStr"/>
      <c r="J26" s="16" t="inlineStr"/>
      <c r="K26" s="16" t="inlineStr"/>
      <c r="L26" s="16" t="inlineStr"/>
    </row>
    <row r="27" ht="22" customHeight="1">
      <c r="A27" s="15" t="n"/>
      <c r="B27" s="21" t="inlineStr">
        <is>
          <t>TKDK-0175</t>
        </is>
      </c>
      <c r="C27" s="38" t="inlineStr">
        <is>
          <t>PVC kaplamalı MDF presli iç kapı kanadı (hijyen bölmesi, ofis ve WC)</t>
        </is>
      </c>
      <c r="D27" s="16" t="inlineStr"/>
      <c r="E27" s="22" t="inlineStr">
        <is>
          <t>X</t>
        </is>
      </c>
      <c r="F27" s="16" t="inlineStr"/>
      <c r="G27" s="16" t="inlineStr"/>
      <c r="H27" s="16" t="inlineStr"/>
      <c r="I27" s="16" t="inlineStr"/>
      <c r="J27" s="16" t="inlineStr"/>
      <c r="K27" s="16" t="inlineStr"/>
      <c r="L27" s="16" t="inlineStr"/>
    </row>
    <row r="28" ht="22" customHeight="1">
      <c r="A28" s="8" t="inlineStr">
        <is>
          <t>Çit İmalatları</t>
        </is>
      </c>
      <c r="B28" s="21" t="inlineStr">
        <is>
          <t>TKDK-0091</t>
        </is>
      </c>
      <c r="C28" s="38" t="inlineStr">
        <is>
          <t>Betonarme direkli galvanizli tel örgü çit (h = 1,50 m, göz 60x60 mm)</t>
        </is>
      </c>
      <c r="D28" s="16" t="inlineStr"/>
      <c r="E28" s="16" t="inlineStr"/>
      <c r="F28" s="16" t="inlineStr"/>
      <c r="G28" s="16" t="inlineStr"/>
      <c r="H28" s="16" t="inlineStr"/>
      <c r="I28" s="16" t="inlineStr"/>
      <c r="J28" s="16" t="inlineStr"/>
      <c r="K28" s="16" t="inlineStr"/>
      <c r="L28" s="22" t="inlineStr">
        <is>
          <t>X</t>
        </is>
      </c>
    </row>
    <row r="29"/>
    <row r="30">
      <c r="A30" s="17" t="inlineStr">
        <is>
          <t>AÇIKLAMALAR</t>
        </is>
      </c>
      <c r="B30" s="6" t="n"/>
      <c r="C30" s="6" t="n"/>
      <c r="D30" s="6" t="n"/>
      <c r="E30" s="6" t="n"/>
      <c r="F30" s="6" t="n"/>
      <c r="G30" s="6" t="n"/>
      <c r="H30" s="6" t="n"/>
      <c r="I30" s="6" t="n"/>
      <c r="J30" s="6" t="n"/>
      <c r="K30" s="6" t="n"/>
      <c r="L30" s="6" t="n"/>
    </row>
    <row r="31" ht="13" customHeight="1">
      <c r="A31" s="18" t="inlineStr">
        <is>
          <t>•  Mahal listesi, mimari projenin ekinde sunulmak üzere hazırlanmıştır; mahal kodları mimari plandaki blok ve hacim adlarıyla eşleşir.</t>
        </is>
      </c>
    </row>
    <row r="32" ht="13" customHeight="1">
      <c r="A32" s="18" t="inlineStr">
        <is>
          <t>•  Listede kullanılan poz numaraları metraj cetveli ve keşif özetiyle birebir aynıdır.</t>
        </is>
      </c>
    </row>
    <row r="33" ht="13" customHeight="1">
      <c r="A33" s="18" t="inlineStr">
        <is>
          <t>•  Kümes A ve B blok birebir özdeş olduğundan tek mahal sütununda gösterilmiştir.</t>
        </is>
      </c>
    </row>
    <row r="34" ht="22" customHeight="1">
      <c r="A34" s="18" t="inlineStr">
        <is>
          <t>•  Listedeki pozların tamamı birim fiyat kitaplarındandır: 15.xxx ÇŞB 2026 birim fiyat kitabı, TKDK-xxxx ise TKDK 17.02.2026 Özel Poz Tablosu pozudur.</t>
        </is>
      </c>
    </row>
    <row r="35" ht="22" customHeight="1">
      <c r="A35" s="18" t="inlineStr">
        <is>
          <t>•  Gübre çukuru, ölü atma çukuru, foseptik ve depoların iç yüzeyleri kaplamasız brüt betonarmedir; su yalıtımı bu hesabın kapsamı dışında bırakılmıştır.</t>
        </is>
      </c>
    </row>
  </sheetData>
  <mergeCells count="15">
    <mergeCell ref="A30:L30"/>
    <mergeCell ref="A2:L2"/>
    <mergeCell ref="A33:L33"/>
    <mergeCell ref="A26:A27"/>
    <mergeCell ref="A1:L1"/>
    <mergeCell ref="A32:L32"/>
    <mergeCell ref="A11:A13"/>
    <mergeCell ref="A31:L31"/>
    <mergeCell ref="A14:A20"/>
    <mergeCell ref="A23:A25"/>
    <mergeCell ref="A3:L3"/>
    <mergeCell ref="A34:L34"/>
    <mergeCell ref="A35:L35"/>
    <mergeCell ref="A21:A22"/>
    <mergeCell ref="A6:A10"/>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2026-08-29T11:57:20Z</dcterms:created>
  <dcterms:modified xmlns:dcterms="http://purl.org/dc/terms/" xmlns:xsi="http://www.w3.org/2001/XMLSchema-instance" xsi:type="dcterms:W3CDTF">2026-08-29T11:57:20Z</dcterms:modified>
</cp:coreProperties>
</file>