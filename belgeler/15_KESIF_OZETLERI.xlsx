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  <sheet xmlns:r="http://schemas.openxmlformats.org/officeDocument/2006/relationships" name="03 Gübre Çukuru" sheetId="5" state="visible" r:id="rId5"/>
    <sheet xmlns:r="http://schemas.openxmlformats.org/officeDocument/2006/relationships" name="04 Ölü Atma Çukuru" sheetId="6" state="visible" r:id="rId6"/>
    <sheet xmlns:r="http://schemas.openxmlformats.org/officeDocument/2006/relationships" name="05 Foseptik" sheetId="7" state="visible" r:id="rId7"/>
    <sheet xmlns:r="http://schemas.openxmlformats.org/officeDocument/2006/relationships" name="06 Yem Silosu Betonarme Kaidele" sheetId="8" state="visible" r:id="rId8"/>
    <sheet xmlns:r="http://schemas.openxmlformats.org/officeDocument/2006/relationships" name="07 Su Deposu" sheetId="9" state="visible" r:id="rId9"/>
    <sheet xmlns:r="http://schemas.openxmlformats.org/officeDocument/2006/relationships" name="08 Çevre Düzenlemesi ve Saha 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Blok'!$G$45</f>
        <v/>
      </c>
      <c r="D4" s="6">
        <f>C4/$C$12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Blok'!$G$45</f>
        <v/>
      </c>
      <c r="D5" s="6">
        <f>C5/$C$12</f>
        <v/>
      </c>
    </row>
    <row r="6">
      <c r="A6" s="3" t="inlineStr">
        <is>
          <t>03</t>
        </is>
      </c>
      <c r="B6" s="4" t="inlineStr">
        <is>
          <t>Gübre Çukuru</t>
        </is>
      </c>
      <c r="C6" s="5">
        <f>'03 Gübre Çukuru'!$G$12</f>
        <v/>
      </c>
      <c r="D6" s="6">
        <f>C6/$C$12</f>
        <v/>
      </c>
    </row>
    <row r="7">
      <c r="A7" s="3" t="inlineStr">
        <is>
          <t>04</t>
        </is>
      </c>
      <c r="B7" s="4" t="inlineStr">
        <is>
          <t>Ölü Atma Çukuru</t>
        </is>
      </c>
      <c r="C7" s="5">
        <f>'04 Ölü Atma Çukuru'!$G$11</f>
        <v/>
      </c>
      <c r="D7" s="6">
        <f>C7/$C$12</f>
        <v/>
      </c>
    </row>
    <row r="8">
      <c r="A8" s="3" t="inlineStr">
        <is>
          <t>05</t>
        </is>
      </c>
      <c r="B8" s="4" t="inlineStr">
        <is>
          <t>Foseptik</t>
        </is>
      </c>
      <c r="C8" s="5">
        <f>'05 Foseptik'!$G$11</f>
        <v/>
      </c>
      <c r="D8" s="6">
        <f>C8/$C$12</f>
        <v/>
      </c>
    </row>
    <row r="9">
      <c r="A9" s="3" t="inlineStr">
        <is>
          <t>06</t>
        </is>
      </c>
      <c r="B9" s="4" t="inlineStr">
        <is>
          <t>Yem Silosu Betonarme Kaideleri</t>
        </is>
      </c>
      <c r="C9" s="5">
        <f>'06 Yem Silosu Betonarme Kaidele'!$G$11</f>
        <v/>
      </c>
      <c r="D9" s="6">
        <f>C9/$C$12</f>
        <v/>
      </c>
    </row>
    <row r="10">
      <c r="A10" s="3" t="inlineStr">
        <is>
          <t>07</t>
        </is>
      </c>
      <c r="B10" s="4" t="inlineStr">
        <is>
          <t>Su Deposu</t>
        </is>
      </c>
      <c r="C10" s="5">
        <f>'07 Su Deposu'!$G$11</f>
        <v/>
      </c>
      <c r="D10" s="6">
        <f>C10/$C$12</f>
        <v/>
      </c>
    </row>
    <row r="11">
      <c r="A11" s="3" t="inlineStr">
        <is>
          <t>08</t>
        </is>
      </c>
      <c r="B11" s="4" t="inlineStr">
        <is>
          <t>Çevre Düzenlemesi ve Saha Altyapısı</t>
        </is>
      </c>
      <c r="C11" s="5">
        <f>'08 Çevre Düzenlemesi ve Saha Al'!$G$22</f>
        <v/>
      </c>
      <c r="D11" s="6">
        <f>C11/$C$12</f>
        <v/>
      </c>
    </row>
    <row r="12">
      <c r="A12" s="7" t="n"/>
      <c r="B12" s="8" t="inlineStr">
        <is>
          <t>ARA TOPLAM (KDV hariç)</t>
        </is>
      </c>
      <c r="C12" s="9">
        <f>SUM(C4:C11)</f>
        <v/>
      </c>
      <c r="D12" s="7" t="n"/>
    </row>
    <row r="13">
      <c r="A13" s="4" t="n"/>
      <c r="B13" s="10" t="inlineStr">
        <is>
          <t>KDV</t>
        </is>
      </c>
      <c r="C13" s="5">
        <f>C12*'Fiyatlar'!$F$3</f>
        <v/>
      </c>
      <c r="D13" s="4" t="n"/>
    </row>
    <row r="14">
      <c r="A14" s="11" t="n"/>
      <c r="B14" s="12" t="inlineStr">
        <is>
          <t>GENEL TOPLAM (KDV dâhil)</t>
        </is>
      </c>
      <c r="C14" s="13">
        <f>C12+C13</f>
        <v/>
      </c>
      <c r="D14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22" customHeight="1">
      <c r="A7" s="17" t="inlineStr">
        <is>
          <t>15.120.1101</t>
        </is>
      </c>
      <c r="B7" s="18" t="inlineStr">
        <is>
          <t>Makine ile her derinlik ve her genişlikte yumuşak ve sert toprak kazılması</t>
        </is>
      </c>
      <c r="C7" s="3" t="inlineStr">
        <is>
          <t>m³</t>
        </is>
      </c>
      <c r="D7" s="5" t="n">
        <v>71.84999999999999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60.35</v>
      </c>
    </row>
    <row r="8" ht="33" customHeight="1">
      <c r="A8" s="17" t="inlineStr">
        <is>
          <t>15.150.1003</t>
        </is>
      </c>
      <c r="B8" s="18" t="inlineStr">
        <is>
          <t>Beton santralinde üretilen veya satın alınan ve beton pompasıyla basılan, C 16/20 basınç dayanım sınıfında, gri renkte, normal hazır beton dökülmesi (beton nakli dahil)</t>
        </is>
      </c>
      <c r="C8" s="3" t="inlineStr">
        <is>
          <t>m³</t>
        </is>
      </c>
      <c r="D8" s="5" t="n">
        <v>3274.35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2750.45</v>
      </c>
    </row>
    <row r="9" ht="33" customHeight="1">
      <c r="A9" s="17" t="inlineStr">
        <is>
          <t>15.150.1005</t>
        </is>
      </c>
      <c r="B9" s="18" t="inlineStr">
        <is>
          <t>Beton santralinde üretilen veya satın alınan ve beton pompasıyla basılan, C 25/30 basınç dayanım sınıfında, gri renkte, normal hazır beton dökülmesi (beton nakli dahil)</t>
        </is>
      </c>
      <c r="C9" s="3" t="inlineStr">
        <is>
          <t>m³</t>
        </is>
      </c>
      <c r="D9" s="5" t="n">
        <v>3524.35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2960.45</v>
      </c>
    </row>
    <row r="10" ht="14" customHeight="1">
      <c r="A10" s="17" t="inlineStr">
        <is>
          <t>15.160.1002</t>
        </is>
      </c>
      <c r="B10" s="18" t="inlineStr">
        <is>
          <t>Nervürlü çelik hasırın yerine konulması</t>
        </is>
      </c>
      <c r="C10" s="3" t="inlineStr">
        <is>
          <t>ton</t>
        </is>
      </c>
      <c r="D10" s="5" t="n">
        <v>43987.5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36949.5</v>
      </c>
    </row>
    <row r="11" ht="22" customHeight="1">
      <c r="A11" s="17" t="inlineStr">
        <is>
          <t>15.160.1003</t>
        </is>
      </c>
      <c r="B11" s="18" t="inlineStr">
        <is>
          <t>Ø 8 - Ø 12 mm nervürlü beton çelik çubuğu, çubukların kesilmesi, bükülmesi ve yerine konulması</t>
        </is>
      </c>
      <c r="C11" s="3" t="inlineStr">
        <is>
          <t>ton</t>
        </is>
      </c>
      <c r="D11" s="5" t="n">
        <v>46482.43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39045.24</v>
      </c>
    </row>
    <row r="12" ht="22" customHeight="1">
      <c r="A12" s="17" t="inlineStr">
        <is>
          <t>15.160.1004</t>
        </is>
      </c>
      <c r="B12" s="18" t="inlineStr">
        <is>
          <t>Ø 14 - Ø 28 mm nervürlü beton çelik çubuğu, çubukların kesilmesi, bükülmesi ve yerine konulması</t>
        </is>
      </c>
      <c r="C12" s="3" t="inlineStr">
        <is>
          <t>ton</t>
        </is>
      </c>
      <c r="D12" s="5" t="n">
        <v>44681.18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37532.19</v>
      </c>
    </row>
    <row r="13" ht="22" customHeight="1">
      <c r="A13" s="17" t="inlineStr">
        <is>
          <t>15.165.1003</t>
        </is>
      </c>
      <c r="B13" s="18" t="inlineStr">
        <is>
          <t>Her çeşit profil, çelik çubuk ve çelik saclarla karkas (çerçeve) inşaat yapılması, yerine tespiti (boya bedeli hariç)</t>
        </is>
      </c>
      <c r="C13" s="3" t="inlineStr">
        <is>
          <t>ton</t>
        </is>
      </c>
      <c r="D13" s="5" t="n">
        <v>85943.50999999999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72192.55</v>
      </c>
    </row>
    <row r="14" ht="14" customHeight="1">
      <c r="A14" s="17" t="inlineStr">
        <is>
          <t>15.180.1003</t>
        </is>
      </c>
      <c r="B14" s="18" t="inlineStr">
        <is>
          <t>Plywood ile düz yüzeyli betonarme kalıbı yapılması</t>
        </is>
      </c>
      <c r="C14" s="3" t="inlineStr">
        <is>
          <t>m²</t>
        </is>
      </c>
      <c r="D14" s="5" t="n">
        <v>1028.33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863.8</v>
      </c>
    </row>
    <row r="15" ht="22" customHeight="1">
      <c r="A15" s="17" t="inlineStr">
        <is>
          <t>15.225.1004</t>
        </is>
      </c>
      <c r="B15" s="18" t="inlineStr">
        <is>
          <t>10 cm kalınlığındaki teçhizatsız gazbeton duvar blokları ile duvar yapılması (gazbeton tutkalı ile)</t>
        </is>
      </c>
      <c r="C15" s="3" t="inlineStr">
        <is>
          <t>m²</t>
        </is>
      </c>
      <c r="D15" s="5" t="n">
        <v>723.73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607.9299999999999</v>
      </c>
    </row>
    <row r="16" ht="22" customHeight="1">
      <c r="A16" s="17" t="inlineStr">
        <is>
          <t>15.225.1010</t>
        </is>
      </c>
      <c r="B16" s="18" t="inlineStr">
        <is>
          <t>20 cm kalınlığındaki teçhizatsız gazbeton duvar blokları ile duvar yapılması (gazbeton tutkalı ile)</t>
        </is>
      </c>
      <c r="C16" s="3" t="inlineStr">
        <is>
          <t>m²</t>
        </is>
      </c>
      <c r="D16" s="5" t="n">
        <v>1106.28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929.28</v>
      </c>
    </row>
    <row r="17" ht="22" customHeight="1">
      <c r="A17" s="17" t="inlineStr">
        <is>
          <t>15.225.1410</t>
        </is>
      </c>
      <c r="B17" s="18" t="inlineStr">
        <is>
          <t>20 cm kalınlığındaki teçhizatlı gazbeton lento temini ve yerine konulması</t>
        </is>
      </c>
      <c r="C17" s="3" t="inlineStr">
        <is>
          <t>m²</t>
        </is>
      </c>
      <c r="D17" s="5" t="n">
        <v>2116.1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1777.52</v>
      </c>
    </row>
    <row r="18" ht="14" customHeight="1">
      <c r="A18" s="17" t="inlineStr">
        <is>
          <t>15.275.1116</t>
        </is>
      </c>
      <c r="B18" s="18" t="inlineStr">
        <is>
          <t>250 kg çimento dozlu harç ile kaba sıva yapılması</t>
        </is>
      </c>
      <c r="C18" s="3" t="inlineStr">
        <is>
          <t>m²</t>
        </is>
      </c>
      <c r="D18" s="5" t="n">
        <v>443.51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372.55</v>
      </c>
    </row>
    <row r="19" ht="22" customHeight="1">
      <c r="A19" s="17" t="inlineStr">
        <is>
          <t>15.275.1117</t>
        </is>
      </c>
      <c r="B19" s="18" t="inlineStr">
        <is>
          <t>200 kg çimento ve kireç karışımı harç ile kaba sıva yapılması (iç cephe)</t>
        </is>
      </c>
      <c r="C19" s="3" t="inlineStr">
        <is>
          <t>m²</t>
        </is>
      </c>
      <c r="D19" s="5" t="n">
        <v>454.16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381.49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14" customHeight="1">
      <c r="A24" s="17" t="inlineStr">
        <is>
          <t>15.560.1003</t>
        </is>
      </c>
      <c r="B24" s="18" t="inlineStr">
        <is>
          <t>Betonarme kompozit rögar kapağı temini ve yerine konulması</t>
        </is>
      </c>
      <c r="C24" s="3" t="inlineStr">
        <is>
          <t>ad</t>
        </is>
      </c>
      <c r="D24" s="5" t="n">
        <v>4457.5</v>
      </c>
      <c r="E24" s="19" t="inlineStr">
        <is>
          <t>ÇŞB 2026 birim fiyat kitabı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3744.3</v>
      </c>
    </row>
    <row r="25" ht="22" customHeight="1">
      <c r="A25" s="17" t="inlineStr">
        <is>
          <t>30.100.1104</t>
        </is>
      </c>
      <c r="B25" s="18" t="inlineStr">
        <is>
          <t>Ana dağıtım panosu (dikili tip galvanizli sac, en az 700 mm en, 400 mm derinlik)</t>
        </is>
      </c>
      <c r="C25" s="3" t="inlineStr">
        <is>
          <t>ad</t>
        </is>
      </c>
      <c r="D25" s="5" t="n">
        <v>49741.82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41783.13</v>
      </c>
    </row>
    <row r="26" ht="22" customHeight="1">
      <c r="A26" s="17" t="inlineStr">
        <is>
          <t>30.100.2105</t>
        </is>
      </c>
      <c r="B26" s="18" t="inlineStr">
        <is>
          <t>Kümes dağıtım panosu (sıva üstü galvanizli sac tablo, 0,40-0,50 m²)</t>
        </is>
      </c>
      <c r="C26" s="3" t="inlineStr">
        <is>
          <t>ad</t>
        </is>
      </c>
      <c r="D26" s="5" t="n">
        <v>12003.52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10082.96</v>
      </c>
    </row>
    <row r="27" ht="14" customHeight="1">
      <c r="A27" s="17" t="inlineStr">
        <is>
          <t>30.100.2106</t>
        </is>
      </c>
      <c r="B27" s="18" t="inlineStr">
        <is>
          <t>Sayaç panosu (sıva üstü galvanizli sac tablo, 0,50-0,60 m²)</t>
        </is>
      </c>
      <c r="C27" s="3" t="inlineStr">
        <is>
          <t>ad</t>
        </is>
      </c>
      <c r="D27" s="5" t="n">
        <v>13847.2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11631.65</v>
      </c>
    </row>
    <row r="28" ht="22" customHeight="1">
      <c r="A28" s="17" t="inlineStr">
        <is>
          <t>30.110.1102</t>
        </is>
      </c>
      <c r="B28" s="18" t="inlineStr">
        <is>
          <t>Termik-manyetik kompakt şalter 3x100 A, Icu 35 kA — kümes besleme</t>
        </is>
      </c>
      <c r="C28" s="3" t="inlineStr">
        <is>
          <t>ad</t>
        </is>
      </c>
      <c r="D28" s="5" t="n">
        <v>5280.06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4435.25</v>
      </c>
    </row>
    <row r="29" ht="14" customHeight="1">
      <c r="A29" s="17" t="inlineStr">
        <is>
          <t>30.110.1104</t>
        </is>
      </c>
      <c r="B29" s="18" t="inlineStr">
        <is>
          <t>Termik-manyetik kompakt şalter 3x160 A, Icu 35 kA — ana giriş</t>
        </is>
      </c>
      <c r="C29" s="3" t="inlineStr">
        <is>
          <t>ad</t>
        </is>
      </c>
      <c r="D29" s="5" t="n">
        <v>7048.52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5920.76</v>
      </c>
    </row>
    <row r="30" ht="14" customHeight="1">
      <c r="A30" s="17" t="inlineStr">
        <is>
          <t>30.115.1003</t>
        </is>
      </c>
      <c r="B30" s="18" t="inlineStr">
        <is>
          <t>Kaçak akım koruma şalteri 2x63 A, 30 mA</t>
        </is>
      </c>
      <c r="C30" s="3" t="inlineStr">
        <is>
          <t>ad</t>
        </is>
      </c>
      <c r="D30" s="5" t="n">
        <v>1709.76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1436.2</v>
      </c>
    </row>
    <row r="31" ht="14" customHeight="1">
      <c r="A31" s="17" t="inlineStr">
        <is>
          <t>30.120.2016</t>
        </is>
      </c>
      <c r="B31" s="18" t="inlineStr">
        <is>
          <t>Otomatik transfer şalteri 4 x 200 A</t>
        </is>
      </c>
      <c r="C31" s="3" t="inlineStr">
        <is>
          <t>ad</t>
        </is>
      </c>
      <c r="D31" s="5" t="n">
        <v>53225.97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44709.81</v>
      </c>
    </row>
    <row r="32" ht="22" customHeight="1">
      <c r="A32" s="17" t="inlineStr">
        <is>
          <t>30.135.3201</t>
        </is>
      </c>
      <c r="B32" s="18" t="inlineStr">
        <is>
          <t>Üç fazlı zaman tarifeli elektronik aktif sayaç, en az 5(100) A, 3x230/400 V</t>
        </is>
      </c>
      <c r="C32" s="3" t="inlineStr">
        <is>
          <t>ad</t>
        </is>
      </c>
      <c r="D32" s="5" t="n">
        <v>2640.66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2218.15</v>
      </c>
    </row>
    <row r="33" ht="22" customHeight="1">
      <c r="A33" s="17" t="inlineStr">
        <is>
          <t>30.140.1105</t>
        </is>
      </c>
      <c r="B33" s="18" t="inlineStr">
        <is>
          <t>Çıplak bakır tel 25 mm² — eşpotansiyel bara ve topraklama iletkeni</t>
        </is>
      </c>
      <c r="C33" s="3" t="inlineStr">
        <is>
          <t>m</t>
        </is>
      </c>
      <c r="D33" s="5" t="n">
        <v>223.96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188.13</v>
      </c>
    </row>
    <row r="34" ht="22" customHeight="1">
      <c r="A34" s="17" t="inlineStr">
        <is>
          <t>30.140.3101</t>
        </is>
      </c>
      <c r="B34" s="18" t="inlineStr">
        <is>
          <t>YVV (NYY) 1 kV yeraltı kablosu ile besleme hattı tesisi — 1x6 mm²</t>
        </is>
      </c>
      <c r="C34" s="3" t="inlineStr">
        <is>
          <t>m</t>
        </is>
      </c>
      <c r="D34" s="5" t="n">
        <v>84.91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71.31999999999999</v>
      </c>
    </row>
    <row r="35" ht="22" customHeight="1">
      <c r="A35" s="17" t="inlineStr">
        <is>
          <t>30.140.3104</t>
        </is>
      </c>
      <c r="B35" s="18" t="inlineStr">
        <is>
          <t>YVV (NYY) 1 kV yeraltı kablosu ile kolon hattı tesisi — 1x25 mm²</t>
        </is>
      </c>
      <c r="C35" s="3" t="inlineStr">
        <is>
          <t>m</t>
        </is>
      </c>
      <c r="D35" s="5" t="n">
        <v>290.5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244.02</v>
      </c>
    </row>
    <row r="36" ht="22" customHeight="1">
      <c r="A36" s="17" t="inlineStr">
        <is>
          <t>30.140.3105</t>
        </is>
      </c>
      <c r="B36" s="18" t="inlineStr">
        <is>
          <t>YVV (NYY) 1 kV yeraltı kablosu ile besleme hattı tesisi — 1x35 mm²</t>
        </is>
      </c>
      <c r="C36" s="3" t="inlineStr">
        <is>
          <t>m</t>
        </is>
      </c>
      <c r="D36" s="5" t="n">
        <v>395.44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332.17</v>
      </c>
    </row>
    <row r="37" ht="14" customHeight="1">
      <c r="A37" s="17" t="inlineStr">
        <is>
          <t>30.150.1401</t>
        </is>
      </c>
      <c r="B37" s="18" t="inlineStr">
        <is>
          <t>Halojensiz H07Z tipi iletken 1x1,5 mm² ile kumanda tesisatı</t>
        </is>
      </c>
      <c r="C37" s="3" t="inlineStr">
        <is>
          <t>m</t>
        </is>
      </c>
      <c r="D37" s="5" t="n">
        <v>28.05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23.56</v>
      </c>
    </row>
    <row r="38" ht="14" customHeight="1">
      <c r="A38" s="17" t="inlineStr">
        <is>
          <t>30.150.1402</t>
        </is>
      </c>
      <c r="B38" s="18" t="inlineStr">
        <is>
          <t>Halojensiz H07Z tipi iletken 1x2,5 mm² ile tesisat</t>
        </is>
      </c>
      <c r="C38" s="3" t="inlineStr">
        <is>
          <t>m</t>
        </is>
      </c>
      <c r="D38" s="5" t="n">
        <v>39.41</v>
      </c>
      <c r="E38" s="19" t="inlineStr">
        <is>
          <t>ÇŞB 2026 Haziran elektrik rayici x 1,25 + montaj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33.1</v>
      </c>
    </row>
    <row r="39" ht="14" customHeight="1">
      <c r="A39" s="17" t="inlineStr">
        <is>
          <t>30.160.6102</t>
        </is>
      </c>
      <c r="B39" s="18" t="inlineStr">
        <is>
          <t>Boş boru döşemesi — 25-32 mm PVC boru</t>
        </is>
      </c>
      <c r="C39" s="3" t="inlineStr">
        <is>
          <t>m</t>
        </is>
      </c>
      <c r="D39" s="5" t="n">
        <v>88.59</v>
      </c>
      <c r="E39" s="19" t="inlineStr">
        <is>
          <t>ÇŞB 2026 Haziran elektrik rayici x 1,25 + montaj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74.42</v>
      </c>
    </row>
    <row r="40" ht="22" customHeight="1">
      <c r="A40" s="17" t="inlineStr">
        <is>
          <t>30.170.1601</t>
        </is>
      </c>
      <c r="B40" s="18" t="inlineStr">
        <is>
          <t>LED sıva üstü etanj armatür (polikarbon gövdeli), ışık akısı en az 1800 lm — servis bölümü</t>
        </is>
      </c>
      <c r="C40" s="3" t="inlineStr">
        <is>
          <t>ad</t>
        </is>
      </c>
      <c r="D40" s="5" t="n">
        <v>1848.1</v>
      </c>
      <c r="E40" s="19" t="inlineStr">
        <is>
          <t>ÇŞB 2026 Haziran elektrik rayici x 1,25 + montaj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1552.4</v>
      </c>
    </row>
    <row r="41" ht="22" customHeight="1">
      <c r="A41" s="17" t="inlineStr">
        <is>
          <t>30.170.1602</t>
        </is>
      </c>
      <c r="B41" s="18" t="inlineStr">
        <is>
          <t>LED sıva üstü etanj armatür (polikarbon gövdeli), ışık akısı en az 2700 lm — kümes genel aydınlatması</t>
        </is>
      </c>
      <c r="C41" s="3" t="inlineStr">
        <is>
          <t>ad</t>
        </is>
      </c>
      <c r="D41" s="5" t="n">
        <v>2646.28</v>
      </c>
      <c r="E41" s="19" t="inlineStr">
        <is>
          <t>ÇŞB 2026 Haziran elektrik rayici x 1,25 + montaj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2222.88</v>
      </c>
    </row>
    <row r="42" ht="14" customHeight="1">
      <c r="A42" s="17" t="inlineStr">
        <is>
          <t>30.170.4002</t>
        </is>
      </c>
      <c r="B42" s="18" t="inlineStr">
        <is>
          <t>LED projektör, ışık akısı en az 5100 lm</t>
        </is>
      </c>
      <c r="C42" s="3" t="inlineStr">
        <is>
          <t>ad</t>
        </is>
      </c>
      <c r="D42" s="5" t="n">
        <v>9896.620000000001</v>
      </c>
      <c r="E42" s="19" t="inlineStr">
        <is>
          <t>ÇŞB 2026 Haziran elektrik rayici x 1,25 + montaj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8313.16</v>
      </c>
    </row>
    <row r="43" ht="22" customHeight="1">
      <c r="A43" s="17" t="inlineStr">
        <is>
          <t>30.172.1706</t>
        </is>
      </c>
      <c r="B43" s="18" t="inlineStr">
        <is>
          <t>Aydınlatma direği — taban çapı en az 80 mm, yükseklik en az 4,00 m</t>
        </is>
      </c>
      <c r="C43" s="3" t="inlineStr">
        <is>
          <t>ad</t>
        </is>
      </c>
      <c r="D43" s="5" t="n">
        <v>9265.620000000001</v>
      </c>
      <c r="E43" s="19" t="inlineStr">
        <is>
          <t>ÇŞB 2026 Haziran elektrik rayici x 1,25 + montaj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7783.12</v>
      </c>
    </row>
    <row r="44" ht="22" customHeight="1">
      <c r="A44" s="17" t="inlineStr">
        <is>
          <t>30.740.1106</t>
        </is>
      </c>
      <c r="B44" s="18" t="inlineStr">
        <is>
          <t>Dizel elektrojen grubu (jeneratör) 63 kVA / 50 kW — dizel motoru su veya hava ile soğuyan cinsten, 1500 d/dak</t>
        </is>
      </c>
      <c r="C44" s="3" t="inlineStr">
        <is>
          <t>ad</t>
        </is>
      </c>
      <c r="D44" s="5" t="n">
        <v>576288.2</v>
      </c>
      <c r="E44" s="19" t="inlineStr">
        <is>
          <t>ÇŞB 2026 Haziran elektrik rayici x 1,25 + montaj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484082.09</v>
      </c>
    </row>
    <row r="45" ht="14" customHeight="1">
      <c r="A45" s="17" t="inlineStr">
        <is>
          <t>30.740.5406</t>
        </is>
      </c>
      <c r="B45" s="18" t="inlineStr">
        <is>
          <t>Jeneratör ses izolasyon kabini — 63 kVA</t>
        </is>
      </c>
      <c r="C45" s="3" t="inlineStr">
        <is>
          <t>ad</t>
        </is>
      </c>
      <c r="D45" s="5" t="n">
        <v>99145.64999999999</v>
      </c>
      <c r="E45" s="19" t="inlineStr">
        <is>
          <t>ÇŞB 2026 Haziran elektrik rayici x 1,25 + montaj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83282.35000000001</v>
      </c>
    </row>
    <row r="46" ht="14" customHeight="1">
      <c r="A46" s="17" t="inlineStr">
        <is>
          <t>30.750.1502</t>
        </is>
      </c>
      <c r="B46" s="18" t="inlineStr">
        <is>
          <t>Aktif yakalama ucu, ortalama uyarım yolu DL = 30-40 m</t>
        </is>
      </c>
      <c r="C46" s="3" t="inlineStr">
        <is>
          <t>ad</t>
        </is>
      </c>
      <c r="D46" s="5" t="n">
        <v>20726.2</v>
      </c>
      <c r="E46" s="19" t="inlineStr">
        <is>
          <t>ÇŞB 2026 Haziran elektrik rayici x 1,25 + montaj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17410.01</v>
      </c>
    </row>
    <row r="47" ht="22" customHeight="1">
      <c r="A47" s="17" t="inlineStr">
        <is>
          <t>30.750.2001</t>
        </is>
      </c>
      <c r="B47" s="18" t="inlineStr">
        <is>
          <t>Çatı ihata ve indirme iletkeni tesisatı — 50 mm² elektrolitik bakır tel</t>
        </is>
      </c>
      <c r="C47" s="3" t="inlineStr">
        <is>
          <t>m</t>
        </is>
      </c>
      <c r="D47" s="5" t="n">
        <v>572.8</v>
      </c>
      <c r="E47" s="19" t="inlineStr">
        <is>
          <t>ÇŞB 2026 Haziran elektrik rayici x 1,25 + montaj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481.15</v>
      </c>
    </row>
    <row r="48" ht="22" customHeight="1">
      <c r="A48" s="17" t="inlineStr">
        <is>
          <t>30.750.3002</t>
        </is>
      </c>
      <c r="B48" s="18" t="inlineStr">
        <is>
          <t>Bina ihata iletkeni tesisatı — 30x3,5 mm galvanizli çelik lama (temel topraklaması)</t>
        </is>
      </c>
      <c r="C48" s="3" t="inlineStr">
        <is>
          <t>m</t>
        </is>
      </c>
      <c r="D48" s="5" t="n">
        <v>185.85</v>
      </c>
      <c r="E48" s="19" t="inlineStr">
        <is>
          <t>ÇŞB 2026 Haziran elektrik rayici x 1,25 + montaj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156.11</v>
      </c>
    </row>
    <row r="49" ht="22" customHeight="1">
      <c r="A49" s="17" t="inlineStr">
        <is>
          <t>43.527.1001</t>
        </is>
      </c>
      <c r="B49" s="18" t="inlineStr">
        <is>
          <t>Çapı 150 mm HDPE koruge boru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330.7</v>
      </c>
    </row>
    <row r="50" ht="33" customHeight="1">
      <c r="A50" s="17" t="inlineStr">
        <is>
          <t>TKDK-0042</t>
        </is>
      </c>
      <c r="B50" s="18" t="inlineStr">
        <is>
          <t>6 cm poliüretan dolgulu (üst min. 0,40 mm, alt min. 0,30 mm) boyalı galvanizli sac levhalar ile ısı yalıtımlı çatı kaplaması yapılması</t>
        </is>
      </c>
      <c r="C50" s="3" t="inlineStr">
        <is>
          <t>m²</t>
        </is>
      </c>
      <c r="D50" s="5" t="n">
        <v>1624.67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1364.72</v>
      </c>
    </row>
    <row r="51" ht="14" customHeight="1">
      <c r="A51" s="17" t="inlineStr">
        <is>
          <t>TKDK-0091</t>
        </is>
      </c>
      <c r="B51" s="18" t="inlineStr">
        <is>
          <t>Betonarme direkli galvanizli tel örgü çit yapılması (Tip-1)</t>
        </is>
      </c>
      <c r="C51" s="3" t="inlineStr">
        <is>
          <t>m</t>
        </is>
      </c>
      <c r="D51" s="5" t="n">
        <v>1120.05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940.84</v>
      </c>
    </row>
    <row r="52" ht="14" customHeight="1">
      <c r="A52" s="17" t="inlineStr">
        <is>
          <t>TKDK-0115</t>
        </is>
      </c>
      <c r="B52" s="18" t="inlineStr">
        <is>
          <t>Galvanizli düz sacdan yağmur oluğu veya iniş borusu yapılması</t>
        </is>
      </c>
      <c r="C52" s="3" t="inlineStr">
        <is>
          <t>kg</t>
        </is>
      </c>
      <c r="D52" s="5" t="n">
        <v>271.25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227.85</v>
      </c>
    </row>
    <row r="53" ht="33" customHeight="1">
      <c r="A53" s="17" t="inlineStr">
        <is>
          <t>TKDK-0151</t>
        </is>
      </c>
      <c r="B53" s="18" t="inlineStr">
        <is>
          <t>5 cm poliüretan dolgulu (üst 0,50 mm düz, alt 0,40 mm düz) fabrikasyon rulo boyama sistemi ile boyanmış galvaniz levhalar ile ısı yalıtımlı kapı yapılması</t>
        </is>
      </c>
      <c r="C53" s="3" t="inlineStr">
        <is>
          <t>m²</t>
        </is>
      </c>
      <c r="D53" s="5" t="n">
        <v>1035.88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870.14</v>
      </c>
    </row>
    <row r="54" ht="33" customHeight="1">
      <c r="A54" s="17" t="inlineStr">
        <is>
          <t>TKDK-0175</t>
        </is>
      </c>
      <c r="B54" s="18" t="inlineStr">
        <is>
          <t>PVC kaplamalı, iki yüzü odun lifinden yapılmış levhalarla (MDF) presli, kraft dolgulu iç kapı kanadı yapılması, yerinde takılması</t>
        </is>
      </c>
      <c r="C54" s="3" t="inlineStr">
        <is>
          <t>m²</t>
        </is>
      </c>
      <c r="D54" s="5" t="n">
        <v>3199.68</v>
      </c>
      <c r="E54" s="19" t="inlineStr">
        <is>
          <t>TKDK 17.02.2026 Özel Poz Tablosu</t>
        </is>
      </c>
      <c r="F54" s="20">
        <f>$B$3</f>
        <v/>
      </c>
      <c r="G54" s="5">
        <f>D54*(1-F54)</f>
        <v/>
      </c>
      <c r="H54" s="5">
        <f>D54*$D$3</f>
        <v/>
      </c>
      <c r="I54" s="13" t="n">
        <v>2687.73</v>
      </c>
    </row>
    <row r="55" ht="44" customHeight="1">
      <c r="A55" s="17" t="inlineStr">
        <is>
          <t>TKDK-0177</t>
        </is>
      </c>
      <c r="B55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55" s="3" t="inlineStr">
        <is>
          <t>m²</t>
        </is>
      </c>
      <c r="D55" s="5" t="n">
        <v>835.1</v>
      </c>
      <c r="E55" s="19" t="inlineStr">
        <is>
          <t>TKDK 17.02.2026 Özel Poz Tablosu</t>
        </is>
      </c>
      <c r="F55" s="20">
        <f>$B$3</f>
        <v/>
      </c>
      <c r="G55" s="5">
        <f>D55*(1-F55)</f>
        <v/>
      </c>
      <c r="H55" s="5">
        <f>D55*$D$3</f>
        <v/>
      </c>
      <c r="I55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22" customHeight="1">
      <c r="A18" s="21" t="inlineStr">
        <is>
          <t>Çatı ve sundurma işleri</t>
        </is>
      </c>
      <c r="B18" s="22" t="inlineStr">
        <is>
          <t>TKDK-0042</t>
        </is>
      </c>
      <c r="C18" s="18" t="inlineStr">
        <is>
          <t>6 cm poliüretan dolgulu (üst min. 0,40 mm, alt min. 0,30 mm) boyalı galvanizli sac levhalar ile ısı yalıtımlı çatı kaplaması yapılması</t>
        </is>
      </c>
      <c r="D18" s="3" t="inlineStr">
        <is>
          <t>m²</t>
        </is>
      </c>
      <c r="E18" s="23" t="n">
        <v>1204.98</v>
      </c>
      <c r="F18" s="24">
        <f>IFERROR(VLOOKUP($B18,'Fiyatlar'!$A:$I,9,FALSE),0)</f>
        <v/>
      </c>
      <c r="G18" s="5">
        <f>E18*F18</f>
        <v/>
      </c>
    </row>
    <row r="19" ht="14" customHeight="1">
      <c r="A19" s="26" t="n"/>
      <c r="B19" s="22" t="inlineStr">
        <is>
          <t>TKDK-0115</t>
        </is>
      </c>
      <c r="C19" s="18" t="inlineStr">
        <is>
          <t>Galvanizli düz sacdan yağmur oluğu veya iniş borusu yapılması</t>
        </is>
      </c>
      <c r="D19" s="3" t="inlineStr">
        <is>
          <t>kg</t>
        </is>
      </c>
      <c r="E19" s="23" t="n">
        <v>360.16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14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14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30.150.1402</t>
        </is>
      </c>
      <c r="C36" s="18" t="inlineStr">
        <is>
          <t>Halojensiz H07Z tipi iletken 1x2,5 mm² ile tesisat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14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14" customHeight="1">
      <c r="A40" s="25" t="n"/>
      <c r="B40" s="22" t="inlineStr">
        <is>
          <t>30.750.1502</t>
        </is>
      </c>
      <c r="C40" s="18" t="inlineStr">
        <is>
          <t>Aktif yakalama ucu, ortalama uyarım yolu DL = 30-40 m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14" customHeight="1">
      <c r="A44" s="26" t="n"/>
      <c r="B44" s="22" t="inlineStr">
        <is>
          <t>30.120.2016</t>
        </is>
      </c>
      <c r="C44" s="18" t="inlineStr">
        <is>
          <t>Otomatik transfer şalteri 4 x 200 A</t>
        </is>
      </c>
      <c r="D44" s="3" t="inlineStr">
        <is>
          <t>ad</t>
        </is>
      </c>
      <c r="E44" s="23" t="n">
        <v>1</v>
      </c>
      <c r="F44" s="24">
        <f>IFERROR(VLOOKUP($B44,'Fiyatlar'!$A:$I,9,FALSE),0)</f>
        <v/>
      </c>
      <c r="G44" s="5">
        <f>E44*F44</f>
        <v/>
      </c>
    </row>
    <row r="45">
      <c r="A45" s="11" t="n"/>
      <c r="B45" s="11" t="n"/>
      <c r="C45" s="27" t="inlineStr">
        <is>
          <t>TOPLAM (KDV hariç)</t>
        </is>
      </c>
      <c r="D45" s="11" t="n"/>
      <c r="E45" s="11" t="n"/>
      <c r="F45" s="11" t="n"/>
      <c r="G45" s="13">
        <f>SUM(G6:G44)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22" customHeight="1">
      <c r="A18" s="21" t="inlineStr">
        <is>
          <t>Çatı ve sundurma işleri</t>
        </is>
      </c>
      <c r="B18" s="22" t="inlineStr">
        <is>
          <t>TKDK-0042</t>
        </is>
      </c>
      <c r="C18" s="18" t="inlineStr">
        <is>
          <t>6 cm poliüretan dolgulu (üst min. 0,40 mm, alt min. 0,30 mm) boyalı galvanizli sac levhalar ile ısı yalıtımlı çatı kaplaması yapılması</t>
        </is>
      </c>
      <c r="D18" s="3" t="inlineStr">
        <is>
          <t>m²</t>
        </is>
      </c>
      <c r="E18" s="23" t="n">
        <v>1204.98</v>
      </c>
      <c r="F18" s="24">
        <f>IFERROR(VLOOKUP($B18,'Fiyatlar'!$A:$I,9,FALSE),0)</f>
        <v/>
      </c>
      <c r="G18" s="5">
        <f>E18*F18</f>
        <v/>
      </c>
    </row>
    <row r="19" ht="14" customHeight="1">
      <c r="A19" s="26" t="n"/>
      <c r="B19" s="22" t="inlineStr">
        <is>
          <t>TKDK-0115</t>
        </is>
      </c>
      <c r="C19" s="18" t="inlineStr">
        <is>
          <t>Galvanizli düz sacdan yağmur oluğu veya iniş borusu yapılması</t>
        </is>
      </c>
      <c r="D19" s="3" t="inlineStr">
        <is>
          <t>kg</t>
        </is>
      </c>
      <c r="E19" s="23" t="n">
        <v>360.16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14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14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30.150.1402</t>
        </is>
      </c>
      <c r="C36" s="18" t="inlineStr">
        <is>
          <t>Halojensiz H07Z tipi iletken 1x2,5 mm² ile tesisat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14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14" customHeight="1">
      <c r="A40" s="25" t="n"/>
      <c r="B40" s="22" t="inlineStr">
        <is>
          <t>30.750.1502</t>
        </is>
      </c>
      <c r="C40" s="18" t="inlineStr">
        <is>
          <t>Aktif yakalama ucu, ortalama uyarım yolu DL = 30-40 m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14" customHeight="1">
      <c r="A44" s="26" t="n"/>
      <c r="B44" s="22" t="inlineStr">
        <is>
          <t>30.120.2016</t>
        </is>
      </c>
      <c r="C44" s="18" t="inlineStr">
        <is>
          <t>Otomatik transfer şalteri 4 x 200 A</t>
        </is>
      </c>
      <c r="D44" s="3" t="inlineStr">
        <is>
          <t>ad</t>
        </is>
      </c>
      <c r="E44" s="23" t="n">
        <v>1</v>
      </c>
      <c r="F44" s="24">
        <f>IFERROR(VLOOKUP($B44,'Fiyatlar'!$A:$I,9,FALSE),0)</f>
        <v/>
      </c>
      <c r="G44" s="5">
        <f>E44*F44</f>
        <v/>
      </c>
    </row>
    <row r="45">
      <c r="A45" s="11" t="n"/>
      <c r="B45" s="11" t="n"/>
      <c r="C45" s="27" t="inlineStr">
        <is>
          <t>TOPLAM (KDV hariç)</t>
        </is>
      </c>
      <c r="D45" s="11" t="n"/>
      <c r="E45" s="11" t="n"/>
      <c r="F45" s="11" t="n"/>
      <c r="G45" s="13">
        <f>SUM(G6:G44)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4"/>
    <mergeCell ref="A18:A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GÜBRE ÇUKURU</t>
        </is>
      </c>
    </row>
    <row r="2">
      <c r="A2" s="14" t="inlineStr">
        <is>
          <t>Musab Eder Çiftliği — Kocaeli / Karamürsel / İnebeyli Mah., 138 ada 17 parsel · inşaat alanı 115,00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542.7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11.934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93.19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363.26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7.5993</v>
      </c>
      <c r="F10" s="24">
        <f>IFERROR(VLOOKUP($B10,'Fiyatlar'!$A:$I,9,FALSE),0)</f>
        <v/>
      </c>
      <c r="G10" s="5">
        <f>E10*F10</f>
        <v/>
      </c>
    </row>
    <row r="11" ht="22" customHeight="1">
      <c r="A11" s="26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0.5641</v>
      </c>
      <c r="F11" s="24">
        <f>IFERROR(VLOOKUP($B11,'Fiyatlar'!$A:$I,9,FALSE),0)</f>
        <v/>
      </c>
      <c r="G11" s="5">
        <f>E11*F11</f>
        <v/>
      </c>
    </row>
    <row r="12">
      <c r="A12" s="11" t="n"/>
      <c r="B12" s="11" t="n"/>
      <c r="C12" s="27" t="inlineStr">
        <is>
          <t>TOPLAM (KDV hariç)</t>
        </is>
      </c>
      <c r="D12" s="11" t="n"/>
      <c r="E12" s="11" t="n"/>
      <c r="F12" s="11" t="n"/>
      <c r="G12" s="13">
        <f>SUM(G6:G11)</f>
        <v/>
      </c>
    </row>
  </sheetData>
  <mergeCells count="3">
    <mergeCell ref="A10:A11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ÖLÜ ATMA ÇUKURU</t>
        </is>
      </c>
    </row>
    <row r="2">
      <c r="A2" s="14" t="inlineStr">
        <is>
          <t>Musab Eder Çiftliği — Kocaeli / Karamürsel / İnebeyli Mah., 138 ada 17 parsel · inşaat alanı 18,00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142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1.984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20.85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127.2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1.6571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FOSEPTIK</t>
        </is>
      </c>
    </row>
    <row r="2">
      <c r="A2" s="14" t="inlineStr">
        <is>
          <t>Musab Eder Çiftliği — Kocaeli / Karamürsel / İnebeyli Mah., 138 ada 17 parsel · inşaat alanı 4,00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48.8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0.484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6.175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41.4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0.5866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YEM SILOSU BETONARME KAIDELERI</t>
        </is>
      </c>
    </row>
    <row r="2">
      <c r="A2" s="14" t="inlineStr">
        <is>
          <t>Musab Eder Çiftliği — Kocaeli / Karamürsel / İnebeyli Mah., 138 ada 17 parsel · inşaat alanı 16,82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48.02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1.922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8.41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11.6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0.7569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SU DEPOSU</t>
        </is>
      </c>
    </row>
    <row r="2">
      <c r="A2" s="14" t="inlineStr">
        <is>
          <t>Musab Eder Çiftliği — Kocaeli / Karamürsel / İnebeyli Mah., 138 ada 17 parsel · inşaat alanı 12,00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106.5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1.344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15.15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95.59999999999999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1.2316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ÇEVRE DÜZENLEMESI VE SAHA ALTYAPISI</t>
        </is>
      </c>
    </row>
    <row r="2">
      <c r="A2" s="14" t="inlineStr">
        <is>
          <t>Musab Eder Çiftliği — Kocaeli / Karamürsel / İnebeyli Mah., 138 ada 17 parsel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260.9425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Betonarme işleri</t>
        </is>
      </c>
      <c r="B7" s="22" t="inlineStr">
        <is>
          <t>15.150.1005</t>
        </is>
      </c>
      <c r="C7" s="18" t="inlineStr">
        <is>
          <t>Beton santralinde üretilen veya satın alınan ve beton pompasıyla basılan, C 25/30 basınç dayanım sınıfında, gri renkte, normal hazır beton dökülmesi (beton nakli dahil)</t>
        </is>
      </c>
      <c r="D7" s="3" t="inlineStr">
        <is>
          <t>m³</t>
        </is>
      </c>
      <c r="E7" s="23" t="n">
        <v>1.566</v>
      </c>
      <c r="F7" s="24">
        <f>IFERROR(VLOOKUP($B7,'Fiyatlar'!$A:$I,9,FALSE),0)</f>
        <v/>
      </c>
      <c r="G7" s="5">
        <f>E7*F7</f>
        <v/>
      </c>
    </row>
    <row r="8" ht="14" customHeight="1">
      <c r="A8" s="21" t="inlineStr">
        <is>
          <t>Kalıp, yapı iskelesi işleri</t>
        </is>
      </c>
      <c r="B8" s="22" t="inlineStr">
        <is>
          <t>15.180.1003</t>
        </is>
      </c>
      <c r="C8" s="18" t="inlineStr">
        <is>
          <t>Plywood ile düz yüzeyli betonarme kalıbı yapılması</t>
        </is>
      </c>
      <c r="D8" s="3" t="inlineStr">
        <is>
          <t>m²</t>
        </is>
      </c>
      <c r="E8" s="23" t="n">
        <v>14.4</v>
      </c>
      <c r="F8" s="24">
        <f>IFERROR(VLOOKUP($B8,'Fiyatlar'!$A:$I,9,FALSE),0)</f>
        <v/>
      </c>
      <c r="G8" s="5">
        <f>E8*F8</f>
        <v/>
      </c>
    </row>
    <row r="9" ht="22" customHeight="1">
      <c r="A9" s="21" t="inlineStr">
        <is>
          <t>Demir-inşaat işleri</t>
        </is>
      </c>
      <c r="B9" s="22" t="inlineStr">
        <is>
          <t>15.160.1003</t>
        </is>
      </c>
      <c r="C9" s="18" t="inlineStr">
        <is>
          <t>Ø 8 - Ø 12 mm nervürlü beton çelik çubuğu, çubukların kesilmesi, bükülmesi ve yerine konulması</t>
        </is>
      </c>
      <c r="D9" s="3" t="inlineStr">
        <is>
          <t>ton</t>
        </is>
      </c>
      <c r="E9" s="23" t="n">
        <v>0.1409</v>
      </c>
      <c r="F9" s="24">
        <f>IFERROR(VLOOKUP($B9,'Fiyatlar'!$A:$I,9,FALSE),0)</f>
        <v/>
      </c>
      <c r="G9" s="5">
        <f>E9*F9</f>
        <v/>
      </c>
    </row>
    <row r="10" ht="14" customHeight="1">
      <c r="A10" s="21" t="inlineStr">
        <is>
          <t>Çevre düzenlemesi ve çit işleri</t>
        </is>
      </c>
      <c r="B10" s="22" t="inlineStr">
        <is>
          <t>TKDK-0091</t>
        </is>
      </c>
      <c r="C10" s="18" t="inlineStr">
        <is>
          <t>Betonarme direkli galvanizli tel örgü çit yapılması (Tip-1)</t>
        </is>
      </c>
      <c r="D10" s="3" t="inlineStr">
        <is>
          <t>m</t>
        </is>
      </c>
      <c r="E10" s="23" t="n">
        <v>361.04</v>
      </c>
      <c r="F10" s="24">
        <f>IFERROR(VLOOKUP($B10,'Fiyatlar'!$A:$I,9,FALSE),0)</f>
        <v/>
      </c>
      <c r="G10" s="5">
        <f>E10*F10</f>
        <v/>
      </c>
    </row>
    <row r="11" ht="22" customHeight="1">
      <c r="A11" s="21" t="inlineStr">
        <is>
          <t>Kanalizasyon işleri</t>
        </is>
      </c>
      <c r="B11" s="22" t="inlineStr">
        <is>
          <t>43.527.1001</t>
        </is>
      </c>
      <c r="C11" s="18" t="inlineStr">
        <is>
          <t>Çapı 150 mm HDPE koruge boru döşenmesi (SN 8, lastik conta ve boru bedeli dahil)</t>
        </is>
      </c>
      <c r="D11" s="3" t="inlineStr">
        <is>
          <t>m</t>
        </is>
      </c>
      <c r="E11" s="23" t="n">
        <v>50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15.560.1003</t>
        </is>
      </c>
      <c r="C12" s="18" t="inlineStr">
        <is>
          <t>Betonarme kompozit rögar kapağı temini ve yerine konulması</t>
        </is>
      </c>
      <c r="D12" s="3" t="inlineStr">
        <is>
          <t>ad</t>
        </is>
      </c>
      <c r="E12" s="23" t="n">
        <v>4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Elektrik tesisatı ve aydınlatma</t>
        </is>
      </c>
      <c r="B13" s="22" t="inlineStr">
        <is>
          <t>30.100.1104</t>
        </is>
      </c>
      <c r="C13" s="18" t="inlineStr">
        <is>
          <t>Ana dağıtım panosu (dikili tip galvanizli sac, en az 700 mm en, 400 mm derinlik)</t>
        </is>
      </c>
      <c r="D13" s="3" t="inlineStr">
        <is>
          <t>ad</t>
        </is>
      </c>
      <c r="E13" s="23" t="n">
        <v>1</v>
      </c>
      <c r="F13" s="24">
        <f>IFERROR(VLOOKUP($B13,'Fiyatlar'!$A:$I,9,FALSE),0)</f>
        <v/>
      </c>
      <c r="G13" s="5">
        <f>E13*F13</f>
        <v/>
      </c>
    </row>
    <row r="14" ht="14" customHeight="1">
      <c r="A14" s="25" t="n"/>
      <c r="B14" s="22" t="inlineStr">
        <is>
          <t>30.100.2106</t>
        </is>
      </c>
      <c r="C14" s="18" t="inlineStr">
        <is>
          <t>Sayaç panosu (sıva üstü galvanizli sac tablo, 0,50-0,60 m²)</t>
        </is>
      </c>
      <c r="D14" s="3" t="inlineStr">
        <is>
          <t>ad</t>
        </is>
      </c>
      <c r="E14" s="23" t="n">
        <v>1</v>
      </c>
      <c r="F14" s="24">
        <f>IFERROR(VLOOKUP($B14,'Fiyatlar'!$A:$I,9,FALSE),0)</f>
        <v/>
      </c>
      <c r="G14" s="5">
        <f>E14*F14</f>
        <v/>
      </c>
    </row>
    <row r="15" ht="22" customHeight="1">
      <c r="A15" s="25" t="n"/>
      <c r="B15" s="22" t="inlineStr">
        <is>
          <t>30.135.3201</t>
        </is>
      </c>
      <c r="C15" s="18" t="inlineStr">
        <is>
          <t>Üç fazlı zaman tarifeli elektronik aktif sayaç, en az 5(100) A, 3x230/400 V</t>
        </is>
      </c>
      <c r="D15" s="3" t="inlineStr">
        <is>
          <t>ad</t>
        </is>
      </c>
      <c r="E15" s="23" t="n">
        <v>1</v>
      </c>
      <c r="F15" s="24">
        <f>IFERROR(VLOOKUP($B15,'Fiyatlar'!$A:$I,9,FALSE),0)</f>
        <v/>
      </c>
      <c r="G15" s="5">
        <f>E15*F15</f>
        <v/>
      </c>
    </row>
    <row r="16" ht="14" customHeight="1">
      <c r="A16" s="25" t="n"/>
      <c r="B16" s="22" t="inlineStr">
        <is>
          <t>30.110.1104</t>
        </is>
      </c>
      <c r="C16" s="18" t="inlineStr">
        <is>
          <t>Termik-manyetik kompakt şalter 3x160 A, Icu 35 kA — ana giriş</t>
        </is>
      </c>
      <c r="D16" s="3" t="inlineStr">
        <is>
          <t>ad</t>
        </is>
      </c>
      <c r="E16" s="23" t="n">
        <v>1</v>
      </c>
      <c r="F16" s="24">
        <f>IFERROR(VLOOKUP($B16,'Fiyatlar'!$A:$I,9,FALSE),0)</f>
        <v/>
      </c>
      <c r="G16" s="5">
        <f>E16*F16</f>
        <v/>
      </c>
    </row>
    <row r="17" ht="14" customHeight="1">
      <c r="A17" s="25" t="n"/>
      <c r="B17" s="22" t="inlineStr">
        <is>
          <t>30.115.1003</t>
        </is>
      </c>
      <c r="C17" s="18" t="inlineStr">
        <is>
          <t>Kaçak akım koruma şalteri 2x63 A, 30 mA</t>
        </is>
      </c>
      <c r="D17" s="3" t="inlineStr">
        <is>
          <t>ad</t>
        </is>
      </c>
      <c r="E17" s="23" t="n">
        <v>2</v>
      </c>
      <c r="F17" s="24">
        <f>IFERROR(VLOOKUP($B17,'Fiyatlar'!$A:$I,9,FALSE),0)</f>
        <v/>
      </c>
      <c r="G17" s="5">
        <f>E17*F17</f>
        <v/>
      </c>
    </row>
    <row r="18" ht="14" customHeight="1">
      <c r="A18" s="25" t="n"/>
      <c r="B18" s="22" t="inlineStr">
        <is>
          <t>30.140.3105</t>
        </is>
      </c>
      <c r="C18" s="18" t="inlineStr">
        <is>
          <t>YVV (NYY) 1 kV yeraltı kablosu ile besleme hattı tesisi — 1x35 mm²</t>
        </is>
      </c>
      <c r="D18" s="3" t="inlineStr">
        <is>
          <t>m</t>
        </is>
      </c>
      <c r="E18" s="23" t="n">
        <v>50</v>
      </c>
      <c r="F18" s="24">
        <f>IFERROR(VLOOKUP($B18,'Fiyatlar'!$A:$I,9,FALSE),0)</f>
        <v/>
      </c>
      <c r="G18" s="5">
        <f>E18*F18</f>
        <v/>
      </c>
    </row>
    <row r="19" ht="14" customHeight="1">
      <c r="A19" s="25" t="n"/>
      <c r="B19" s="22" t="inlineStr">
        <is>
          <t>30.140.3101</t>
        </is>
      </c>
      <c r="C19" s="18" t="inlineStr">
        <is>
          <t>YVV (NYY) 1 kV yeraltı kablosu ile besleme hattı tesisi — 1x6 mm²</t>
        </is>
      </c>
      <c r="D19" s="3" t="inlineStr">
        <is>
          <t>m</t>
        </is>
      </c>
      <c r="E19" s="23" t="n">
        <v>50</v>
      </c>
      <c r="F19" s="24">
        <f>IFERROR(VLOOKUP($B19,'Fiyatlar'!$A:$I,9,FALSE),0)</f>
        <v/>
      </c>
      <c r="G19" s="5">
        <f>E19*F19</f>
        <v/>
      </c>
    </row>
    <row r="20" ht="14" customHeight="1">
      <c r="A20" s="25" t="n"/>
      <c r="B20" s="22" t="inlineStr">
        <is>
          <t>30.172.1706</t>
        </is>
      </c>
      <c r="C20" s="18" t="inlineStr">
        <is>
          <t>Aydınlatma direği — taban çapı en az 80 mm, yükseklik en az 4,00 m</t>
        </is>
      </c>
      <c r="D20" s="3" t="inlineStr">
        <is>
          <t>ad</t>
        </is>
      </c>
      <c r="E20" s="23" t="n">
        <v>4</v>
      </c>
      <c r="F20" s="24">
        <f>IFERROR(VLOOKUP($B20,'Fiyatlar'!$A:$I,9,FALSE),0)</f>
        <v/>
      </c>
      <c r="G20" s="5">
        <f>E20*F20</f>
        <v/>
      </c>
    </row>
    <row r="21" ht="14" customHeight="1">
      <c r="A21" s="26" t="n"/>
      <c r="B21" s="22" t="inlineStr">
        <is>
          <t>30.170.4002</t>
        </is>
      </c>
      <c r="C21" s="18" t="inlineStr">
        <is>
          <t>LED projektör, ışık akısı en az 5100 lm</t>
        </is>
      </c>
      <c r="D21" s="3" t="inlineStr">
        <is>
          <t>ad</t>
        </is>
      </c>
      <c r="E21" s="23" t="n">
        <v>4</v>
      </c>
      <c r="F21" s="24">
        <f>IFERROR(VLOOKUP($B21,'Fiyatlar'!$A:$I,9,FALSE),0)</f>
        <v/>
      </c>
      <c r="G21" s="5">
        <f>E21*F21</f>
        <v/>
      </c>
    </row>
    <row r="22">
      <c r="A22" s="11" t="n"/>
      <c r="B22" s="11" t="n"/>
      <c r="C22" s="27" t="inlineStr">
        <is>
          <t>TOPLAM (KDV hariç)</t>
        </is>
      </c>
      <c r="D22" s="11" t="n"/>
      <c r="E22" s="11" t="n"/>
      <c r="F22" s="11" t="n"/>
      <c r="G22" s="13">
        <f>SUM(G6:G21)</f>
        <v/>
      </c>
    </row>
  </sheetData>
  <mergeCells count="4">
    <mergeCell ref="A13:A21"/>
    <mergeCell ref="A11:A12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2026-08-28T05:01:31Z</dcterms:created>
  <dcterms:modified xmlns:dcterms="http://purl.org/dc/terms/" xmlns:xsi="http://www.w3.org/2001/XMLSchema-instance" xsi:type="dcterms:W3CDTF">2026-08-28T05:01:31Z</dcterms:modified>
</cp:coreProperties>
</file>