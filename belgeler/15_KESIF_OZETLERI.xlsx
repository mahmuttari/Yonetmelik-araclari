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Blok'!$G$43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Blok'!$G$43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15.540.1537</t>
        </is>
      </c>
      <c r="B19" s="18" t="inlineStr">
        <is>
          <t>Yeni sıva yüzeylere astar uygulanarak iki kat su bazlı plastik antibakteriyel iç cephe boyası yapılması</t>
        </is>
      </c>
      <c r="C19" s="3" t="inlineStr">
        <is>
          <t>m²</t>
        </is>
      </c>
      <c r="D19" s="5" t="n">
        <v>296.13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248.75</v>
      </c>
    </row>
    <row r="20" ht="22" customHeight="1">
      <c r="A20" s="17" t="inlineStr">
        <is>
          <t>15.540.1606</t>
        </is>
      </c>
      <c r="B20" s="18" t="inlineStr">
        <is>
          <t>Brüt beton, sıvalı veya eski boyalı yüzeylere astar uygulanarak silikon esaslı su bazlı dış cephe boyası yapılması</t>
        </is>
      </c>
      <c r="C20" s="3" t="inlineStr">
        <is>
          <t>m²</t>
        </is>
      </c>
      <c r="D20" s="5" t="n">
        <v>386.03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324.27</v>
      </c>
    </row>
    <row r="21" ht="22" customHeight="1">
      <c r="A21" s="17" t="inlineStr">
        <is>
          <t>15.550.1002</t>
        </is>
      </c>
      <c r="B21" s="18" t="inlineStr">
        <is>
          <t>1,50 mm kalınlığında sıcak haddelenmiş sacdan bükme kapı kasası yapılması ve yerine konulması</t>
        </is>
      </c>
      <c r="C21" s="3" t="inlineStr">
        <is>
          <t>kg</t>
        </is>
      </c>
      <c r="D21" s="5" t="n">
        <v>218.54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183.57</v>
      </c>
    </row>
    <row r="22" ht="22" customHeight="1">
      <c r="A22" s="17" t="inlineStr">
        <is>
          <t>15.550.1202</t>
        </is>
      </c>
      <c r="B22" s="18" t="inlineStr">
        <is>
          <t>Lama ve profil demirlerden çeşitli demir işleri yapılması ve yerine konulması</t>
        </is>
      </c>
      <c r="C22" s="3" t="inlineStr">
        <is>
          <t>kg</t>
        </is>
      </c>
      <c r="D22" s="5" t="n">
        <v>175.8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147.67</v>
      </c>
    </row>
    <row r="23" ht="22" customHeight="1">
      <c r="A23" s="17" t="inlineStr">
        <is>
          <t>30.100.2105</t>
        </is>
      </c>
      <c r="B23" s="18" t="inlineStr">
        <is>
          <t>Kümes dağıtım panosu (sıva üstü galvanizli sac tablo, 0,40-0,50 m²)</t>
        </is>
      </c>
      <c r="C23" s="3" t="inlineStr">
        <is>
          <t>ad</t>
        </is>
      </c>
      <c r="D23" s="5" t="n">
        <v>12003.52</v>
      </c>
      <c r="E23" s="19" t="inlineStr">
        <is>
          <t>ÇŞB 2026 Haziran elektrik rayici x 1,25 + montaj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10082.96</v>
      </c>
    </row>
    <row r="24" ht="22" customHeight="1">
      <c r="A24" s="17" t="inlineStr">
        <is>
          <t>30.110.1102</t>
        </is>
      </c>
      <c r="B24" s="18" t="inlineStr">
        <is>
          <t>Termik-manyetik kompakt şalter 3x100 A, Icu 35 kA — kümes besleme</t>
        </is>
      </c>
      <c r="C24" s="3" t="inlineStr">
        <is>
          <t>ad</t>
        </is>
      </c>
      <c r="D24" s="5" t="n">
        <v>5280.06</v>
      </c>
      <c r="E24" s="19" t="inlineStr">
        <is>
          <t>ÇŞB 2026 Haziran elektrik rayici x 1,25 + montaj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4435.25</v>
      </c>
    </row>
    <row r="25" ht="14" customHeight="1">
      <c r="A25" s="17" t="inlineStr">
        <is>
          <t>30.115.1003</t>
        </is>
      </c>
      <c r="B25" s="18" t="inlineStr">
        <is>
          <t>Kaçak akım koruma şalteri 2x63 A, 30 mA</t>
        </is>
      </c>
      <c r="C25" s="3" t="inlineStr">
        <is>
          <t>ad</t>
        </is>
      </c>
      <c r="D25" s="5" t="n">
        <v>1709.76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1436.2</v>
      </c>
    </row>
    <row r="26" ht="22" customHeight="1">
      <c r="A26" s="17" t="inlineStr">
        <is>
          <t>30.140.1105</t>
        </is>
      </c>
      <c r="B26" s="18" t="inlineStr">
        <is>
          <t>Çıplak bakır tel 25 mm² — eşpotansiyel bara ve topraklama iletkeni</t>
        </is>
      </c>
      <c r="C26" s="3" t="inlineStr">
        <is>
          <t>m</t>
        </is>
      </c>
      <c r="D26" s="5" t="n">
        <v>223.96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188.13</v>
      </c>
    </row>
    <row r="27" ht="22" customHeight="1">
      <c r="A27" s="17" t="inlineStr">
        <is>
          <t>30.140.3104</t>
        </is>
      </c>
      <c r="B27" s="18" t="inlineStr">
        <is>
          <t>YVV (NYY) 1 kV yeraltı kablosu ile kolon hattı tesisi — 1x25 mm²</t>
        </is>
      </c>
      <c r="C27" s="3" t="inlineStr">
        <is>
          <t>m</t>
        </is>
      </c>
      <c r="D27" s="5" t="n">
        <v>290.5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244.02</v>
      </c>
    </row>
    <row r="28" ht="14" customHeight="1">
      <c r="A28" s="17" t="inlineStr">
        <is>
          <t>30.150.1401</t>
        </is>
      </c>
      <c r="B28" s="18" t="inlineStr">
        <is>
          <t>Halojensiz H07Z tipi iletken 1x1,5 mm² ile kumanda tesisatı</t>
        </is>
      </c>
      <c r="C28" s="3" t="inlineStr">
        <is>
          <t>m</t>
        </is>
      </c>
      <c r="D28" s="5" t="n">
        <v>28.05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23.56</v>
      </c>
    </row>
    <row r="29" ht="14" customHeight="1">
      <c r="A29" s="17" t="inlineStr">
        <is>
          <t>30.150.1402</t>
        </is>
      </c>
      <c r="B29" s="18" t="inlineStr">
        <is>
          <t>Halojensiz H07Z tipi iletken 1x2,5 mm² ile tesisat</t>
        </is>
      </c>
      <c r="C29" s="3" t="inlineStr">
        <is>
          <t>m</t>
        </is>
      </c>
      <c r="D29" s="5" t="n">
        <v>39.41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33.1</v>
      </c>
    </row>
    <row r="30" ht="14" customHeight="1">
      <c r="A30" s="17" t="inlineStr">
        <is>
          <t>30.160.6102</t>
        </is>
      </c>
      <c r="B30" s="18" t="inlineStr">
        <is>
          <t>Boş boru döşemesi — 25-32 mm PVC boru</t>
        </is>
      </c>
      <c r="C30" s="3" t="inlineStr">
        <is>
          <t>m</t>
        </is>
      </c>
      <c r="D30" s="5" t="n">
        <v>88.59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74.42</v>
      </c>
    </row>
    <row r="31" ht="22" customHeight="1">
      <c r="A31" s="17" t="inlineStr">
        <is>
          <t>30.170.1601</t>
        </is>
      </c>
      <c r="B31" s="18" t="inlineStr">
        <is>
          <t>LED sıva üstü etanj armatür (polikarbon gövdeli), ışık akısı en az 1800 lm — servis bölümü</t>
        </is>
      </c>
      <c r="C31" s="3" t="inlineStr">
        <is>
          <t>ad</t>
        </is>
      </c>
      <c r="D31" s="5" t="n">
        <v>1848.1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1552.4</v>
      </c>
    </row>
    <row r="32" ht="22" customHeight="1">
      <c r="A32" s="17" t="inlineStr">
        <is>
          <t>30.170.1602</t>
        </is>
      </c>
      <c r="B32" s="18" t="inlineStr">
        <is>
          <t>LED sıva üstü etanj armatür (polikarbon gövdeli), ışık akısı en az 2700 lm — kümes genel aydınlatması</t>
        </is>
      </c>
      <c r="C32" s="3" t="inlineStr">
        <is>
          <t>ad</t>
        </is>
      </c>
      <c r="D32" s="5" t="n">
        <v>2646.28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2222.88</v>
      </c>
    </row>
    <row r="33" ht="22" customHeight="1">
      <c r="A33" s="17" t="inlineStr">
        <is>
          <t>30.740.1106</t>
        </is>
      </c>
      <c r="B33" s="18" t="inlineStr">
        <is>
          <t>Dizel elektrojen grubu (jeneratör) 63 kVA / 50 kW — dizel motoru su veya hava ile soğuyan cinsten, 1500 d/dak</t>
        </is>
      </c>
      <c r="C33" s="3" t="inlineStr">
        <is>
          <t>ad</t>
        </is>
      </c>
      <c r="D33" s="5" t="n">
        <v>576288.2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484082.09</v>
      </c>
    </row>
    <row r="34" ht="14" customHeight="1">
      <c r="A34" s="17" t="inlineStr">
        <is>
          <t>30.740.5406</t>
        </is>
      </c>
      <c r="B34" s="18" t="inlineStr">
        <is>
          <t>Jeneratör ses izolasyon kabini — 63 kVA</t>
        </is>
      </c>
      <c r="C34" s="3" t="inlineStr">
        <is>
          <t>ad</t>
        </is>
      </c>
      <c r="D34" s="5" t="n">
        <v>99145.64999999999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83282.35000000001</v>
      </c>
    </row>
    <row r="35" ht="14" customHeight="1">
      <c r="A35" s="17" t="inlineStr">
        <is>
          <t>30.750.1502</t>
        </is>
      </c>
      <c r="B35" s="18" t="inlineStr">
        <is>
          <t>Aktif yakalama ucu, ortalama uyarım yolu DL = 30-40 m</t>
        </is>
      </c>
      <c r="C35" s="3" t="inlineStr">
        <is>
          <t>ad</t>
        </is>
      </c>
      <c r="D35" s="5" t="n">
        <v>20726.2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17410.01</v>
      </c>
    </row>
    <row r="36" ht="22" customHeight="1">
      <c r="A36" s="17" t="inlineStr">
        <is>
          <t>30.750.2001</t>
        </is>
      </c>
      <c r="B36" s="18" t="inlineStr">
        <is>
          <t>Çatı ihata ve indirme iletkeni tesisatı — 50 mm² elektrolitik bakır tel</t>
        </is>
      </c>
      <c r="C36" s="3" t="inlineStr">
        <is>
          <t>m</t>
        </is>
      </c>
      <c r="D36" s="5" t="n">
        <v>572.8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481.15</v>
      </c>
    </row>
    <row r="37" ht="22" customHeight="1">
      <c r="A37" s="17" t="inlineStr">
        <is>
          <t>30.750.3002</t>
        </is>
      </c>
      <c r="B37" s="18" t="inlineStr">
        <is>
          <t>Bina ihata iletkeni tesisatı — 30x3,5 mm galvanizli çelik lama (temel topraklaması)</t>
        </is>
      </c>
      <c r="C37" s="3" t="inlineStr">
        <is>
          <t>m</t>
        </is>
      </c>
      <c r="D37" s="5" t="n">
        <v>185.85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156.11</v>
      </c>
    </row>
    <row r="38" ht="22" customHeight="1">
      <c r="A38" s="17" t="inlineStr">
        <is>
          <t>43.527.1001</t>
        </is>
      </c>
      <c r="B38" s="18" t="inlineStr">
        <is>
          <t>Çapı 150 mm HDPE koruge boru döşenmesi (SN 8, lastik conta ve boru bedeli dahil)</t>
        </is>
      </c>
      <c r="C38" s="3" t="inlineStr">
        <is>
          <t>m</t>
        </is>
      </c>
      <c r="D38" s="5" t="n">
        <v>393.69</v>
      </c>
      <c r="E38" s="19" t="inlineStr">
        <is>
          <t>TKDK 17.02.2026 Özel Poz Tablosu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330.7</v>
      </c>
    </row>
    <row r="39" ht="14" customHeight="1">
      <c r="A39" s="17" t="inlineStr">
        <is>
          <t>TKDK-0115</t>
        </is>
      </c>
      <c r="B39" s="18" t="inlineStr">
        <is>
          <t>Galvanizli düz sacdan yağmur oluğu veya iniş borusu yapılması</t>
        </is>
      </c>
      <c r="C39" s="3" t="inlineStr">
        <is>
          <t>kg</t>
        </is>
      </c>
      <c r="D39" s="5" t="n">
        <v>271.25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227.85</v>
      </c>
    </row>
    <row r="40" ht="33" customHeight="1">
      <c r="A40" s="17" t="inlineStr">
        <is>
          <t>TKDK-0151</t>
        </is>
      </c>
      <c r="B40" s="18" t="inlineStr">
        <is>
          <t>5 cm poliüretan dolgulu (üst 0,50 mm düz, alt 0,40 mm düz) fabrikasyon rulo boyama sistemi ile boyanmış galvaniz levhalar ile ısı yalıtımlı kapı yapılması</t>
        </is>
      </c>
      <c r="C40" s="3" t="inlineStr">
        <is>
          <t>m²</t>
        </is>
      </c>
      <c r="D40" s="5" t="n">
        <v>1035.88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870.14</v>
      </c>
    </row>
    <row r="41" ht="33" customHeight="1">
      <c r="A41" s="17" t="inlineStr">
        <is>
          <t>TKDK-0175</t>
        </is>
      </c>
      <c r="B41" s="18" t="inlineStr">
        <is>
          <t>PVC kaplamalı, iki yüzü odun lifinden yapılmış levhalarla (MDF) presli, kraft dolgulu iç kapı kanadı yapılması, yerinde takılması</t>
        </is>
      </c>
      <c r="C41" s="3" t="inlineStr">
        <is>
          <t>m²</t>
        </is>
      </c>
      <c r="D41" s="5" t="n">
        <v>3199.68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2687.73</v>
      </c>
    </row>
    <row r="42" ht="44" customHeight="1">
      <c r="A42" s="17" t="inlineStr">
        <is>
          <t>TKDK-0177</t>
        </is>
      </c>
      <c r="B42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2" s="3" t="inlineStr">
        <is>
          <t>m²</t>
        </is>
      </c>
      <c r="D42" s="5" t="n">
        <v>835.1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360.16</v>
      </c>
      <c r="F18" s="24">
        <f>IFERROR(VLOOKUP($B18,'Fiyatlar'!$A:$I,9,FALSE),0)</f>
        <v/>
      </c>
      <c r="G18" s="5">
        <f>E18*F18</f>
        <v/>
      </c>
    </row>
    <row r="19" ht="33" customHeight="1">
      <c r="A19" s="21" t="inlineStr">
        <is>
          <t>Doğramacılık işleri (Demir, Alüminyum, PVC, Kompozit)</t>
        </is>
      </c>
      <c r="B19" s="22" t="inlineStr">
        <is>
          <t>TKDK-0151</t>
        </is>
      </c>
      <c r="C19" s="18" t="inlineStr">
        <is>
          <t>5 cm poliüretan dolgulu (üst 0,50 mm düz, alt 0,40 mm düz) fabrikasyon rulo boyama sistemi ile boyanmış galvaniz levhalar ile ısı yalıtımlı kapı yapılması</t>
        </is>
      </c>
      <c r="D19" s="3" t="inlineStr">
        <is>
          <t>m²</t>
        </is>
      </c>
      <c r="E19" s="23" t="n">
        <v>13.4</v>
      </c>
      <c r="F19" s="24">
        <f>IFERROR(VLOOKUP($B19,'Fiyatlar'!$A:$I,9,FALSE),0)</f>
        <v/>
      </c>
      <c r="G19" s="5">
        <f>E19*F19</f>
        <v/>
      </c>
    </row>
    <row r="20" ht="22" customHeight="1">
      <c r="A20" s="25" t="n"/>
      <c r="B20" s="22" t="inlineStr">
        <is>
          <t>TKDK-0175</t>
        </is>
      </c>
      <c r="C20" s="18" t="inlineStr">
        <is>
          <t>PVC kaplamalı, iki yüzü odun lifinden yapılmış levhalarla (MDF) presli, kraft dolgulu iç kapı kanadı yapılması, yerinde takılması</t>
        </is>
      </c>
      <c r="D20" s="3" t="inlineStr">
        <is>
          <t>m²</t>
        </is>
      </c>
      <c r="E20" s="23" t="n">
        <v>5.67</v>
      </c>
      <c r="F20" s="24">
        <f>IFERROR(VLOOKUP($B20,'Fiyatlar'!$A:$I,9,FALSE),0)</f>
        <v/>
      </c>
      <c r="G20" s="5">
        <f>E20*F20</f>
        <v/>
      </c>
    </row>
    <row r="21" ht="22" customHeight="1">
      <c r="A21" s="26" t="n"/>
      <c r="B21" s="22" t="inlineStr">
        <is>
          <t>15.550.1002</t>
        </is>
      </c>
      <c r="C21" s="18" t="inlineStr">
        <is>
          <t>1,50 mm kalınlığında sıcak haddelenmiş sacdan bükme kapı kasası yapılması ve yerine konulması</t>
        </is>
      </c>
      <c r="D21" s="3" t="inlineStr">
        <is>
          <t>kg</t>
        </is>
      </c>
      <c r="E21" s="23" t="n">
        <v>54.315</v>
      </c>
      <c r="F21" s="24">
        <f>IFERROR(VLOOKUP($B21,'Fiyatlar'!$A:$I,9,FALSE),0)</f>
        <v/>
      </c>
      <c r="G21" s="5">
        <f>E21*F21</f>
        <v/>
      </c>
    </row>
    <row r="22" ht="14" customHeight="1">
      <c r="A22" s="21" t="inlineStr">
        <is>
          <t>Sıva, alçı, derz ve şap işleri</t>
        </is>
      </c>
      <c r="B22" s="22" t="inlineStr">
        <is>
          <t>15.275.1116</t>
        </is>
      </c>
      <c r="C22" s="18" t="inlineStr">
        <is>
          <t>250 kg çimento dozlu harç ile kaba sıva yapılması</t>
        </is>
      </c>
      <c r="D22" s="3" t="inlineStr">
        <is>
          <t>m²</t>
        </is>
      </c>
      <c r="E22" s="23" t="n">
        <v>557.76</v>
      </c>
      <c r="F22" s="24">
        <f>IFERROR(VLOOKUP($B22,'Fiyatlar'!$A:$I,9,FALSE),0)</f>
        <v/>
      </c>
      <c r="G22" s="5">
        <f>E22*F22</f>
        <v/>
      </c>
    </row>
    <row r="23" ht="22" customHeight="1">
      <c r="A23" s="26" t="n"/>
      <c r="B23" s="22" t="inlineStr">
        <is>
          <t>15.275.1117</t>
        </is>
      </c>
      <c r="C23" s="18" t="inlineStr">
        <is>
          <t>200 kg çimento ve kireç karışımı harç ile kaba sıva yapılması (iç cephe)</t>
        </is>
      </c>
      <c r="D23" s="3" t="inlineStr">
        <is>
          <t>m²</t>
        </is>
      </c>
      <c r="E23" s="23" t="n">
        <v>647.76</v>
      </c>
      <c r="F23" s="24">
        <f>IFERROR(VLOOKUP($B23,'Fiyatlar'!$A:$I,9,FALSE),0)</f>
        <v/>
      </c>
      <c r="G23" s="5">
        <f>E23*F23</f>
        <v/>
      </c>
    </row>
    <row r="24" ht="22" customHeight="1">
      <c r="A24" s="21" t="inlineStr">
        <is>
          <t>Boya, badana ve cila işleri</t>
        </is>
      </c>
      <c r="B24" s="22" t="inlineStr">
        <is>
          <t>15.540.1606</t>
        </is>
      </c>
      <c r="C24" s="18" t="inlineStr">
        <is>
          <t>Brüt beton, sıvalı veya eski boyalı yüzeylere astar uygulanarak silikon esaslı su bazlı dış cephe boyası yapılması</t>
        </is>
      </c>
      <c r="D24" s="3" t="inlineStr">
        <is>
          <t>m²</t>
        </is>
      </c>
      <c r="E24" s="23" t="n">
        <v>557.76</v>
      </c>
      <c r="F24" s="24">
        <f>IFERROR(VLOOKUP($B24,'Fiyatlar'!$A:$I,9,FALSE),0)</f>
        <v/>
      </c>
      <c r="G24" s="5">
        <f>E24*F24</f>
        <v/>
      </c>
    </row>
    <row r="25" ht="22" customHeight="1">
      <c r="A25" s="26" t="n"/>
      <c r="B25" s="22" t="inlineStr">
        <is>
          <t>15.540.1537</t>
        </is>
      </c>
      <c r="C25" s="18" t="inlineStr">
        <is>
          <t>Yeni sıva yüzeylere astar uygulanarak iki kat su bazlı plastik antibakteriyel iç cephe boyası yapılması</t>
        </is>
      </c>
      <c r="D25" s="3" t="inlineStr">
        <is>
          <t>m²</t>
        </is>
      </c>
      <c r="E25" s="23" t="n">
        <v>612.76</v>
      </c>
      <c r="F25" s="24">
        <f>IFERROR(VLOOKUP($B25,'Fiyatlar'!$A:$I,9,FALSE),0)</f>
        <v/>
      </c>
      <c r="G25" s="5">
        <f>E25*F25</f>
        <v/>
      </c>
    </row>
    <row r="26" ht="33" customHeight="1">
      <c r="A26" s="21" t="inlineStr">
        <is>
          <t>İnce yapı ve tamamlayıcı imalatlar</t>
        </is>
      </c>
      <c r="B26" s="22" t="inlineStr">
        <is>
          <t>TKDK-0177</t>
        </is>
      </c>
      <c r="C2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6" s="3" t="inlineStr">
        <is>
          <t>m²</t>
        </is>
      </c>
      <c r="E26" s="23" t="n">
        <v>60</v>
      </c>
      <c r="F26" s="24">
        <f>IFERROR(VLOOKUP($B26,'Fiyatlar'!$A:$I,9,FALSE),0)</f>
        <v/>
      </c>
      <c r="G26" s="5">
        <f>E26*F26</f>
        <v/>
      </c>
    </row>
    <row r="27" ht="22" customHeight="1">
      <c r="A27" s="21" t="inlineStr">
        <is>
          <t>Kanalizasyon işleri</t>
        </is>
      </c>
      <c r="B27" s="22" t="inlineStr">
        <is>
          <t>43.527.1001</t>
        </is>
      </c>
      <c r="C27" s="18" t="inlineStr">
        <is>
          <t>Çapı 150 mm HDPE koruge boru döşenmesi (SN 8, lastik conta ve boru bedeli dahil)</t>
        </is>
      </c>
      <c r="D27" s="3" t="inlineStr">
        <is>
          <t>m</t>
        </is>
      </c>
      <c r="E27" s="23" t="n">
        <v>25</v>
      </c>
      <c r="F27" s="24">
        <f>IFERROR(VLOOKUP($B27,'Fiyatlar'!$A:$I,9,FALSE),0)</f>
        <v/>
      </c>
      <c r="G27" s="5">
        <f>E27*F27</f>
        <v/>
      </c>
    </row>
    <row r="28" ht="14" customHeight="1">
      <c r="A28" s="21" t="inlineStr">
        <is>
          <t>Elektrik tesisatı ve aydınlatma</t>
        </is>
      </c>
      <c r="B28" s="22" t="inlineStr">
        <is>
          <t>30.100.2105</t>
        </is>
      </c>
      <c r="C28" s="18" t="inlineStr">
        <is>
          <t>Kümes dağıtım panosu (sıva üstü galvanizli sac tablo, 0,40-0,50 m²)</t>
        </is>
      </c>
      <c r="D28" s="3" t="inlineStr">
        <is>
          <t>ad</t>
        </is>
      </c>
      <c r="E28" s="23" t="n">
        <v>1</v>
      </c>
      <c r="F28" s="24">
        <f>IFERROR(VLOOKUP($B28,'Fiyatlar'!$A:$I,9,FALSE),0)</f>
        <v/>
      </c>
      <c r="G28" s="5">
        <f>E28*F28</f>
        <v/>
      </c>
    </row>
    <row r="29" ht="14" customHeight="1">
      <c r="A29" s="25" t="n"/>
      <c r="B29" s="22" t="inlineStr">
        <is>
          <t>30.110.1102</t>
        </is>
      </c>
      <c r="C29" s="18" t="inlineStr">
        <is>
          <t>Termik-manyetik kompakt şalter 3x100 A, Icu 35 kA — kümes besleme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30.115.1003</t>
        </is>
      </c>
      <c r="C30" s="18" t="inlineStr">
        <is>
          <t>Kaçak akım koruma şalteri 2x63 A, 30 mA</t>
        </is>
      </c>
      <c r="D30" s="3" t="inlineStr">
        <is>
          <t>ad</t>
        </is>
      </c>
      <c r="E30" s="23" t="n">
        <v>2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30.140.3104</t>
        </is>
      </c>
      <c r="C31" s="18" t="inlineStr">
        <is>
          <t>YVV (NYY) 1 kV yeraltı kablosu ile kolon hattı tesisi — 1x25 mm²</t>
        </is>
      </c>
      <c r="D31" s="3" t="inlineStr">
        <is>
          <t>m</t>
        </is>
      </c>
      <c r="E31" s="23" t="n">
        <v>300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30.170.1602</t>
        </is>
      </c>
      <c r="C32" s="18" t="inlineStr">
        <is>
          <t>LED sıva üstü etanj armatür (polikarbon gövdeli), ışık akısı en az 2700 lm — kümes genel aydınlatması</t>
        </is>
      </c>
      <c r="D32" s="3" t="inlineStr">
        <is>
          <t>ad</t>
        </is>
      </c>
      <c r="E32" s="23" t="n">
        <v>30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30.170.1601</t>
        </is>
      </c>
      <c r="C33" s="18" t="inlineStr">
        <is>
          <t>LED sıva üstü etanj armatür (polikarbon gövdeli), ışık akısı en az 1800 lm — servis bölümü</t>
        </is>
      </c>
      <c r="D33" s="3" t="inlineStr">
        <is>
          <t>ad</t>
        </is>
      </c>
      <c r="E33" s="23" t="n">
        <v>2</v>
      </c>
      <c r="F33" s="24">
        <f>IFERROR(VLOOKUP($B33,'Fiyatlar'!$A:$I,9,FALSE),0)</f>
        <v/>
      </c>
      <c r="G33" s="5">
        <f>E33*F33</f>
        <v/>
      </c>
    </row>
    <row r="34" ht="14" customHeight="1">
      <c r="A34" s="25" t="n"/>
      <c r="B34" s="22" t="inlineStr">
        <is>
          <t>30.160.6102</t>
        </is>
      </c>
      <c r="C34" s="18" t="inlineStr">
        <is>
          <t>Boş boru döşemesi — 25-32 mm PVC boru</t>
        </is>
      </c>
      <c r="D34" s="3" t="inlineStr">
        <is>
          <t>m</t>
        </is>
      </c>
      <c r="E34" s="23" t="n">
        <v>500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30.150.1402</t>
        </is>
      </c>
      <c r="C35" s="18" t="inlineStr">
        <is>
          <t>Halojensiz H07Z tipi iletken 1x2,5 mm² ile tesisat</t>
        </is>
      </c>
      <c r="D35" s="3" t="inlineStr">
        <is>
          <t>m</t>
        </is>
      </c>
      <c r="E35" s="23" t="n">
        <v>2000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30.150.1401</t>
        </is>
      </c>
      <c r="C36" s="18" t="inlineStr">
        <is>
          <t>Halojensiz H07Z tipi iletken 1x1,5 mm² ile kumanda tesisatı</t>
        </is>
      </c>
      <c r="D36" s="3" t="inlineStr">
        <is>
          <t>m</t>
        </is>
      </c>
      <c r="E36" s="23" t="n">
        <v>600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30.140.1105</t>
        </is>
      </c>
      <c r="C37" s="18" t="inlineStr">
        <is>
          <t>Çıplak bakır tel 25 mm² — eşpotansiyel bara ve topraklama iletkeni</t>
        </is>
      </c>
      <c r="D37" s="3" t="inlineStr">
        <is>
          <t>m</t>
        </is>
      </c>
      <c r="E37" s="23" t="n">
        <v>100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30.750.3002</t>
        </is>
      </c>
      <c r="C38" s="18" t="inlineStr">
        <is>
          <t>Bina ihata iletkeni tesisatı — 30x3,5 mm galvanizli çelik lama (temel topraklaması)</t>
        </is>
      </c>
      <c r="D38" s="3" t="inlineStr">
        <is>
          <t>m</t>
        </is>
      </c>
      <c r="E38" s="23" t="n">
        <v>186</v>
      </c>
      <c r="F38" s="24">
        <f>IFERROR(VLOOKUP($B38,'Fiyatlar'!$A:$I,9,FALSE),0)</f>
        <v/>
      </c>
      <c r="G38" s="5">
        <f>E38*F38</f>
        <v/>
      </c>
    </row>
    <row r="39" ht="14" customHeight="1">
      <c r="A39" s="25" t="n"/>
      <c r="B39" s="22" t="inlineStr">
        <is>
          <t>30.750.1502</t>
        </is>
      </c>
      <c r="C39" s="18" t="inlineStr">
        <is>
          <t>Aktif yakalama ucu, ortalama uyarım yolu DL = 30-40 m</t>
        </is>
      </c>
      <c r="D39" s="3" t="inlineStr">
        <is>
          <t>ad</t>
        </is>
      </c>
      <c r="E39" s="23" t="n">
        <v>1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30.750.2001</t>
        </is>
      </c>
      <c r="C40" s="18" t="inlineStr">
        <is>
          <t>Çatı ihata ve indirme iletkeni tesisatı — 50 mm² elektrolitik bakır tel</t>
        </is>
      </c>
      <c r="D40" s="3" t="inlineStr">
        <is>
          <t>m</t>
        </is>
      </c>
      <c r="E40" s="23" t="n">
        <v>16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30.740.1106</t>
        </is>
      </c>
      <c r="C41" s="18" t="inlineStr">
        <is>
          <t>Dizel elektrojen grubu (jeneratör) 63 kVA / 50 kW — dizel motoru su veya hava ile soğuyan cinsten, 1500 d/dak</t>
        </is>
      </c>
      <c r="D41" s="3" t="inlineStr">
        <is>
          <t>ad</t>
        </is>
      </c>
      <c r="E41" s="23" t="n">
        <v>1</v>
      </c>
      <c r="F41" s="24">
        <f>IFERROR(VLOOKUP($B41,'Fiyatlar'!$A:$I,9,FALSE),0)</f>
        <v/>
      </c>
      <c r="G41" s="5">
        <f>E41*F41</f>
        <v/>
      </c>
    </row>
    <row r="42" ht="14" customHeight="1">
      <c r="A42" s="26" t="n"/>
      <c r="B42" s="22" t="inlineStr">
        <is>
          <t>30.740.5406</t>
        </is>
      </c>
      <c r="C42" s="18" t="inlineStr">
        <is>
          <t>Jeneratör ses izolasyon kabini — 63 kVA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>
      <c r="A43" s="11" t="n"/>
      <c r="B43" s="11" t="n"/>
      <c r="C43" s="27" t="inlineStr">
        <is>
          <t>TOPLAM (KDV hariç)</t>
        </is>
      </c>
      <c r="D43" s="11" t="n"/>
      <c r="E43" s="11" t="n"/>
      <c r="F43" s="11" t="n"/>
      <c r="G43" s="13">
        <f>SUM(G6:G42)</f>
        <v/>
      </c>
    </row>
  </sheetData>
  <mergeCells count="9">
    <mergeCell ref="A1:G1"/>
    <mergeCell ref="A24:A25"/>
    <mergeCell ref="A22:A23"/>
    <mergeCell ref="A13:A14"/>
    <mergeCell ref="A10:A12"/>
    <mergeCell ref="A19:A21"/>
    <mergeCell ref="A28:A42"/>
    <mergeCell ref="A15:A17"/>
    <mergeCell ref="A2:G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360.16</v>
      </c>
      <c r="F18" s="24">
        <f>IFERROR(VLOOKUP($B18,'Fiyatlar'!$A:$I,9,FALSE),0)</f>
        <v/>
      </c>
      <c r="G18" s="5">
        <f>E18*F18</f>
        <v/>
      </c>
    </row>
    <row r="19" ht="33" customHeight="1">
      <c r="A19" s="21" t="inlineStr">
        <is>
          <t>Doğramacılık işleri (Demir, Alüminyum, PVC, Kompozit)</t>
        </is>
      </c>
      <c r="B19" s="22" t="inlineStr">
        <is>
          <t>TKDK-0151</t>
        </is>
      </c>
      <c r="C19" s="18" t="inlineStr">
        <is>
          <t>5 cm poliüretan dolgulu (üst 0,50 mm düz, alt 0,40 mm düz) fabrikasyon rulo boyama sistemi ile boyanmış galvaniz levhalar ile ısı yalıtımlı kapı yapılması</t>
        </is>
      </c>
      <c r="D19" s="3" t="inlineStr">
        <is>
          <t>m²</t>
        </is>
      </c>
      <c r="E19" s="23" t="n">
        <v>13.4</v>
      </c>
      <c r="F19" s="24">
        <f>IFERROR(VLOOKUP($B19,'Fiyatlar'!$A:$I,9,FALSE),0)</f>
        <v/>
      </c>
      <c r="G19" s="5">
        <f>E19*F19</f>
        <v/>
      </c>
    </row>
    <row r="20" ht="22" customHeight="1">
      <c r="A20" s="25" t="n"/>
      <c r="B20" s="22" t="inlineStr">
        <is>
          <t>TKDK-0175</t>
        </is>
      </c>
      <c r="C20" s="18" t="inlineStr">
        <is>
          <t>PVC kaplamalı, iki yüzü odun lifinden yapılmış levhalarla (MDF) presli, kraft dolgulu iç kapı kanadı yapılması, yerinde takılması</t>
        </is>
      </c>
      <c r="D20" s="3" t="inlineStr">
        <is>
          <t>m²</t>
        </is>
      </c>
      <c r="E20" s="23" t="n">
        <v>5.67</v>
      </c>
      <c r="F20" s="24">
        <f>IFERROR(VLOOKUP($B20,'Fiyatlar'!$A:$I,9,FALSE),0)</f>
        <v/>
      </c>
      <c r="G20" s="5">
        <f>E20*F20</f>
        <v/>
      </c>
    </row>
    <row r="21" ht="22" customHeight="1">
      <c r="A21" s="26" t="n"/>
      <c r="B21" s="22" t="inlineStr">
        <is>
          <t>15.550.1002</t>
        </is>
      </c>
      <c r="C21" s="18" t="inlineStr">
        <is>
          <t>1,50 mm kalınlığında sıcak haddelenmiş sacdan bükme kapı kasası yapılması ve yerine konulması</t>
        </is>
      </c>
      <c r="D21" s="3" t="inlineStr">
        <is>
          <t>kg</t>
        </is>
      </c>
      <c r="E21" s="23" t="n">
        <v>54.315</v>
      </c>
      <c r="F21" s="24">
        <f>IFERROR(VLOOKUP($B21,'Fiyatlar'!$A:$I,9,FALSE),0)</f>
        <v/>
      </c>
      <c r="G21" s="5">
        <f>E21*F21</f>
        <v/>
      </c>
    </row>
    <row r="22" ht="14" customHeight="1">
      <c r="A22" s="21" t="inlineStr">
        <is>
          <t>Sıva, alçı, derz ve şap işleri</t>
        </is>
      </c>
      <c r="B22" s="22" t="inlineStr">
        <is>
          <t>15.275.1116</t>
        </is>
      </c>
      <c r="C22" s="18" t="inlineStr">
        <is>
          <t>250 kg çimento dozlu harç ile kaba sıva yapılması</t>
        </is>
      </c>
      <c r="D22" s="3" t="inlineStr">
        <is>
          <t>m²</t>
        </is>
      </c>
      <c r="E22" s="23" t="n">
        <v>557.76</v>
      </c>
      <c r="F22" s="24">
        <f>IFERROR(VLOOKUP($B22,'Fiyatlar'!$A:$I,9,FALSE),0)</f>
        <v/>
      </c>
      <c r="G22" s="5">
        <f>E22*F22</f>
        <v/>
      </c>
    </row>
    <row r="23" ht="22" customHeight="1">
      <c r="A23" s="26" t="n"/>
      <c r="B23" s="22" t="inlineStr">
        <is>
          <t>15.275.1117</t>
        </is>
      </c>
      <c r="C23" s="18" t="inlineStr">
        <is>
          <t>200 kg çimento ve kireç karışımı harç ile kaba sıva yapılması (iç cephe)</t>
        </is>
      </c>
      <c r="D23" s="3" t="inlineStr">
        <is>
          <t>m²</t>
        </is>
      </c>
      <c r="E23" s="23" t="n">
        <v>647.76</v>
      </c>
      <c r="F23" s="24">
        <f>IFERROR(VLOOKUP($B23,'Fiyatlar'!$A:$I,9,FALSE),0)</f>
        <v/>
      </c>
      <c r="G23" s="5">
        <f>E23*F23</f>
        <v/>
      </c>
    </row>
    <row r="24" ht="22" customHeight="1">
      <c r="A24" s="21" t="inlineStr">
        <is>
          <t>Boya, badana ve cila işleri</t>
        </is>
      </c>
      <c r="B24" s="22" t="inlineStr">
        <is>
          <t>15.540.1606</t>
        </is>
      </c>
      <c r="C24" s="18" t="inlineStr">
        <is>
          <t>Brüt beton, sıvalı veya eski boyalı yüzeylere astar uygulanarak silikon esaslı su bazlı dış cephe boyası yapılması</t>
        </is>
      </c>
      <c r="D24" s="3" t="inlineStr">
        <is>
          <t>m²</t>
        </is>
      </c>
      <c r="E24" s="23" t="n">
        <v>557.76</v>
      </c>
      <c r="F24" s="24">
        <f>IFERROR(VLOOKUP($B24,'Fiyatlar'!$A:$I,9,FALSE),0)</f>
        <v/>
      </c>
      <c r="G24" s="5">
        <f>E24*F24</f>
        <v/>
      </c>
    </row>
    <row r="25" ht="22" customHeight="1">
      <c r="A25" s="26" t="n"/>
      <c r="B25" s="22" t="inlineStr">
        <is>
          <t>15.540.1537</t>
        </is>
      </c>
      <c r="C25" s="18" t="inlineStr">
        <is>
          <t>Yeni sıva yüzeylere astar uygulanarak iki kat su bazlı plastik antibakteriyel iç cephe boyası yapılması</t>
        </is>
      </c>
      <c r="D25" s="3" t="inlineStr">
        <is>
          <t>m²</t>
        </is>
      </c>
      <c r="E25" s="23" t="n">
        <v>612.76</v>
      </c>
      <c r="F25" s="24">
        <f>IFERROR(VLOOKUP($B25,'Fiyatlar'!$A:$I,9,FALSE),0)</f>
        <v/>
      </c>
      <c r="G25" s="5">
        <f>E25*F25</f>
        <v/>
      </c>
    </row>
    <row r="26" ht="33" customHeight="1">
      <c r="A26" s="21" t="inlineStr">
        <is>
          <t>İnce yapı ve tamamlayıcı imalatlar</t>
        </is>
      </c>
      <c r="B26" s="22" t="inlineStr">
        <is>
          <t>TKDK-0177</t>
        </is>
      </c>
      <c r="C2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6" s="3" t="inlineStr">
        <is>
          <t>m²</t>
        </is>
      </c>
      <c r="E26" s="23" t="n">
        <v>60</v>
      </c>
      <c r="F26" s="24">
        <f>IFERROR(VLOOKUP($B26,'Fiyatlar'!$A:$I,9,FALSE),0)</f>
        <v/>
      </c>
      <c r="G26" s="5">
        <f>E26*F26</f>
        <v/>
      </c>
    </row>
    <row r="27" ht="22" customHeight="1">
      <c r="A27" s="21" t="inlineStr">
        <is>
          <t>Kanalizasyon işleri</t>
        </is>
      </c>
      <c r="B27" s="22" t="inlineStr">
        <is>
          <t>43.527.1001</t>
        </is>
      </c>
      <c r="C27" s="18" t="inlineStr">
        <is>
          <t>Çapı 150 mm HDPE koruge boru döşenmesi (SN 8, lastik conta ve boru bedeli dahil)</t>
        </is>
      </c>
      <c r="D27" s="3" t="inlineStr">
        <is>
          <t>m</t>
        </is>
      </c>
      <c r="E27" s="23" t="n">
        <v>25</v>
      </c>
      <c r="F27" s="24">
        <f>IFERROR(VLOOKUP($B27,'Fiyatlar'!$A:$I,9,FALSE),0)</f>
        <v/>
      </c>
      <c r="G27" s="5">
        <f>E27*F27</f>
        <v/>
      </c>
    </row>
    <row r="28" ht="14" customHeight="1">
      <c r="A28" s="21" t="inlineStr">
        <is>
          <t>Elektrik tesisatı ve aydınlatma</t>
        </is>
      </c>
      <c r="B28" s="22" t="inlineStr">
        <is>
          <t>30.100.2105</t>
        </is>
      </c>
      <c r="C28" s="18" t="inlineStr">
        <is>
          <t>Kümes dağıtım panosu (sıva üstü galvanizli sac tablo, 0,40-0,50 m²)</t>
        </is>
      </c>
      <c r="D28" s="3" t="inlineStr">
        <is>
          <t>ad</t>
        </is>
      </c>
      <c r="E28" s="23" t="n">
        <v>1</v>
      </c>
      <c r="F28" s="24">
        <f>IFERROR(VLOOKUP($B28,'Fiyatlar'!$A:$I,9,FALSE),0)</f>
        <v/>
      </c>
      <c r="G28" s="5">
        <f>E28*F28</f>
        <v/>
      </c>
    </row>
    <row r="29" ht="14" customHeight="1">
      <c r="A29" s="25" t="n"/>
      <c r="B29" s="22" t="inlineStr">
        <is>
          <t>30.110.1102</t>
        </is>
      </c>
      <c r="C29" s="18" t="inlineStr">
        <is>
          <t>Termik-manyetik kompakt şalter 3x100 A, Icu 35 kA — kümes besleme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30.115.1003</t>
        </is>
      </c>
      <c r="C30" s="18" t="inlineStr">
        <is>
          <t>Kaçak akım koruma şalteri 2x63 A, 30 mA</t>
        </is>
      </c>
      <c r="D30" s="3" t="inlineStr">
        <is>
          <t>ad</t>
        </is>
      </c>
      <c r="E30" s="23" t="n">
        <v>2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30.140.3104</t>
        </is>
      </c>
      <c r="C31" s="18" t="inlineStr">
        <is>
          <t>YVV (NYY) 1 kV yeraltı kablosu ile kolon hattı tesisi — 1x25 mm²</t>
        </is>
      </c>
      <c r="D31" s="3" t="inlineStr">
        <is>
          <t>m</t>
        </is>
      </c>
      <c r="E31" s="23" t="n">
        <v>300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30.170.1602</t>
        </is>
      </c>
      <c r="C32" s="18" t="inlineStr">
        <is>
          <t>LED sıva üstü etanj armatür (polikarbon gövdeli), ışık akısı en az 2700 lm — kümes genel aydınlatması</t>
        </is>
      </c>
      <c r="D32" s="3" t="inlineStr">
        <is>
          <t>ad</t>
        </is>
      </c>
      <c r="E32" s="23" t="n">
        <v>30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30.170.1601</t>
        </is>
      </c>
      <c r="C33" s="18" t="inlineStr">
        <is>
          <t>LED sıva üstü etanj armatür (polikarbon gövdeli), ışık akısı en az 1800 lm — servis bölümü</t>
        </is>
      </c>
      <c r="D33" s="3" t="inlineStr">
        <is>
          <t>ad</t>
        </is>
      </c>
      <c r="E33" s="23" t="n">
        <v>2</v>
      </c>
      <c r="F33" s="24">
        <f>IFERROR(VLOOKUP($B33,'Fiyatlar'!$A:$I,9,FALSE),0)</f>
        <v/>
      </c>
      <c r="G33" s="5">
        <f>E33*F33</f>
        <v/>
      </c>
    </row>
    <row r="34" ht="14" customHeight="1">
      <c r="A34" s="25" t="n"/>
      <c r="B34" s="22" t="inlineStr">
        <is>
          <t>30.160.6102</t>
        </is>
      </c>
      <c r="C34" s="18" t="inlineStr">
        <is>
          <t>Boş boru döşemesi — 25-32 mm PVC boru</t>
        </is>
      </c>
      <c r="D34" s="3" t="inlineStr">
        <is>
          <t>m</t>
        </is>
      </c>
      <c r="E34" s="23" t="n">
        <v>500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30.150.1402</t>
        </is>
      </c>
      <c r="C35" s="18" t="inlineStr">
        <is>
          <t>Halojensiz H07Z tipi iletken 1x2,5 mm² ile tesisat</t>
        </is>
      </c>
      <c r="D35" s="3" t="inlineStr">
        <is>
          <t>m</t>
        </is>
      </c>
      <c r="E35" s="23" t="n">
        <v>2000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30.150.1401</t>
        </is>
      </c>
      <c r="C36" s="18" t="inlineStr">
        <is>
          <t>Halojensiz H07Z tipi iletken 1x1,5 mm² ile kumanda tesisatı</t>
        </is>
      </c>
      <c r="D36" s="3" t="inlineStr">
        <is>
          <t>m</t>
        </is>
      </c>
      <c r="E36" s="23" t="n">
        <v>600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30.140.1105</t>
        </is>
      </c>
      <c r="C37" s="18" t="inlineStr">
        <is>
          <t>Çıplak bakır tel 25 mm² — eşpotansiyel bara ve topraklama iletkeni</t>
        </is>
      </c>
      <c r="D37" s="3" t="inlineStr">
        <is>
          <t>m</t>
        </is>
      </c>
      <c r="E37" s="23" t="n">
        <v>100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30.750.3002</t>
        </is>
      </c>
      <c r="C38" s="18" t="inlineStr">
        <is>
          <t>Bina ihata iletkeni tesisatı — 30x3,5 mm galvanizli çelik lama (temel topraklaması)</t>
        </is>
      </c>
      <c r="D38" s="3" t="inlineStr">
        <is>
          <t>m</t>
        </is>
      </c>
      <c r="E38" s="23" t="n">
        <v>186</v>
      </c>
      <c r="F38" s="24">
        <f>IFERROR(VLOOKUP($B38,'Fiyatlar'!$A:$I,9,FALSE),0)</f>
        <v/>
      </c>
      <c r="G38" s="5">
        <f>E38*F38</f>
        <v/>
      </c>
    </row>
    <row r="39" ht="14" customHeight="1">
      <c r="A39" s="25" t="n"/>
      <c r="B39" s="22" t="inlineStr">
        <is>
          <t>30.750.1502</t>
        </is>
      </c>
      <c r="C39" s="18" t="inlineStr">
        <is>
          <t>Aktif yakalama ucu, ortalama uyarım yolu DL = 30-40 m</t>
        </is>
      </c>
      <c r="D39" s="3" t="inlineStr">
        <is>
          <t>ad</t>
        </is>
      </c>
      <c r="E39" s="23" t="n">
        <v>1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30.750.2001</t>
        </is>
      </c>
      <c r="C40" s="18" t="inlineStr">
        <is>
          <t>Çatı ihata ve indirme iletkeni tesisatı — 50 mm² elektrolitik bakır tel</t>
        </is>
      </c>
      <c r="D40" s="3" t="inlineStr">
        <is>
          <t>m</t>
        </is>
      </c>
      <c r="E40" s="23" t="n">
        <v>16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30.740.1106</t>
        </is>
      </c>
      <c r="C41" s="18" t="inlineStr">
        <is>
          <t>Dizel elektrojen grubu (jeneratör) 63 kVA / 50 kW — dizel motoru su veya hava ile soğuyan cinsten, 1500 d/dak</t>
        </is>
      </c>
      <c r="D41" s="3" t="inlineStr">
        <is>
          <t>ad</t>
        </is>
      </c>
      <c r="E41" s="23" t="n">
        <v>1</v>
      </c>
      <c r="F41" s="24">
        <f>IFERROR(VLOOKUP($B41,'Fiyatlar'!$A:$I,9,FALSE),0)</f>
        <v/>
      </c>
      <c r="G41" s="5">
        <f>E41*F41</f>
        <v/>
      </c>
    </row>
    <row r="42" ht="14" customHeight="1">
      <c r="A42" s="26" t="n"/>
      <c r="B42" s="22" t="inlineStr">
        <is>
          <t>30.740.5406</t>
        </is>
      </c>
      <c r="C42" s="18" t="inlineStr">
        <is>
          <t>Jeneratör ses izolasyon kabini — 63 kVA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>
      <c r="A43" s="11" t="n"/>
      <c r="B43" s="11" t="n"/>
      <c r="C43" s="27" t="inlineStr">
        <is>
          <t>TOPLAM (KDV hariç)</t>
        </is>
      </c>
      <c r="D43" s="11" t="n"/>
      <c r="E43" s="11" t="n"/>
      <c r="F43" s="11" t="n"/>
      <c r="G43" s="13">
        <f>SUM(G6:G42)</f>
        <v/>
      </c>
    </row>
  </sheetData>
  <mergeCells count="9">
    <mergeCell ref="A1:G1"/>
    <mergeCell ref="A24:A25"/>
    <mergeCell ref="A22:A23"/>
    <mergeCell ref="A13:A14"/>
    <mergeCell ref="A10:A12"/>
    <mergeCell ref="A19:A21"/>
    <mergeCell ref="A28:A42"/>
    <mergeCell ref="A15:A17"/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2026-08-28T19:07:03Z</dcterms:created>
  <dcterms:modified xmlns:dcterms="http://purl.org/dc/terms/" xmlns:xsi="http://www.w3.org/2001/XMLSchema-instance" xsi:type="dcterms:W3CDTF">2026-08-28T19:07:03Z</dcterms:modified>
</cp:coreProperties>
</file>