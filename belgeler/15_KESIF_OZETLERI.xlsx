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5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0" fillId="2" borderId="3" pivotButton="0" quotePrefix="0" xfId="0"/>
    <xf numFmtId="0" fontId="0" fillId="2" borderId="4" pivotButton="0" quotePrefix="0" xfId="0"/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KEŞİF ÖZETİ İCMALİ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Blok'!$G$44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Blok'!$G$44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KEŞİF ÖZETİ BİRİM FİYATLARI</t>
        </is>
      </c>
    </row>
    <row r="2">
      <c r="A2" s="14" t="inlineStr">
        <is>
          <t>Sarı hücreler değiştirilebilir. Fiyatlar keşif özetinin birimine göredir (dönüşümlü pozlarda ör. TL/kg, TL/m²) ve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KEŞİF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33" customHeight="1">
      <c r="A7" s="17" t="inlineStr">
        <is>
          <t>15.150.1003</t>
        </is>
      </c>
      <c r="B7" s="18" t="inlineStr">
        <is>
          <t>Beton santralinde üretilen veya satın alınan ve beton pompasıyla basılan, C 16/20 basınç dayanım sınıfında, gri renkte, normal hazır beton dökülmesi (beton nakli dahil)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33" customHeight="1">
      <c r="A8" s="17" t="inlineStr">
        <is>
          <t>15.150.1005</t>
        </is>
      </c>
      <c r="B8" s="18" t="inlineStr">
        <is>
          <t>Beton santralinde üretilen veya satın alınan ve beton pompasıyla basılan, C 25/30 basınç dayanım sınıfında, gri renkte, normal hazır beton dökülmesi (beton nakli dahil)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22" customHeight="1">
      <c r="A10" s="17" t="inlineStr">
        <is>
          <t>15.160.1003</t>
        </is>
      </c>
      <c r="B10" s="18" t="inlineStr">
        <is>
          <t>Ø 8 - Ø 12 mm nervürlü beton çelik çubuğu, çubukların kesilmesi, bükülmesi ve yerine konulması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22" customHeight="1">
      <c r="A11" s="17" t="inlineStr">
        <is>
          <t>15.160.1004</t>
        </is>
      </c>
      <c r="B11" s="18" t="inlineStr">
        <is>
          <t>Ø 14 - Ø 28 mm nervürlü beton çelik çubuğu, çubukların kesilmesi, bükülmesi ve yerine konulması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çelik saclarla karkas (çerçeve) inşaat yapılması, yerine tespiti (boya bedeli hariç)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yapılması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duvar yapılması (gazbeton tutkalı ile)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14" customHeight="1">
      <c r="A17" s="17" t="inlineStr">
        <is>
          <t>15.275.1116</t>
        </is>
      </c>
      <c r="B17" s="18" t="inlineStr">
        <is>
          <t>250 kg çimento dozlu harç ile kaba sıva yapılması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15.315.1001</t>
        </is>
      </c>
      <c r="B19" s="18" t="inlineStr">
        <is>
          <t>Ø 70 mm çapında bir ucu muflu sert PVC yağmur borusu temini ve yerine tesbiti</t>
        </is>
      </c>
      <c r="C19" s="3" t="inlineStr">
        <is>
          <t>m</t>
        </is>
      </c>
      <c r="D19" s="5" t="n">
        <v>207.41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174.22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22" customHeight="1">
      <c r="A24" s="17" t="inlineStr">
        <is>
          <t>30.100.2105</t>
        </is>
      </c>
      <c r="B24" s="18" t="inlineStr">
        <is>
          <t>Kümes dağıtım panosu (sıva üstü galvanizli sac tablo, 0,40-0,50 m²) (%25 müteahhit kârı dahil)</t>
        </is>
      </c>
      <c r="C24" s="3" t="inlineStr">
        <is>
          <t>ad</t>
        </is>
      </c>
      <c r="D24" s="5" t="n">
        <v>8433.52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7084.16</v>
      </c>
    </row>
    <row r="25" ht="22" customHeight="1">
      <c r="A25" s="17" t="inlineStr">
        <is>
          <t>30.110.1102</t>
        </is>
      </c>
      <c r="B25" s="18" t="inlineStr">
        <is>
          <t>Termik-manyetik kompakt şalter 3x100 A, Icu 35 kA — kümes besleme (%25 müteahhit kârı dahil)</t>
        </is>
      </c>
      <c r="C25" s="3" t="inlineStr">
        <is>
          <t>ad</t>
        </is>
      </c>
      <c r="D25" s="5" t="n">
        <v>4200.06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3528.05</v>
      </c>
    </row>
    <row r="26" ht="22" customHeight="1">
      <c r="A26" s="17" t="inlineStr">
        <is>
          <t>30.115.1003</t>
        </is>
      </c>
      <c r="B26" s="18" t="inlineStr">
        <is>
          <t>Kaçak akım koruma şalteri 2x63 A, 30 mA (%25 müteahhit kârı dahil)</t>
        </is>
      </c>
      <c r="C26" s="3" t="inlineStr">
        <is>
          <t>ad</t>
        </is>
      </c>
      <c r="D26" s="5" t="n">
        <v>1284.76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1079.2</v>
      </c>
    </row>
    <row r="27" ht="22" customHeight="1">
      <c r="A27" s="17" t="inlineStr">
        <is>
          <t>30.140.1105</t>
        </is>
      </c>
      <c r="B27" s="18" t="inlineStr">
        <is>
          <t>Çıplak bakır tel 25 mm² — eşpotansiyel bara ve topraklama iletkeni (%25 müteahhit kârı dahil)</t>
        </is>
      </c>
      <c r="C27" s="3" t="inlineStr">
        <is>
          <t>m</t>
        </is>
      </c>
      <c r="D27" s="5" t="n">
        <v>186.96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157.05</v>
      </c>
    </row>
    <row r="28" ht="22" customHeight="1">
      <c r="A28" s="17" t="inlineStr">
        <is>
          <t>30.140.3104</t>
        </is>
      </c>
      <c r="B28" s="18" t="inlineStr">
        <is>
          <t>YVV (NYY) 1 kV yeraltı kablosu ile kolon hattı tesisi — 1x25 mm² (%25 müteahhit kârı dahil)</t>
        </is>
      </c>
      <c r="C28" s="3" t="inlineStr">
        <is>
          <t>m</t>
        </is>
      </c>
      <c r="D28" s="5" t="n">
        <v>238.1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200</v>
      </c>
    </row>
    <row r="29" ht="22" customHeight="1">
      <c r="A29" s="17" t="inlineStr">
        <is>
          <t>30.150.1401</t>
        </is>
      </c>
      <c r="B29" s="18" t="inlineStr">
        <is>
          <t>Halojensiz H07Z tipi iletken 1x1,5 mm² ile kumanda tesisatı (%25 müteahhit kârı dahil)</t>
        </is>
      </c>
      <c r="C29" s="3" t="inlineStr">
        <is>
          <t>m</t>
        </is>
      </c>
      <c r="D29" s="5" t="n">
        <v>14.55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12.22</v>
      </c>
    </row>
    <row r="30" ht="22" customHeight="1">
      <c r="A30" s="17" t="inlineStr">
        <is>
          <t>30.150.1402</t>
        </is>
      </c>
      <c r="B30" s="18" t="inlineStr">
        <is>
          <t>Halojensiz H07Z tipi iletken 1x2,5 mm² ile tesisat (%25 müteahhit kârı dahil)</t>
        </is>
      </c>
      <c r="C30" s="3" t="inlineStr">
        <is>
          <t>m</t>
        </is>
      </c>
      <c r="D30" s="5" t="n">
        <v>23.21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19.5</v>
      </c>
    </row>
    <row r="31" ht="22" customHeight="1">
      <c r="A31" s="17" t="inlineStr">
        <is>
          <t>30.160.6102</t>
        </is>
      </c>
      <c r="B31" s="18" t="inlineStr">
        <is>
          <t>Boş boru döşemesi — 25-32 mm PVC boru (%25 müteahhit kârı dahil)</t>
        </is>
      </c>
      <c r="C31" s="3" t="inlineStr">
        <is>
          <t>m</t>
        </is>
      </c>
      <c r="D31" s="5" t="n">
        <v>34.59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29.06</v>
      </c>
    </row>
    <row r="32" ht="22" customHeight="1">
      <c r="A32" s="17" t="inlineStr">
        <is>
          <t>30.170.1601</t>
        </is>
      </c>
      <c r="B32" s="18" t="inlineStr">
        <is>
          <t>LED sıva üstü etanj armatür (polikarbon gövdeli), ışık akısı en az 1800 lm — servis bölümü (%25 müteahhit kârı dahil)</t>
        </is>
      </c>
      <c r="C32" s="3" t="inlineStr">
        <is>
          <t>ad</t>
        </is>
      </c>
      <c r="D32" s="5" t="n">
        <v>1632.1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1370.96</v>
      </c>
    </row>
    <row r="33" ht="33" customHeight="1">
      <c r="A33" s="17" t="inlineStr">
        <is>
          <t>30.170.1602</t>
        </is>
      </c>
      <c r="B33" s="18" t="inlineStr">
        <is>
          <t>LED sıva üstü etanj armatür (polikarbon gövdeli), ışık akısı en az 2700 lm — kümes genel aydınlatması (%25 müteahhit kârı dahil)</t>
        </is>
      </c>
      <c r="C33" s="3" t="inlineStr">
        <is>
          <t>ad</t>
        </is>
      </c>
      <c r="D33" s="5" t="n">
        <v>2376.28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1996.08</v>
      </c>
    </row>
    <row r="34" ht="33" customHeight="1">
      <c r="A34" s="17" t="inlineStr">
        <is>
          <t>30.740.1106</t>
        </is>
      </c>
      <c r="B34" s="18" t="inlineStr">
        <is>
          <t>Dizel elektrojen grubu (jeneratör) 63 kVA / 50 kW — dizel motoru su veya hava ile soğuyan cinsten, 1500 d/dak (%25 müteahhit kârı dahil)</t>
        </is>
      </c>
      <c r="C34" s="3" t="inlineStr">
        <is>
          <t>ad</t>
        </is>
      </c>
      <c r="D34" s="5" t="n">
        <v>556368.2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467349.29</v>
      </c>
    </row>
    <row r="35" ht="22" customHeight="1">
      <c r="A35" s="17" t="inlineStr">
        <is>
          <t>30.740.5406</t>
        </is>
      </c>
      <c r="B35" s="18" t="inlineStr">
        <is>
          <t>Jeneratör ses izolasyon kabini — 63 kVA (%25 müteahhit kârı dahil)</t>
        </is>
      </c>
      <c r="C35" s="3" t="inlineStr">
        <is>
          <t>ad</t>
        </is>
      </c>
      <c r="D35" s="5" t="n">
        <v>94825.64999999999</v>
      </c>
      <c r="E35" s="19" t="inlineStr">
        <is>
          <t>ÇŞB 2026 Haziran elektrik rayici x 1,25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79653.55</v>
      </c>
    </row>
    <row r="36" ht="22" customHeight="1">
      <c r="A36" s="17" t="inlineStr">
        <is>
          <t>30.750.1502</t>
        </is>
      </c>
      <c r="B36" s="18" t="inlineStr">
        <is>
          <t>Aktif yakalama ucu, ortalama uyarım yolu DL = 30-40 m (%25 müteahhit kârı dahil)</t>
        </is>
      </c>
      <c r="C36" s="3" t="inlineStr">
        <is>
          <t>ad</t>
        </is>
      </c>
      <c r="D36" s="5" t="n">
        <v>18566.2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15595.61</v>
      </c>
    </row>
    <row r="37" ht="22" customHeight="1">
      <c r="A37" s="17" t="inlineStr">
        <is>
          <t>30.750.2001</t>
        </is>
      </c>
      <c r="B37" s="18" t="inlineStr">
        <is>
          <t>Çatı ihata ve indirme iletkeni tesisatı — 50 mm² elektrolitik bakır tel (%25 müteahhit kârı dahil)</t>
        </is>
      </c>
      <c r="C37" s="3" t="inlineStr">
        <is>
          <t>m</t>
        </is>
      </c>
      <c r="D37" s="5" t="n">
        <v>508</v>
      </c>
      <c r="E37" s="19" t="inlineStr">
        <is>
          <t>ÇŞB 2026 Haziran elektrik rayici x 1,25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426.72</v>
      </c>
    </row>
    <row r="38" ht="22" customHeight="1">
      <c r="A38" s="17" t="inlineStr">
        <is>
          <t>30.750.3002</t>
        </is>
      </c>
      <c r="B38" s="18" t="inlineStr">
        <is>
          <t>Bina ihata iletkeni tesisatı — 30x3,5 mm galvanizli çelik lama (temel topraklaması) (%25 müteahhit kârı dahil)</t>
        </is>
      </c>
      <c r="C38" s="3" t="inlineStr">
        <is>
          <t>m</t>
        </is>
      </c>
      <c r="D38" s="5" t="n">
        <v>138.05</v>
      </c>
      <c r="E38" s="19" t="inlineStr">
        <is>
          <t>ÇŞB 2026 Haziran elektrik rayici x 1,25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115.96</v>
      </c>
    </row>
    <row r="39" ht="22" customHeight="1">
      <c r="A39" s="17" t="inlineStr">
        <is>
          <t>43.527.1001</t>
        </is>
      </c>
      <c r="B39" s="18" t="inlineStr">
        <is>
          <t>Çapı 150 mm HDPE koruge boru döşenmesi (SN 8, lastik conta ve boru bedeli dahil)</t>
        </is>
      </c>
      <c r="C39" s="3" t="inlineStr">
        <is>
          <t>m</t>
        </is>
      </c>
      <c r="D39" s="5" t="n">
        <v>393.69</v>
      </c>
      <c r="E39" s="19" t="inlineStr">
        <is>
          <t>TKDK 17.02.2026 Özel Poz Tablosu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330.7</v>
      </c>
    </row>
    <row r="40" ht="14" customHeight="1">
      <c r="A40" s="17" t="inlineStr">
        <is>
          <t>TKDK-0115</t>
        </is>
      </c>
      <c r="B40" s="18" t="inlineStr">
        <is>
          <t>Galvanizli düz sacdan yağmur oluğu veya iniş borusu yapılması</t>
        </is>
      </c>
      <c r="C40" s="3" t="inlineStr">
        <is>
          <t>kg</t>
        </is>
      </c>
      <c r="D40" s="5" t="n">
        <v>271.25</v>
      </c>
      <c r="E40" s="19" t="inlineStr">
        <is>
          <t>TKDK 17.02.2026 Özel Poz Tablosu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227.85</v>
      </c>
    </row>
    <row r="41" ht="33" customHeight="1">
      <c r="A41" s="17" t="inlineStr">
        <is>
          <t>TKDK-0151</t>
        </is>
      </c>
      <c r="B41" s="18" t="inlineStr">
        <is>
          <t>5 cm poliüretan dolgulu (üst 0,50 mm düz, alt 0,40 mm düz) fabrikasyon rulo boyama sistemi ile boyanmış galvaniz levhalar ile ısı yalıtımlı kapı yapılması</t>
        </is>
      </c>
      <c r="C41" s="3" t="inlineStr">
        <is>
          <t>m²</t>
        </is>
      </c>
      <c r="D41" s="5" t="n">
        <v>1035.88</v>
      </c>
      <c r="E41" s="19" t="inlineStr">
        <is>
          <t>TKDK 17.02.2026 Özel Poz Tablosu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870.14</v>
      </c>
    </row>
    <row r="42" ht="33" customHeight="1">
      <c r="A42" s="17" t="inlineStr">
        <is>
          <t>TKDK-0175</t>
        </is>
      </c>
      <c r="B42" s="18" t="inlineStr">
        <is>
          <t>PVC kaplamalı, iki yüzü odun lifinden yapılmış levhalarla (MDF) presli, kraft dolgulu iç kapı kanadı yapılması, yerinde takılması</t>
        </is>
      </c>
      <c r="C42" s="3" t="inlineStr">
        <is>
          <t>m²</t>
        </is>
      </c>
      <c r="D42" s="5" t="n">
        <v>3199.68</v>
      </c>
      <c r="E42" s="19" t="inlineStr">
        <is>
          <t>TKDK 17.02.2026 Özel Poz Tablosu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2687.73</v>
      </c>
    </row>
    <row r="43" ht="44" customHeight="1">
      <c r="A43" s="17" t="inlineStr">
        <is>
          <t>TKDK-0177</t>
        </is>
      </c>
      <c r="B43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43" s="3" t="inlineStr">
        <is>
          <t>m²</t>
        </is>
      </c>
      <c r="D43" s="5" t="n">
        <v>835.1</v>
      </c>
      <c r="E43" s="19" t="inlineStr">
        <is>
          <t>TKDK 17.02.2026 Özel Poz Tablosu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A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1684.39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31.4285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4.1599</v>
      </c>
      <c r="F10" s="24">
        <f>IFERROR(VLOOKUP($B10,'Fiyatlar'!$A:$I,9,FALSE),0)</f>
        <v/>
      </c>
      <c r="G10" s="5">
        <f>E10*F10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7.2875</v>
      </c>
      <c r="F11" s="24">
        <f>IFERROR(VLOOKUP($B11,'Fiyatlar'!$A:$I,9,FALSE),0)</f>
        <v/>
      </c>
      <c r="G11" s="5">
        <f>E11*F11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3.6375</v>
      </c>
      <c r="F12" s="24">
        <f>IFERROR(VLOOKUP($B12,'Fiyatlar'!$A:$I,9,FALSE),0)</f>
        <v/>
      </c>
      <c r="G12" s="5">
        <f>E12*F12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44.0481</v>
      </c>
      <c r="F13" s="24">
        <f>IFERROR(VLOOKUP($B13,'Fiyatlar'!$A:$I,9,FALSE),0)</f>
        <v/>
      </c>
      <c r="G13" s="5">
        <f>E13*F13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E14*F14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E15*F15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E16*F16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E17*F17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319.2</v>
      </c>
      <c r="F18" s="24">
        <f>IFERROR(VLOOKUP($B18,'Fiyatlar'!$A:$I,9,FALSE),0)</f>
        <v/>
      </c>
      <c r="G18" s="5">
        <f>E18*F18</f>
        <v/>
      </c>
    </row>
    <row r="19" ht="22" customHeight="1">
      <c r="A19" s="26" t="n"/>
      <c r="B19" s="22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3" t="n">
        <v>51.2</v>
      </c>
      <c r="F19" s="24">
        <f>IFERROR(VLOOKUP($B19,'Fiyatlar'!$A:$I,9,FALSE),0)</f>
        <v/>
      </c>
      <c r="G19" s="5">
        <f>E19*F19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E20*F20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E21*F21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E22*F22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E23*F23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E24*F24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E25*F25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E26*F26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E27*F27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E28*F28</f>
        <v/>
      </c>
    </row>
    <row r="29" ht="22" customHeight="1">
      <c r="A29" s="21" t="inlineStr">
        <is>
          <t>Elektrik tesisatı ve aydınlatma</t>
        </is>
      </c>
      <c r="B29" s="22" t="inlineStr">
        <is>
          <t>30.100.2105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E29*F29</f>
        <v/>
      </c>
    </row>
    <row r="30" ht="22" customHeight="1">
      <c r="A30" s="25" t="n"/>
      <c r="B30" s="22" t="inlineStr">
        <is>
          <t>30.110.1102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E30*F30</f>
        <v/>
      </c>
    </row>
    <row r="31" ht="14" customHeight="1">
      <c r="A31" s="25" t="n"/>
      <c r="B31" s="22" t="inlineStr">
        <is>
          <t>30.115.1003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E31*F31</f>
        <v/>
      </c>
    </row>
    <row r="32" ht="22" customHeight="1">
      <c r="A32" s="25" t="n"/>
      <c r="B32" s="22" t="inlineStr">
        <is>
          <t>30.140.3104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E32*F32</f>
        <v/>
      </c>
    </row>
    <row r="33" ht="22" customHeight="1">
      <c r="A33" s="25" t="n"/>
      <c r="B33" s="22" t="inlineStr">
        <is>
          <t>30.170.1602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E33*F33</f>
        <v/>
      </c>
    </row>
    <row r="34" ht="22" customHeight="1">
      <c r="A34" s="25" t="n"/>
      <c r="B34" s="22" t="inlineStr">
        <is>
          <t>30.170.1601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E34*F34</f>
        <v/>
      </c>
    </row>
    <row r="35" ht="14" customHeight="1">
      <c r="A35" s="25" t="n"/>
      <c r="B35" s="22" t="inlineStr">
        <is>
          <t>30.160.6102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E35*F35</f>
        <v/>
      </c>
    </row>
    <row r="36" ht="22" customHeight="1">
      <c r="A36" s="25" t="n"/>
      <c r="B36" s="22" t="inlineStr">
        <is>
          <t>30.150.1402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E36*F36</f>
        <v/>
      </c>
    </row>
    <row r="37" ht="22" customHeight="1">
      <c r="A37" s="25" t="n"/>
      <c r="B37" s="22" t="inlineStr">
        <is>
          <t>30.150.1401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E37*F37</f>
        <v/>
      </c>
    </row>
    <row r="38" ht="22" customHeight="1">
      <c r="A38" s="25" t="n"/>
      <c r="B38" s="22" t="inlineStr">
        <is>
          <t>30.140.1105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E38*F38</f>
        <v/>
      </c>
    </row>
    <row r="39" ht="22" customHeight="1">
      <c r="A39" s="25" t="n"/>
      <c r="B39" s="22" t="inlineStr">
        <is>
          <t>30.750.3002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E39*F39</f>
        <v/>
      </c>
    </row>
    <row r="40" ht="22" customHeight="1">
      <c r="A40" s="25" t="n"/>
      <c r="B40" s="22" t="inlineStr">
        <is>
          <t>30.750.1502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E40*F40</f>
        <v/>
      </c>
    </row>
    <row r="41" ht="22" customHeight="1">
      <c r="A41" s="25" t="n"/>
      <c r="B41" s="22" t="inlineStr">
        <is>
          <t>30.750.2001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E41*F41</f>
        <v/>
      </c>
    </row>
    <row r="42" ht="22" customHeight="1">
      <c r="A42" s="25" t="n"/>
      <c r="B42" s="22" t="inlineStr">
        <is>
          <t>30.740.1106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E42*F42</f>
        <v/>
      </c>
    </row>
    <row r="43" ht="14" customHeight="1">
      <c r="A43" s="26" t="n"/>
      <c r="B43" s="22" t="inlineStr">
        <is>
          <t>30.740.5406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E43*F43</f>
        <v/>
      </c>
    </row>
    <row r="44">
      <c r="A44" s="11" t="n"/>
      <c r="B44" s="11" t="n"/>
      <c r="C44" s="27" t="inlineStr">
        <is>
          <t>TOPLAM (KDV hariç)</t>
        </is>
      </c>
      <c r="D44" s="11" t="n"/>
      <c r="E44" s="11" t="n"/>
      <c r="F44" s="11" t="n"/>
      <c r="G44" s="13">
        <f>SUM(G6:G43)</f>
        <v/>
      </c>
    </row>
  </sheetData>
  <mergeCells count="10">
    <mergeCell ref="A1:G1"/>
    <mergeCell ref="A29:A43"/>
    <mergeCell ref="A13:A14"/>
    <mergeCell ref="A25:A26"/>
    <mergeCell ref="A10:A12"/>
    <mergeCell ref="A20:A22"/>
    <mergeCell ref="A15:A17"/>
    <mergeCell ref="A2:G2"/>
    <mergeCell ref="A23:A24"/>
    <mergeCell ref="A18:A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B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31.4285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4.1599</v>
      </c>
      <c r="F10" s="24">
        <f>IFERROR(VLOOKUP($B10,'Fiyatlar'!$A:$I,9,FALSE),0)</f>
        <v/>
      </c>
      <c r="G10" s="5">
        <f>E10*F10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7.2875</v>
      </c>
      <c r="F11" s="24">
        <f>IFERROR(VLOOKUP($B11,'Fiyatlar'!$A:$I,9,FALSE),0)</f>
        <v/>
      </c>
      <c r="G11" s="5">
        <f>E11*F11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3.6375</v>
      </c>
      <c r="F12" s="24">
        <f>IFERROR(VLOOKUP($B12,'Fiyatlar'!$A:$I,9,FALSE),0)</f>
        <v/>
      </c>
      <c r="G12" s="5">
        <f>E12*F12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44.0481</v>
      </c>
      <c r="F13" s="24">
        <f>IFERROR(VLOOKUP($B13,'Fiyatlar'!$A:$I,9,FALSE),0)</f>
        <v/>
      </c>
      <c r="G13" s="5">
        <f>E13*F13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E14*F14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E15*F15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E16*F16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E17*F17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319.2</v>
      </c>
      <c r="F18" s="24">
        <f>IFERROR(VLOOKUP($B18,'Fiyatlar'!$A:$I,9,FALSE),0)</f>
        <v/>
      </c>
      <c r="G18" s="5">
        <f>E18*F18</f>
        <v/>
      </c>
    </row>
    <row r="19" ht="22" customHeight="1">
      <c r="A19" s="26" t="n"/>
      <c r="B19" s="22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3" t="n">
        <v>51.2</v>
      </c>
      <c r="F19" s="24">
        <f>IFERROR(VLOOKUP($B19,'Fiyatlar'!$A:$I,9,FALSE),0)</f>
        <v/>
      </c>
      <c r="G19" s="5">
        <f>E19*F19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E20*F20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E21*F21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E22*F22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E23*F23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E24*F24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E25*F25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E26*F26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E27*F27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E28*F28</f>
        <v/>
      </c>
    </row>
    <row r="29" ht="22" customHeight="1">
      <c r="A29" s="21" t="inlineStr">
        <is>
          <t>Elektrik tesisatı ve aydınlatma</t>
        </is>
      </c>
      <c r="B29" s="22" t="inlineStr">
        <is>
          <t>30.100.2105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E29*F29</f>
        <v/>
      </c>
    </row>
    <row r="30" ht="22" customHeight="1">
      <c r="A30" s="25" t="n"/>
      <c r="B30" s="22" t="inlineStr">
        <is>
          <t>30.110.1102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E30*F30</f>
        <v/>
      </c>
    </row>
    <row r="31" ht="14" customHeight="1">
      <c r="A31" s="25" t="n"/>
      <c r="B31" s="22" t="inlineStr">
        <is>
          <t>30.115.1003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E31*F31</f>
        <v/>
      </c>
    </row>
    <row r="32" ht="22" customHeight="1">
      <c r="A32" s="25" t="n"/>
      <c r="B32" s="22" t="inlineStr">
        <is>
          <t>30.140.3104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E32*F32</f>
        <v/>
      </c>
    </row>
    <row r="33" ht="22" customHeight="1">
      <c r="A33" s="25" t="n"/>
      <c r="B33" s="22" t="inlineStr">
        <is>
          <t>30.170.1602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E33*F33</f>
        <v/>
      </c>
    </row>
    <row r="34" ht="22" customHeight="1">
      <c r="A34" s="25" t="n"/>
      <c r="B34" s="22" t="inlineStr">
        <is>
          <t>30.170.1601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E34*F34</f>
        <v/>
      </c>
    </row>
    <row r="35" ht="14" customHeight="1">
      <c r="A35" s="25" t="n"/>
      <c r="B35" s="22" t="inlineStr">
        <is>
          <t>30.160.6102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E35*F35</f>
        <v/>
      </c>
    </row>
    <row r="36" ht="22" customHeight="1">
      <c r="A36" s="25" t="n"/>
      <c r="B36" s="22" t="inlineStr">
        <is>
          <t>30.150.1402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E36*F36</f>
        <v/>
      </c>
    </row>
    <row r="37" ht="22" customHeight="1">
      <c r="A37" s="25" t="n"/>
      <c r="B37" s="22" t="inlineStr">
        <is>
          <t>30.150.1401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E37*F37</f>
        <v/>
      </c>
    </row>
    <row r="38" ht="22" customHeight="1">
      <c r="A38" s="25" t="n"/>
      <c r="B38" s="22" t="inlineStr">
        <is>
          <t>30.140.1105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E38*F38</f>
        <v/>
      </c>
    </row>
    <row r="39" ht="22" customHeight="1">
      <c r="A39" s="25" t="n"/>
      <c r="B39" s="22" t="inlineStr">
        <is>
          <t>30.750.3002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E39*F39</f>
        <v/>
      </c>
    </row>
    <row r="40" ht="22" customHeight="1">
      <c r="A40" s="25" t="n"/>
      <c r="B40" s="22" t="inlineStr">
        <is>
          <t>30.750.1502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E40*F40</f>
        <v/>
      </c>
    </row>
    <row r="41" ht="22" customHeight="1">
      <c r="A41" s="25" t="n"/>
      <c r="B41" s="22" t="inlineStr">
        <is>
          <t>30.750.2001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E41*F41</f>
        <v/>
      </c>
    </row>
    <row r="42" ht="22" customHeight="1">
      <c r="A42" s="25" t="n"/>
      <c r="B42" s="22" t="inlineStr">
        <is>
          <t>30.740.1106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E42*F42</f>
        <v/>
      </c>
    </row>
    <row r="43" ht="14" customHeight="1">
      <c r="A43" s="26" t="n"/>
      <c r="B43" s="22" t="inlineStr">
        <is>
          <t>30.740.5406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E43*F43</f>
        <v/>
      </c>
    </row>
    <row r="44">
      <c r="A44" s="11" t="n"/>
      <c r="B44" s="11" t="n"/>
      <c r="C44" s="27" t="inlineStr">
        <is>
          <t>TOPLAM (KDV hariç)</t>
        </is>
      </c>
      <c r="D44" s="11" t="n"/>
      <c r="E44" s="11" t="n"/>
      <c r="F44" s="11" t="n"/>
      <c r="G44" s="13">
        <f>SUM(G6:G43)</f>
        <v/>
      </c>
    </row>
  </sheetData>
  <mergeCells count="10">
    <mergeCell ref="A1:G1"/>
    <mergeCell ref="A29:A43"/>
    <mergeCell ref="A13:A14"/>
    <mergeCell ref="A25:A26"/>
    <mergeCell ref="A10:A12"/>
    <mergeCell ref="A20:A22"/>
    <mergeCell ref="A15:A17"/>
    <mergeCell ref="A2:G2"/>
    <mergeCell ref="A23:A24"/>
    <mergeCell ref="A18:A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2026-08-29T08:28:01Z</dcterms:created>
  <dcterms:modified xmlns:dcterms="http://purl.org/dc/terms/" xmlns:xsi="http://www.w3.org/2001/XMLSchema-instance" xsi:type="dcterms:W3CDTF">2026-08-29T08:28:01Z</dcterms:modified>
</cp:coreProperties>
</file>