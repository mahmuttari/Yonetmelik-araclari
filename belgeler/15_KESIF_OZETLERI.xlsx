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5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0" fillId="2" borderId="3" pivotButton="0" quotePrefix="0" xfId="0"/>
    <xf numFmtId="0" fontId="0" fillId="2" borderId="4" pivotButton="0" quotePrefix="0" xfId="0"/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KEŞİF ÖZETİ İCMALİ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Blok'!$G$49</f>
        <v/>
      </c>
      <c r="D4" s="6">
        <f>C4/$C$6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Blok'!$G$49</f>
        <v/>
      </c>
      <c r="D5" s="6">
        <f>C5/$C$6</f>
        <v/>
      </c>
    </row>
    <row r="6">
      <c r="A6" s="7" t="n"/>
      <c r="B6" s="8" t="inlineStr">
        <is>
          <t>ARA TOPLAM (KDV hariç)</t>
        </is>
      </c>
      <c r="C6" s="9">
        <f>SUM(C4:C5)</f>
        <v/>
      </c>
      <c r="D6" s="7" t="n"/>
    </row>
    <row r="7">
      <c r="A7" s="4" t="n"/>
      <c r="B7" s="10" t="inlineStr">
        <is>
          <t>KDV</t>
        </is>
      </c>
      <c r="C7" s="5">
        <f>C6*'Fiyatlar'!$F$3</f>
        <v/>
      </c>
      <c r="D7" s="4" t="n"/>
    </row>
    <row r="8">
      <c r="A8" s="11" t="n"/>
      <c r="B8" s="12" t="inlineStr">
        <is>
          <t>GENEL TOPLAM (KDV dâhil)</t>
        </is>
      </c>
      <c r="C8" s="13">
        <f>C6+C7</f>
        <v/>
      </c>
      <c r="D8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4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KEŞİF ÖZETİ BİRİM FİYATLARI</t>
        </is>
      </c>
    </row>
    <row r="2">
      <c r="A2" s="14" t="inlineStr">
        <is>
          <t>Sarı hücreler değiştirilebilir. Fiyatlar keşif özetinin birimine göredir (dönüşümlü pozlarda ör. TL/kg, TL/m²) ve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KEŞİF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yumuşak ve sert toprak kazılması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33" customHeight="1">
      <c r="A7" s="17" t="inlineStr">
        <is>
          <t>15.150.1003</t>
        </is>
      </c>
      <c r="B7" s="18" t="inlineStr">
        <is>
          <t>Beton santralinde üretilen veya satın alınan ve beton pompasıyla basılan, C 16/20 basınç dayanım sınıfında, gri renkte, normal hazır beton dökülmesi (beton nakli dahil)</t>
        </is>
      </c>
      <c r="C7" s="3" t="inlineStr">
        <is>
          <t>m³</t>
        </is>
      </c>
      <c r="D7" s="5" t="n">
        <v>3274.35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2750.45</v>
      </c>
    </row>
    <row r="8" ht="33" customHeight="1">
      <c r="A8" s="17" t="inlineStr">
        <is>
          <t>15.150.1005</t>
        </is>
      </c>
      <c r="B8" s="18" t="inlineStr">
        <is>
          <t>Beton santralinde üretilen veya satın alınan ve beton pompasıyla basılan, C 25/30 basınç dayanım sınıfında, gri renkte, normal hazır beton dökülmesi (beton nakli dahil)</t>
        </is>
      </c>
      <c r="C8" s="3" t="inlineStr">
        <is>
          <t>m³</t>
        </is>
      </c>
      <c r="D8" s="5" t="n">
        <v>3524.35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2960.45</v>
      </c>
    </row>
    <row r="9" ht="14" customHeight="1">
      <c r="A9" s="17" t="inlineStr">
        <is>
          <t>15.160.1002</t>
        </is>
      </c>
      <c r="B9" s="18" t="inlineStr">
        <is>
          <t>Nervürlü çelik hasırın yerine konulması</t>
        </is>
      </c>
      <c r="C9" s="3" t="inlineStr">
        <is>
          <t>ton</t>
        </is>
      </c>
      <c r="D9" s="5" t="n">
        <v>43987.5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36949.5</v>
      </c>
    </row>
    <row r="10" ht="22" customHeight="1">
      <c r="A10" s="17" t="inlineStr">
        <is>
          <t>15.160.1003</t>
        </is>
      </c>
      <c r="B10" s="18" t="inlineStr">
        <is>
          <t>Ø 8 - Ø 12 mm nervürlü beton çelik çubuğu, çubukların kesilmesi, bükülmesi ve yerine konulması</t>
        </is>
      </c>
      <c r="C10" s="3" t="inlineStr">
        <is>
          <t>ton</t>
        </is>
      </c>
      <c r="D10" s="5" t="n">
        <v>46482.43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39045.24</v>
      </c>
    </row>
    <row r="11" ht="22" customHeight="1">
      <c r="A11" s="17" t="inlineStr">
        <is>
          <t>15.160.1004</t>
        </is>
      </c>
      <c r="B11" s="18" t="inlineStr">
        <is>
          <t>Ø 14 - Ø 28 mm nervürlü beton çelik çubuğu, çubukların kesilmesi, bükülmesi ve yerine konulması</t>
        </is>
      </c>
      <c r="C11" s="3" t="inlineStr">
        <is>
          <t>ton</t>
        </is>
      </c>
      <c r="D11" s="5" t="n">
        <v>44681.18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37532.19</v>
      </c>
    </row>
    <row r="12" ht="22" customHeight="1">
      <c r="A12" s="17" t="inlineStr">
        <is>
          <t>15.165.1003</t>
        </is>
      </c>
      <c r="B12" s="18" t="inlineStr">
        <is>
          <t>Her çeşit profil, çelik çubuk ve çelik saclarla karkas (çerçeve) inşaat yapılması, yerine tespiti (boya bedeli hariç)</t>
        </is>
      </c>
      <c r="C12" s="3" t="inlineStr">
        <is>
          <t>ton</t>
        </is>
      </c>
      <c r="D12" s="5" t="n">
        <v>85943.50999999999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72192.55</v>
      </c>
    </row>
    <row r="13" ht="14" customHeight="1">
      <c r="A13" s="17" t="inlineStr">
        <is>
          <t>15.180.1003</t>
        </is>
      </c>
      <c r="B13" s="18" t="inlineStr">
        <is>
          <t>Plywood ile düz yüzeyli betonarme kalıbı yapılması</t>
        </is>
      </c>
      <c r="C13" s="3" t="inlineStr">
        <is>
          <t>m²</t>
        </is>
      </c>
      <c r="D13" s="5" t="n">
        <v>1028.33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863.8</v>
      </c>
    </row>
    <row r="14" ht="22" customHeight="1">
      <c r="A14" s="17" t="inlineStr">
        <is>
          <t>15.225.1004</t>
        </is>
      </c>
      <c r="B14" s="18" t="inlineStr">
        <is>
          <t>10 cm kalınlığındaki teçhizatsız gazbeton duvar blokları ile duvar yapılması (gazbeton tutkalı ile)</t>
        </is>
      </c>
      <c r="C14" s="3" t="inlineStr">
        <is>
          <t>m²</t>
        </is>
      </c>
      <c r="D14" s="5" t="n">
        <v>723.73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607.9299999999999</v>
      </c>
    </row>
    <row r="15" ht="22" customHeight="1">
      <c r="A15" s="17" t="inlineStr">
        <is>
          <t>15.225.1010</t>
        </is>
      </c>
      <c r="B15" s="18" t="inlineStr">
        <is>
          <t>20 cm kalınlığındaki teçhizatsız gazbeton duvar blokları ile duvar yapılması (gazbeton tutkalı ile)</t>
        </is>
      </c>
      <c r="C15" s="3" t="inlineStr">
        <is>
          <t>m²</t>
        </is>
      </c>
      <c r="D15" s="5" t="n">
        <v>1106.28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929.28</v>
      </c>
    </row>
    <row r="16" ht="22" customHeight="1">
      <c r="A16" s="17" t="inlineStr">
        <is>
          <t>15.225.1410</t>
        </is>
      </c>
      <c r="B16" s="18" t="inlineStr">
        <is>
          <t>20 cm kalınlığındaki teçhizatlı gazbeton lento temini ve yerine konulması</t>
        </is>
      </c>
      <c r="C16" s="3" t="inlineStr">
        <is>
          <t>m²</t>
        </is>
      </c>
      <c r="D16" s="5" t="n">
        <v>2116.1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1777.52</v>
      </c>
    </row>
    <row r="17" ht="14" customHeight="1">
      <c r="A17" s="17" t="inlineStr">
        <is>
          <t>15.275.1116</t>
        </is>
      </c>
      <c r="B17" s="18" t="inlineStr">
        <is>
          <t>250 kg çimento dozlu harç ile kaba sıva yapılması</t>
        </is>
      </c>
      <c r="C17" s="3" t="inlineStr">
        <is>
          <t>m²</t>
        </is>
      </c>
      <c r="D17" s="5" t="n">
        <v>443.51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372.55</v>
      </c>
    </row>
    <row r="18" ht="22" customHeight="1">
      <c r="A18" s="17" t="inlineStr">
        <is>
          <t>15.275.1117</t>
        </is>
      </c>
      <c r="B18" s="18" t="inlineStr">
        <is>
          <t>200 kg çimento ve kireç karışımı harç ile kaba sıva yapılması (iç cephe)</t>
        </is>
      </c>
      <c r="C18" s="3" t="inlineStr">
        <is>
          <t>m²</t>
        </is>
      </c>
      <c r="D18" s="5" t="n">
        <v>454.16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381.49</v>
      </c>
    </row>
    <row r="19" ht="22" customHeight="1">
      <c r="A19" s="17" t="inlineStr">
        <is>
          <t>15.315.1001</t>
        </is>
      </c>
      <c r="B19" s="18" t="inlineStr">
        <is>
          <t>Ø 70 mm çapında bir ucu muflu sert PVC yağmur borusu temini ve yerine tesbiti</t>
        </is>
      </c>
      <c r="C19" s="3" t="inlineStr">
        <is>
          <t>m</t>
        </is>
      </c>
      <c r="D19" s="5" t="n">
        <v>207.41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174.22</v>
      </c>
    </row>
    <row r="20" ht="22" customHeight="1">
      <c r="A20" s="17" t="inlineStr">
        <is>
          <t>15.540.1537</t>
        </is>
      </c>
      <c r="B20" s="18" t="inlineStr">
        <is>
          <t>Yeni sıva yüzeylere astar uygulanarak iki kat su bazlı plastik antibakteriyel iç cephe boyası yapılması</t>
        </is>
      </c>
      <c r="C20" s="3" t="inlineStr">
        <is>
          <t>m²</t>
        </is>
      </c>
      <c r="D20" s="5" t="n">
        <v>296.13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248.75</v>
      </c>
    </row>
    <row r="21" ht="22" customHeight="1">
      <c r="A21" s="17" t="inlineStr">
        <is>
          <t>15.540.1606</t>
        </is>
      </c>
      <c r="B21" s="18" t="inlineStr">
        <is>
          <t>Brüt beton, sıvalı veya eski boyalı yüzeylere astar uygulanarak silikon esaslı su bazlı dış cephe boyası yapılması</t>
        </is>
      </c>
      <c r="C21" s="3" t="inlineStr">
        <is>
          <t>m²</t>
        </is>
      </c>
      <c r="D21" s="5" t="n">
        <v>386.03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324.27</v>
      </c>
    </row>
    <row r="22" ht="22" customHeight="1">
      <c r="A22" s="17" t="inlineStr">
        <is>
          <t>15.550.1002</t>
        </is>
      </c>
      <c r="B22" s="18" t="inlineStr">
        <is>
          <t>1,50 mm kalınlığında sıcak haddelenmiş sacdan bükme kapı kasası yapılması ve yerine konulması</t>
        </is>
      </c>
      <c r="C22" s="3" t="inlineStr">
        <is>
          <t>kg</t>
        </is>
      </c>
      <c r="D22" s="5" t="n">
        <v>218.54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183.57</v>
      </c>
    </row>
    <row r="23" ht="22" customHeight="1">
      <c r="A23" s="17" t="inlineStr">
        <is>
          <t>15.550.1202</t>
        </is>
      </c>
      <c r="B23" s="18" t="inlineStr">
        <is>
          <t>Lama ve profil demirlerden çeşitli demir işleri yapılması ve yerine konulması</t>
        </is>
      </c>
      <c r="C23" s="3" t="inlineStr">
        <is>
          <t>kg</t>
        </is>
      </c>
      <c r="D23" s="5" t="n">
        <v>175.8</v>
      </c>
      <c r="E23" s="19" t="inlineStr">
        <is>
          <t>ÇŞB 2026 birim fiyat kitabı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147.67</v>
      </c>
    </row>
    <row r="24" ht="22" customHeight="1">
      <c r="A24" s="17" t="inlineStr">
        <is>
          <t>30.100.2105</t>
        </is>
      </c>
      <c r="B24" s="18" t="inlineStr">
        <is>
          <t>Kümes dağıtım panosu (sıva üstü galvanizli sac tablo, 0,40-0,50 m²) (%25 müteahhit kârı dahil)</t>
        </is>
      </c>
      <c r="C24" s="3" t="inlineStr">
        <is>
          <t>ad</t>
        </is>
      </c>
      <c r="D24" s="5" t="n">
        <v>8433.52</v>
      </c>
      <c r="E24" s="19" t="inlineStr">
        <is>
          <t>ÇŞB 2026 Haziran elektrik rayici x 1,25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7084.16</v>
      </c>
    </row>
    <row r="25" ht="22" customHeight="1">
      <c r="A25" s="17" t="inlineStr">
        <is>
          <t>30.110.1102</t>
        </is>
      </c>
      <c r="B25" s="18" t="inlineStr">
        <is>
          <t>Termik-manyetik kompakt şalter 3x100 A, Icu 35 kA — kümes besleme (%25 müteahhit kârı dahil)</t>
        </is>
      </c>
      <c r="C25" s="3" t="inlineStr">
        <is>
          <t>ad</t>
        </is>
      </c>
      <c r="D25" s="5" t="n">
        <v>4200.06</v>
      </c>
      <c r="E25" s="19" t="inlineStr">
        <is>
          <t>ÇŞB 2026 Haziran elektrik rayici x 1,25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3528.05</v>
      </c>
    </row>
    <row r="26" ht="22" customHeight="1">
      <c r="A26" s="17" t="inlineStr">
        <is>
          <t>30.115.1003</t>
        </is>
      </c>
      <c r="B26" s="18" t="inlineStr">
        <is>
          <t>Kaçak akım koruma şalteri 2x63 A, 30 mA (%25 müteahhit kârı dahil)</t>
        </is>
      </c>
      <c r="C26" s="3" t="inlineStr">
        <is>
          <t>ad</t>
        </is>
      </c>
      <c r="D26" s="5" t="n">
        <v>1284.76</v>
      </c>
      <c r="E26" s="19" t="inlineStr">
        <is>
          <t>ÇŞB 2026 Haziran elektrik rayici x 1,25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1079.2</v>
      </c>
    </row>
    <row r="27" ht="22" customHeight="1">
      <c r="A27" s="17" t="inlineStr">
        <is>
          <t>30.140.1105</t>
        </is>
      </c>
      <c r="B27" s="18" t="inlineStr">
        <is>
          <t>Çıplak bakır tel 25 mm² — eşpotansiyel bara ve topraklama iletkeni (%25 müteahhit kârı dahil)</t>
        </is>
      </c>
      <c r="C27" s="3" t="inlineStr">
        <is>
          <t>m</t>
        </is>
      </c>
      <c r="D27" s="5" t="n">
        <v>186.96</v>
      </c>
      <c r="E27" s="19" t="inlineStr">
        <is>
          <t>ÇŞB 2026 Haziran elektrik rayici x 1,25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157.05</v>
      </c>
    </row>
    <row r="28" ht="22" customHeight="1">
      <c r="A28" s="17" t="inlineStr">
        <is>
          <t>30.140.3104</t>
        </is>
      </c>
      <c r="B28" s="18" t="inlineStr">
        <is>
          <t>YVV (NYY) 1 kV yeraltı kablosu ile kolon hattı tesisi — 1x25 mm² (%25 müteahhit kârı dahil)</t>
        </is>
      </c>
      <c r="C28" s="3" t="inlineStr">
        <is>
          <t>m</t>
        </is>
      </c>
      <c r="D28" s="5" t="n">
        <v>238.1</v>
      </c>
      <c r="E28" s="19" t="inlineStr">
        <is>
          <t>ÇŞB 2026 Haziran elektrik rayici x 1,25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200</v>
      </c>
    </row>
    <row r="29" ht="22" customHeight="1">
      <c r="A29" s="17" t="inlineStr">
        <is>
          <t>30.150.1401</t>
        </is>
      </c>
      <c r="B29" s="18" t="inlineStr">
        <is>
          <t>Halojensiz H07Z tipi iletken 1x1,5 mm² ile kumanda tesisatı (%25 müteahhit kârı dahil)</t>
        </is>
      </c>
      <c r="C29" s="3" t="inlineStr">
        <is>
          <t>m</t>
        </is>
      </c>
      <c r="D29" s="5" t="n">
        <v>14.55</v>
      </c>
      <c r="E29" s="19" t="inlineStr">
        <is>
          <t>ÇŞB 2026 Haziran elektrik rayici x 1,25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12.22</v>
      </c>
    </row>
    <row r="30" ht="22" customHeight="1">
      <c r="A30" s="17" t="inlineStr">
        <is>
          <t>30.150.1402</t>
        </is>
      </c>
      <c r="B30" s="18" t="inlineStr">
        <is>
          <t>Halojensiz H07Z tipi iletken 1x2,5 mm² ile tesisat (%25 müteahhit kârı dahil)</t>
        </is>
      </c>
      <c r="C30" s="3" t="inlineStr">
        <is>
          <t>m</t>
        </is>
      </c>
      <c r="D30" s="5" t="n">
        <v>23.21</v>
      </c>
      <c r="E30" s="19" t="inlineStr">
        <is>
          <t>ÇŞB 2026 Haziran elektrik rayici x 1,25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19.5</v>
      </c>
    </row>
    <row r="31" ht="22" customHeight="1">
      <c r="A31" s="17" t="inlineStr">
        <is>
          <t>30.160.6102</t>
        </is>
      </c>
      <c r="B31" s="18" t="inlineStr">
        <is>
          <t>Boş boru döşemesi — 25-32 mm PVC boru (%25 müteahhit kârı dahil)</t>
        </is>
      </c>
      <c r="C31" s="3" t="inlineStr">
        <is>
          <t>m</t>
        </is>
      </c>
      <c r="D31" s="5" t="n">
        <v>34.59</v>
      </c>
      <c r="E31" s="19" t="inlineStr">
        <is>
          <t>ÇŞB 2026 Haziran elektrik rayici x 1,25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29.06</v>
      </c>
    </row>
    <row r="32" ht="22" customHeight="1">
      <c r="A32" s="17" t="inlineStr">
        <is>
          <t>30.170.1601</t>
        </is>
      </c>
      <c r="B32" s="18" t="inlineStr">
        <is>
          <t>LED sıva üstü etanj armatür (polikarbon gövdeli), ışık akısı en az 1800 lm — servis bölümü (%25 müteahhit kârı dahil)</t>
        </is>
      </c>
      <c r="C32" s="3" t="inlineStr">
        <is>
          <t>ad</t>
        </is>
      </c>
      <c r="D32" s="5" t="n">
        <v>1632.1</v>
      </c>
      <c r="E32" s="19" t="inlineStr">
        <is>
          <t>ÇŞB 2026 Haziran elektrik rayici x 1,25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1370.96</v>
      </c>
    </row>
    <row r="33" ht="33" customHeight="1">
      <c r="A33" s="17" t="inlineStr">
        <is>
          <t>30.170.1602</t>
        </is>
      </c>
      <c r="B33" s="18" t="inlineStr">
        <is>
          <t>LED sıva üstü etanj armatür (polikarbon gövdeli), ışık akısı en az 2700 lm — kümes genel aydınlatması (%25 müteahhit kârı dahil)</t>
        </is>
      </c>
      <c r="C33" s="3" t="inlineStr">
        <is>
          <t>ad</t>
        </is>
      </c>
      <c r="D33" s="5" t="n">
        <v>2376.28</v>
      </c>
      <c r="E33" s="19" t="inlineStr">
        <is>
          <t>ÇŞB 2026 Haziran elektrik rayici x 1,25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1996.08</v>
      </c>
    </row>
    <row r="34" ht="22" customHeight="1">
      <c r="A34" s="17" t="inlineStr">
        <is>
          <t>30.190.1304</t>
        </is>
      </c>
      <c r="B34" s="18" t="inlineStr">
        <is>
          <t>Sıva üstü PVC kablo kanalı — en az 100 x 35 mm, üç bölmeli (%25 müteahhit kârı dahil)</t>
        </is>
      </c>
      <c r="C34" s="3" t="inlineStr">
        <is>
          <t>m</t>
        </is>
      </c>
      <c r="D34" s="5" t="n">
        <v>277.71</v>
      </c>
      <c r="E34" s="19" t="inlineStr">
        <is>
          <t>ÇŞB 2026 Haziran elektrik rayici x 1,25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233.28</v>
      </c>
    </row>
    <row r="35" ht="33" customHeight="1">
      <c r="A35" s="17" t="inlineStr">
        <is>
          <t>30.740.1106</t>
        </is>
      </c>
      <c r="B35" s="18" t="inlineStr">
        <is>
          <t>Dizel elektrojen grubu (jeneratör) 63 kVA / 50 kW — dizel motoru su veya hava ile soğuyan cinsten, 1500 d/dak (%25 müteahhit kârı dahil)</t>
        </is>
      </c>
      <c r="C35" s="3" t="inlineStr">
        <is>
          <t>ad</t>
        </is>
      </c>
      <c r="D35" s="5" t="n">
        <v>556368.2</v>
      </c>
      <c r="E35" s="19" t="inlineStr">
        <is>
          <t>ÇŞB 2026 Haziran elektrik rayici x 1,25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467349.29</v>
      </c>
    </row>
    <row r="36" ht="22" customHeight="1">
      <c r="A36" s="17" t="inlineStr">
        <is>
          <t>30.740.5406</t>
        </is>
      </c>
      <c r="B36" s="18" t="inlineStr">
        <is>
          <t>Jeneratör ses izolasyon kabini — 63 kVA (%25 müteahhit kârı dahil)</t>
        </is>
      </c>
      <c r="C36" s="3" t="inlineStr">
        <is>
          <t>ad</t>
        </is>
      </c>
      <c r="D36" s="5" t="n">
        <v>94825.64999999999</v>
      </c>
      <c r="E36" s="19" t="inlineStr">
        <is>
          <t>ÇŞB 2026 Haziran elektrik rayici x 1,25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79653.55</v>
      </c>
    </row>
    <row r="37" ht="22" customHeight="1">
      <c r="A37" s="17" t="inlineStr">
        <is>
          <t>30.750.1502</t>
        </is>
      </c>
      <c r="B37" s="18" t="inlineStr">
        <is>
          <t>Aktif yakalama ucu, ortalama uyarım yolu DL = 30-40 m (%25 müteahhit kârı dahil)</t>
        </is>
      </c>
      <c r="C37" s="3" t="inlineStr">
        <is>
          <t>ad</t>
        </is>
      </c>
      <c r="D37" s="5" t="n">
        <v>18566.2</v>
      </c>
      <c r="E37" s="19" t="inlineStr">
        <is>
          <t>ÇŞB 2026 Haziran elektrik rayici x 1,25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15595.61</v>
      </c>
    </row>
    <row r="38" ht="22" customHeight="1">
      <c r="A38" s="17" t="inlineStr">
        <is>
          <t>30.750.2001</t>
        </is>
      </c>
      <c r="B38" s="18" t="inlineStr">
        <is>
          <t>Çatı ihata ve indirme iletkeni tesisatı — 50 mm² elektrolitik bakır tel (%25 müteahhit kârı dahil)</t>
        </is>
      </c>
      <c r="C38" s="3" t="inlineStr">
        <is>
          <t>m</t>
        </is>
      </c>
      <c r="D38" s="5" t="n">
        <v>508</v>
      </c>
      <c r="E38" s="19" t="inlineStr">
        <is>
          <t>ÇŞB 2026 Haziran elektrik rayici x 1,25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426.72</v>
      </c>
    </row>
    <row r="39" ht="22" customHeight="1">
      <c r="A39" s="17" t="inlineStr">
        <is>
          <t>30.750.3002</t>
        </is>
      </c>
      <c r="B39" s="18" t="inlineStr">
        <is>
          <t>Bina ihata iletkeni tesisatı — 30x3,5 mm galvanizli çelik lama (temel topraklaması) (%25 müteahhit kârı dahil)</t>
        </is>
      </c>
      <c r="C39" s="3" t="inlineStr">
        <is>
          <t>m</t>
        </is>
      </c>
      <c r="D39" s="5" t="n">
        <v>138.05</v>
      </c>
      <c r="E39" s="19" t="inlineStr">
        <is>
          <t>ÇŞB 2026 Haziran elektrik rayici x 1,25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115.96</v>
      </c>
    </row>
    <row r="40" ht="22" customHeight="1">
      <c r="A40" s="17" t="inlineStr">
        <is>
          <t>35.190.1100</t>
        </is>
      </c>
      <c r="B40" s="18" t="inlineStr">
        <is>
          <t>Kablo tava sistemleri — 200x60x1,0 mm sıcak daldırma galvanizli perfore kablo tavası (malzeme) (%25 müteahhit kârı dahil)</t>
        </is>
      </c>
      <c r="C40" s="3" t="inlineStr">
        <is>
          <t>kg</t>
        </is>
      </c>
      <c r="D40" s="5" t="n">
        <v>237.4</v>
      </c>
      <c r="E40" s="19" t="inlineStr">
        <is>
          <t>ÇŞB 2026 Haziran elektrik rayici x 1,25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199.42</v>
      </c>
    </row>
    <row r="41" ht="33" customHeight="1">
      <c r="A41" s="17" t="inlineStr">
        <is>
          <t>35.190.1100 (montaj)</t>
        </is>
      </c>
      <c r="B41" s="18" t="inlineStr">
        <is>
          <t>Kablo tava sistemlerinin montajı — askı ve konsollarla tavana veya duvara tespiti; ek parça, konsol, askı tiji, vida ve somun bedelleri dâhildir, ayrıca ödenmez</t>
        </is>
      </c>
      <c r="C41" s="3" t="inlineStr">
        <is>
          <t>kg</t>
        </is>
      </c>
      <c r="D41" s="5" t="n">
        <v>46.09</v>
      </c>
      <c r="E41" s="19" t="inlineStr">
        <is>
          <t>ÇŞB 35.190.1100 pozunun 01.06.2026 tarihli MONTAJ fiyatı 46,09 TL; kitabın kendi rakamıdır, kâr ve genel gider içindedir, ayrıca çarpılmamıştır. Kitabın birim fiyatı = malzeme 189,92 x 1,25 + montaj 46,09 = 283,49 TL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38.72</v>
      </c>
    </row>
    <row r="42" ht="33" customHeight="1">
      <c r="A42" s="17" t="inlineStr">
        <is>
          <t>35.190.1101</t>
        </is>
      </c>
      <c r="B42" s="18" t="inlineStr">
        <is>
          <t>Kablo tava sistemleri kapak sacı — 35.190.1100 pozuna uygun özellikte, 1,0 mm sıcak daldırma galvanizli (malzeme) (%25 müteahhit kârı dahil)</t>
        </is>
      </c>
      <c r="C42" s="3" t="inlineStr">
        <is>
          <t>kg</t>
        </is>
      </c>
      <c r="D42" s="5" t="n">
        <v>193.3</v>
      </c>
      <c r="E42" s="19" t="inlineStr">
        <is>
          <t>ÇŞB 2026 Haziran elektrik rayici x 1,25</t>
        </is>
      </c>
      <c r="F42" s="20">
        <f>$B$3</f>
        <v/>
      </c>
      <c r="G42" s="5">
        <f>D42*(1-F42)</f>
        <v/>
      </c>
      <c r="H42" s="5">
        <f>D42*$D$3</f>
        <v/>
      </c>
      <c r="I42" s="13" t="n">
        <v>162.37</v>
      </c>
    </row>
    <row r="43" ht="33" customHeight="1">
      <c r="A43" s="17" t="inlineStr">
        <is>
          <t>35.190.1101 (montaj)</t>
        </is>
      </c>
      <c r="B43" s="18" t="inlineStr">
        <is>
          <t>Kablo tava sistemleri kapak sacının montajı — onaylı projesinde belirtilen kanalların kapatılması; her türlü işçilik ve malzeme dâhil, işler hâlde teslim</t>
        </is>
      </c>
      <c r="C43" s="3" t="inlineStr">
        <is>
          <t>kg</t>
        </is>
      </c>
      <c r="D43" s="5" t="n">
        <v>25.36</v>
      </c>
      <c r="E43" s="19" t="inlineStr">
        <is>
          <t>ÇŞB 35.190.1101 pozunun 01.06.2026 tarihli MONTAJ fiyatı 25,36 TL; kitabın kendi rakamıdır, kâr ve genel gider içindedir, ayrıca çarpılmamıştır. Kitabın birim fiyatı = malzeme 154,64 x 1,25 + montaj 25,36 = 218,66 TL</t>
        </is>
      </c>
      <c r="F43" s="20">
        <f>$B$3</f>
        <v/>
      </c>
      <c r="G43" s="5">
        <f>D43*(1-F43)</f>
        <v/>
      </c>
      <c r="H43" s="5">
        <f>D43*$D$3</f>
        <v/>
      </c>
      <c r="I43" s="13" t="n">
        <v>21.3</v>
      </c>
    </row>
    <row r="44" ht="22" customHeight="1">
      <c r="A44" s="17" t="inlineStr">
        <is>
          <t>43.527.1001</t>
        </is>
      </c>
      <c r="B44" s="18" t="inlineStr">
        <is>
          <t>Çapı 150 mm HDPE koruge boru döşenmesi (SN 8, lastik conta ve boru bedeli dahil)</t>
        </is>
      </c>
      <c r="C44" s="3" t="inlineStr">
        <is>
          <t>m</t>
        </is>
      </c>
      <c r="D44" s="5" t="n">
        <v>393.69</v>
      </c>
      <c r="E44" s="19" t="inlineStr">
        <is>
          <t>TKDK 17.02.2026 Özel Poz Tablosu</t>
        </is>
      </c>
      <c r="F44" s="20">
        <f>$B$3</f>
        <v/>
      </c>
      <c r="G44" s="5">
        <f>D44*(1-F44)</f>
        <v/>
      </c>
      <c r="H44" s="5">
        <f>D44*$D$3</f>
        <v/>
      </c>
      <c r="I44" s="13" t="n">
        <v>330.7</v>
      </c>
    </row>
    <row r="45" ht="14" customHeight="1">
      <c r="A45" s="17" t="inlineStr">
        <is>
          <t>TKDK-0115</t>
        </is>
      </c>
      <c r="B45" s="18" t="inlineStr">
        <is>
          <t>Galvanizli düz sacdan yağmur oluğu veya iniş borusu yapılması</t>
        </is>
      </c>
      <c r="C45" s="3" t="inlineStr">
        <is>
          <t>kg</t>
        </is>
      </c>
      <c r="D45" s="5" t="n">
        <v>271.25</v>
      </c>
      <c r="E45" s="19" t="inlineStr">
        <is>
          <t>TKDK 17.02.2026 Özel Poz Tablosu</t>
        </is>
      </c>
      <c r="F45" s="20">
        <f>$B$3</f>
        <v/>
      </c>
      <c r="G45" s="5">
        <f>D45*(1-F45)</f>
        <v/>
      </c>
      <c r="H45" s="5">
        <f>D45*$D$3</f>
        <v/>
      </c>
      <c r="I45" s="13" t="n">
        <v>227.85</v>
      </c>
    </row>
    <row r="46" ht="33" customHeight="1">
      <c r="A46" s="17" t="inlineStr">
        <is>
          <t>TKDK-0151</t>
        </is>
      </c>
      <c r="B46" s="18" t="inlineStr">
        <is>
          <t>5 cm poliüretan dolgulu (üst 0,50 mm düz, alt 0,40 mm düz) fabrikasyon rulo boyama sistemi ile boyanmış galvaniz levhalar ile ısı yalıtımlı kapı yapılması</t>
        </is>
      </c>
      <c r="C46" s="3" t="inlineStr">
        <is>
          <t>m²</t>
        </is>
      </c>
      <c r="D46" s="5" t="n">
        <v>1035.88</v>
      </c>
      <c r="E46" s="19" t="inlineStr">
        <is>
          <t>TKDK 17.02.2026 Özel Poz Tablosu</t>
        </is>
      </c>
      <c r="F46" s="20">
        <f>$B$3</f>
        <v/>
      </c>
      <c r="G46" s="5">
        <f>D46*(1-F46)</f>
        <v/>
      </c>
      <c r="H46" s="5">
        <f>D46*$D$3</f>
        <v/>
      </c>
      <c r="I46" s="13" t="n">
        <v>870.14</v>
      </c>
    </row>
    <row r="47" ht="33" customHeight="1">
      <c r="A47" s="17" t="inlineStr">
        <is>
          <t>TKDK-0175</t>
        </is>
      </c>
      <c r="B47" s="18" t="inlineStr">
        <is>
          <t>PVC kaplamalı, iki yüzü odun lifinden yapılmış levhalarla (MDF) presli, kraft dolgulu iç kapı kanadı yapılması, yerinde takılması</t>
        </is>
      </c>
      <c r="C47" s="3" t="inlineStr">
        <is>
          <t>m²</t>
        </is>
      </c>
      <c r="D47" s="5" t="n">
        <v>3199.68</v>
      </c>
      <c r="E47" s="19" t="inlineStr">
        <is>
          <t>TKDK 17.02.2026 Özel Poz Tablosu</t>
        </is>
      </c>
      <c r="F47" s="20">
        <f>$B$3</f>
        <v/>
      </c>
      <c r="G47" s="5">
        <f>D47*(1-F47)</f>
        <v/>
      </c>
      <c r="H47" s="5">
        <f>D47*$D$3</f>
        <v/>
      </c>
      <c r="I47" s="13" t="n">
        <v>2687.73</v>
      </c>
    </row>
    <row r="48" ht="44" customHeight="1">
      <c r="A48" s="17" t="inlineStr">
        <is>
          <t>TKDK-0177</t>
        </is>
      </c>
      <c r="B48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C48" s="3" t="inlineStr">
        <is>
          <t>m²</t>
        </is>
      </c>
      <c r="D48" s="5" t="n">
        <v>835.1</v>
      </c>
      <c r="E48" s="19" t="inlineStr">
        <is>
          <t>TKDK 17.02.2026 Özel Poz Tablosu</t>
        </is>
      </c>
      <c r="F48" s="20">
        <f>$B$3</f>
        <v/>
      </c>
      <c r="G48" s="5">
        <f>D48*(1-F48)</f>
        <v/>
      </c>
      <c r="H48" s="5">
        <f>D48*$D$3</f>
        <v/>
      </c>
      <c r="I48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A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1684.385</v>
      </c>
      <c r="F6" s="24">
        <f>IFERROR(VLOOKUP($B6,'Fiyatlar'!$A:$I,9,FALSE),0)</f>
        <v/>
      </c>
      <c r="G6" s="5">
        <f>ROUND(E6*F6,2)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31.429</v>
      </c>
      <c r="F7" s="24">
        <f>IFERROR(VLOOKUP($B7,'Fiyatlar'!$A:$I,9,FALSE),0)</f>
        <v/>
      </c>
      <c r="G7" s="5">
        <f>ROUND(E7*F7,2)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ROUND(E8*F8,2)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ROUND(E9*F9,2)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4.16</v>
      </c>
      <c r="F10" s="24">
        <f>IFERROR(VLOOKUP($B10,'Fiyatlar'!$A:$I,9,FALSE),0)</f>
        <v/>
      </c>
      <c r="G10" s="5">
        <f>ROUND(E10*F10,2)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7.288</v>
      </c>
      <c r="F11" s="24">
        <f>IFERROR(VLOOKUP($B11,'Fiyatlar'!$A:$I,9,FALSE),0)</f>
        <v/>
      </c>
      <c r="G11" s="5">
        <f>ROUND(E11*F11,2)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</v>
      </c>
      <c r="F12" s="24">
        <f>IFERROR(VLOOKUP($B12,'Fiyatlar'!$A:$I,9,FALSE),0)</f>
        <v/>
      </c>
      <c r="G12" s="5">
        <f>ROUND(E12*F12,2)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</v>
      </c>
      <c r="F13" s="24">
        <f>IFERROR(VLOOKUP($B13,'Fiyatlar'!$A:$I,9,FALSE),0)</f>
        <v/>
      </c>
      <c r="G13" s="5">
        <f>ROUND(E13*F13,2)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ROUND(E14*F14,2)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ROUND(E15*F15,2)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ROUND(E16*F16,2)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ROUND(E17*F17,2)</f>
        <v/>
      </c>
    </row>
    <row r="18" ht="14" customHeight="1">
      <c r="A18" s="21" t="inlineStr">
        <is>
          <t>Çatı ve sundurma işleri</t>
        </is>
      </c>
      <c r="B18" s="22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3" t="n">
        <v>319.2</v>
      </c>
      <c r="F18" s="24">
        <f>IFERROR(VLOOKUP($B18,'Fiyatlar'!$A:$I,9,FALSE),0)</f>
        <v/>
      </c>
      <c r="G18" s="5">
        <f>ROUND(E18*F18,2)</f>
        <v/>
      </c>
    </row>
    <row r="19" ht="22" customHeight="1">
      <c r="A19" s="26" t="n"/>
      <c r="B19" s="22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3" t="n">
        <v>51.2</v>
      </c>
      <c r="F19" s="24">
        <f>IFERROR(VLOOKUP($B19,'Fiyatlar'!$A:$I,9,FALSE),0)</f>
        <v/>
      </c>
      <c r="G19" s="5">
        <f>ROUND(E19*F19,2)</f>
        <v/>
      </c>
    </row>
    <row r="20" ht="33" customHeight="1">
      <c r="A20" s="21" t="inlineStr">
        <is>
          <t>Doğramacılık işleri (Demir, Alüminyum, PVC, Kompozit)</t>
        </is>
      </c>
      <c r="B20" s="22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3" t="n">
        <v>13.4</v>
      </c>
      <c r="F20" s="24">
        <f>IFERROR(VLOOKUP($B20,'Fiyatlar'!$A:$I,9,FALSE),0)</f>
        <v/>
      </c>
      <c r="G20" s="5">
        <f>ROUND(E20*F20,2)</f>
        <v/>
      </c>
    </row>
    <row r="21" ht="22" customHeight="1">
      <c r="A21" s="25" t="n"/>
      <c r="B21" s="22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3" t="n">
        <v>5.67</v>
      </c>
      <c r="F21" s="24">
        <f>IFERROR(VLOOKUP($B21,'Fiyatlar'!$A:$I,9,FALSE),0)</f>
        <v/>
      </c>
      <c r="G21" s="5">
        <f>ROUND(E21*F21,2)</f>
        <v/>
      </c>
    </row>
    <row r="22" ht="22" customHeight="1">
      <c r="A22" s="26" t="n"/>
      <c r="B22" s="22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3" t="n">
        <v>54.315</v>
      </c>
      <c r="F22" s="24">
        <f>IFERROR(VLOOKUP($B22,'Fiyatlar'!$A:$I,9,FALSE),0)</f>
        <v/>
      </c>
      <c r="G22" s="5">
        <f>ROUND(E22*F22,2)</f>
        <v/>
      </c>
    </row>
    <row r="23" ht="14" customHeight="1">
      <c r="A23" s="21" t="inlineStr">
        <is>
          <t>Sıva, alçı, derz ve şap işleri</t>
        </is>
      </c>
      <c r="B23" s="22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3" t="n">
        <v>557.76</v>
      </c>
      <c r="F23" s="24">
        <f>IFERROR(VLOOKUP($B23,'Fiyatlar'!$A:$I,9,FALSE),0)</f>
        <v/>
      </c>
      <c r="G23" s="5">
        <f>ROUND(E23*F23,2)</f>
        <v/>
      </c>
    </row>
    <row r="24" ht="22" customHeight="1">
      <c r="A24" s="26" t="n"/>
      <c r="B24" s="22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3" t="n">
        <v>647.76</v>
      </c>
      <c r="F24" s="24">
        <f>IFERROR(VLOOKUP($B24,'Fiyatlar'!$A:$I,9,FALSE),0)</f>
        <v/>
      </c>
      <c r="G24" s="5">
        <f>ROUND(E24*F24,2)</f>
        <v/>
      </c>
    </row>
    <row r="25" ht="22" customHeight="1">
      <c r="A25" s="21" t="inlineStr">
        <is>
          <t>Boya, badana ve cila işleri</t>
        </is>
      </c>
      <c r="B25" s="22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3" t="n">
        <v>557.76</v>
      </c>
      <c r="F25" s="24">
        <f>IFERROR(VLOOKUP($B25,'Fiyatlar'!$A:$I,9,FALSE),0)</f>
        <v/>
      </c>
      <c r="G25" s="5">
        <f>ROUND(E25*F25,2)</f>
        <v/>
      </c>
    </row>
    <row r="26" ht="22" customHeight="1">
      <c r="A26" s="26" t="n"/>
      <c r="B26" s="22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3" t="n">
        <v>612.76</v>
      </c>
      <c r="F26" s="24">
        <f>IFERROR(VLOOKUP($B26,'Fiyatlar'!$A:$I,9,FALSE),0)</f>
        <v/>
      </c>
      <c r="G26" s="5">
        <f>ROUND(E26*F26,2)</f>
        <v/>
      </c>
    </row>
    <row r="27" ht="33" customHeight="1">
      <c r="A27" s="21" t="inlineStr">
        <is>
          <t>İnce yapı ve tamamlayıcı imalatlar</t>
        </is>
      </c>
      <c r="B27" s="22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3" t="n">
        <v>60</v>
      </c>
      <c r="F27" s="24">
        <f>IFERROR(VLOOKUP($B27,'Fiyatlar'!$A:$I,9,FALSE),0)</f>
        <v/>
      </c>
      <c r="G27" s="5">
        <f>ROUND(E27*F27,2)</f>
        <v/>
      </c>
    </row>
    <row r="28" ht="22" customHeight="1">
      <c r="A28" s="21" t="inlineStr">
        <is>
          <t>Kanalizasyon işleri</t>
        </is>
      </c>
      <c r="B28" s="22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3" t="n">
        <v>25</v>
      </c>
      <c r="F28" s="24">
        <f>IFERROR(VLOOKUP($B28,'Fiyatlar'!$A:$I,9,FALSE),0)</f>
        <v/>
      </c>
      <c r="G28" s="5">
        <f>ROUND(E28*F28,2)</f>
        <v/>
      </c>
    </row>
    <row r="29" ht="22" customHeight="1">
      <c r="A29" s="21" t="inlineStr">
        <is>
          <t>Elektrik tesisatı ve aydınlatma</t>
        </is>
      </c>
      <c r="B29" s="22" t="inlineStr">
        <is>
          <t>30.100.2105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ROUND(E29*F29,2)</f>
        <v/>
      </c>
    </row>
    <row r="30" ht="22" customHeight="1">
      <c r="A30" s="25" t="n"/>
      <c r="B30" s="22" t="inlineStr">
        <is>
          <t>30.110.1102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3" t="n">
        <v>1</v>
      </c>
      <c r="F30" s="24">
        <f>IFERROR(VLOOKUP($B30,'Fiyatlar'!$A:$I,9,FALSE),0)</f>
        <v/>
      </c>
      <c r="G30" s="5">
        <f>ROUND(E30*F30,2)</f>
        <v/>
      </c>
    </row>
    <row r="31" ht="14" customHeight="1">
      <c r="A31" s="25" t="n"/>
      <c r="B31" s="22" t="inlineStr">
        <is>
          <t>30.115.1003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3" t="n">
        <v>2</v>
      </c>
      <c r="F31" s="24">
        <f>IFERROR(VLOOKUP($B31,'Fiyatlar'!$A:$I,9,FALSE),0)</f>
        <v/>
      </c>
      <c r="G31" s="5">
        <f>ROUND(E31*F31,2)</f>
        <v/>
      </c>
    </row>
    <row r="32" ht="22" customHeight="1">
      <c r="A32" s="25" t="n"/>
      <c r="B32" s="22" t="inlineStr">
        <is>
          <t>30.140.3104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3" t="n">
        <v>300</v>
      </c>
      <c r="F32" s="24">
        <f>IFERROR(VLOOKUP($B32,'Fiyatlar'!$A:$I,9,FALSE),0)</f>
        <v/>
      </c>
      <c r="G32" s="5">
        <f>ROUND(E32*F32,2)</f>
        <v/>
      </c>
    </row>
    <row r="33" ht="22" customHeight="1">
      <c r="A33" s="25" t="n"/>
      <c r="B33" s="22" t="inlineStr">
        <is>
          <t>30.170.1602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3" t="n">
        <v>30</v>
      </c>
      <c r="F33" s="24">
        <f>IFERROR(VLOOKUP($B33,'Fiyatlar'!$A:$I,9,FALSE),0)</f>
        <v/>
      </c>
      <c r="G33" s="5">
        <f>ROUND(E33*F33,2)</f>
        <v/>
      </c>
    </row>
    <row r="34" ht="22" customHeight="1">
      <c r="A34" s="25" t="n"/>
      <c r="B34" s="22" t="inlineStr">
        <is>
          <t>30.170.1601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3" t="n">
        <v>2</v>
      </c>
      <c r="F34" s="24">
        <f>IFERROR(VLOOKUP($B34,'Fiyatlar'!$A:$I,9,FALSE),0)</f>
        <v/>
      </c>
      <c r="G34" s="5">
        <f>ROUND(E34*F34,2)</f>
        <v/>
      </c>
    </row>
    <row r="35" ht="14" customHeight="1">
      <c r="A35" s="25" t="n"/>
      <c r="B35" s="22" t="inlineStr">
        <is>
          <t>30.160.6102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3" t="n">
        <v>500</v>
      </c>
      <c r="F35" s="24">
        <f>IFERROR(VLOOKUP($B35,'Fiyatlar'!$A:$I,9,FALSE),0)</f>
        <v/>
      </c>
      <c r="G35" s="5">
        <f>ROUND(E35*F35,2)</f>
        <v/>
      </c>
    </row>
    <row r="36" ht="22" customHeight="1">
      <c r="A36" s="25" t="n"/>
      <c r="B36" s="22" t="inlineStr">
        <is>
          <t>30.150.1402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3" t="n">
        <v>2000</v>
      </c>
      <c r="F36" s="24">
        <f>IFERROR(VLOOKUP($B36,'Fiyatlar'!$A:$I,9,FALSE),0)</f>
        <v/>
      </c>
      <c r="G36" s="5">
        <f>ROUND(E36*F36,2)</f>
        <v/>
      </c>
    </row>
    <row r="37" ht="22" customHeight="1">
      <c r="A37" s="25" t="n"/>
      <c r="B37" s="22" t="inlineStr">
        <is>
          <t>30.150.1401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3" t="n">
        <v>600</v>
      </c>
      <c r="F37" s="24">
        <f>IFERROR(VLOOKUP($B37,'Fiyatlar'!$A:$I,9,FALSE),0)</f>
        <v/>
      </c>
      <c r="G37" s="5">
        <f>ROUND(E37*F37,2)</f>
        <v/>
      </c>
    </row>
    <row r="38" ht="22" customHeight="1">
      <c r="A38" s="25" t="n"/>
      <c r="B38" s="22" t="inlineStr">
        <is>
          <t>30.140.1105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3" t="n">
        <v>100</v>
      </c>
      <c r="F38" s="24">
        <f>IFERROR(VLOOKUP($B38,'Fiyatlar'!$A:$I,9,FALSE),0)</f>
        <v/>
      </c>
      <c r="G38" s="5">
        <f>ROUND(E38*F38,2)</f>
        <v/>
      </c>
    </row>
    <row r="39" ht="22" customHeight="1">
      <c r="A39" s="25" t="n"/>
      <c r="B39" s="22" t="inlineStr">
        <is>
          <t>30.750.3002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3" t="n">
        <v>186</v>
      </c>
      <c r="F39" s="24">
        <f>IFERROR(VLOOKUP($B39,'Fiyatlar'!$A:$I,9,FALSE),0)</f>
        <v/>
      </c>
      <c r="G39" s="5">
        <f>ROUND(E39*F39,2)</f>
        <v/>
      </c>
    </row>
    <row r="40" ht="22" customHeight="1">
      <c r="A40" s="25" t="n"/>
      <c r="B40" s="22" t="inlineStr">
        <is>
          <t>30.750.1502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3" t="n">
        <v>1</v>
      </c>
      <c r="F40" s="24">
        <f>IFERROR(VLOOKUP($B40,'Fiyatlar'!$A:$I,9,FALSE),0)</f>
        <v/>
      </c>
      <c r="G40" s="5">
        <f>ROUND(E40*F40,2)</f>
        <v/>
      </c>
    </row>
    <row r="41" ht="22" customHeight="1">
      <c r="A41" s="25" t="n"/>
      <c r="B41" s="22" t="inlineStr">
        <is>
          <t>30.750.2001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3" t="n">
        <v>16</v>
      </c>
      <c r="F41" s="24">
        <f>IFERROR(VLOOKUP($B41,'Fiyatlar'!$A:$I,9,FALSE),0)</f>
        <v/>
      </c>
      <c r="G41" s="5">
        <f>ROUND(E41*F41,2)</f>
        <v/>
      </c>
    </row>
    <row r="42" ht="22" customHeight="1">
      <c r="A42" s="25" t="n"/>
      <c r="B42" s="22" t="inlineStr">
        <is>
          <t>30.740.1106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3" t="n">
        <v>1</v>
      </c>
      <c r="F42" s="24">
        <f>IFERROR(VLOOKUP($B42,'Fiyatlar'!$A:$I,9,FALSE),0)</f>
        <v/>
      </c>
      <c r="G42" s="5">
        <f>ROUND(E42*F42,2)</f>
        <v/>
      </c>
    </row>
    <row r="43" ht="14" customHeight="1">
      <c r="A43" s="25" t="n"/>
      <c r="B43" s="22" t="inlineStr">
        <is>
          <t>30.740.5406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3" t="n">
        <v>1</v>
      </c>
      <c r="F43" s="24">
        <f>IFERROR(VLOOKUP($B43,'Fiyatlar'!$A:$I,9,FALSE),0)</f>
        <v/>
      </c>
      <c r="G43" s="5">
        <f>ROUND(E43*F43,2)</f>
        <v/>
      </c>
    </row>
    <row r="44" ht="22" customHeight="1">
      <c r="A44" s="25" t="n"/>
      <c r="B44" s="22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3" t="n">
        <v>502</v>
      </c>
      <c r="F44" s="24">
        <f>IFERROR(VLOOKUP($B44,'Fiyatlar'!$A:$I,9,FALSE),0)</f>
        <v/>
      </c>
      <c r="G44" s="5">
        <f>ROUND(E44*F44,2)</f>
        <v/>
      </c>
    </row>
    <row r="45" ht="33" customHeight="1">
      <c r="A45" s="25" t="n"/>
      <c r="B45" s="22" t="inlineStr">
        <is>
          <t>35.190.1100 (montaj)</t>
        </is>
      </c>
      <c r="C45" s="18" t="inlineStr">
        <is>
          <t>Kablo tava sistemlerinin montajı — askı ve konsollarla tavana veya duvara tespiti; ek parça, konsol, askı tiji, vida ve somun bedelleri dâhildir, ayrıca ödenmez</t>
        </is>
      </c>
      <c r="D45" s="3" t="inlineStr">
        <is>
          <t>kg</t>
        </is>
      </c>
      <c r="E45" s="23" t="n">
        <v>502</v>
      </c>
      <c r="F45" s="24">
        <f>IFERROR(VLOOKUP($B45,'Fiyatlar'!$A:$I,9,FALSE),0)</f>
        <v/>
      </c>
      <c r="G45" s="5">
        <f>ROUND(E45*F45,2)</f>
        <v/>
      </c>
    </row>
    <row r="46" ht="33" customHeight="1">
      <c r="A46" s="25" t="n"/>
      <c r="B46" s="22" t="inlineStr">
        <is>
          <t>35.190.1101</t>
        </is>
      </c>
      <c r="C46" s="18" t="inlineStr">
        <is>
          <t>Kablo tava sistemleri kapak sacı — 35.190.1100 pozuna uygun özellikte, 1,0 mm sıcak daldırma galvanizli (malzeme) (%25 müteahhit kârı dahil)</t>
        </is>
      </c>
      <c r="D46" s="3" t="inlineStr">
        <is>
          <t>kg</t>
        </is>
      </c>
      <c r="E46" s="23" t="n">
        <v>361.2</v>
      </c>
      <c r="F46" s="24">
        <f>IFERROR(VLOOKUP($B46,'Fiyatlar'!$A:$I,9,FALSE),0)</f>
        <v/>
      </c>
      <c r="G46" s="5">
        <f>ROUND(E46*F46,2)</f>
        <v/>
      </c>
    </row>
    <row r="47" ht="33" customHeight="1">
      <c r="A47" s="25" t="n"/>
      <c r="B47" s="22" t="inlineStr">
        <is>
          <t>35.190.1101 (montaj)</t>
        </is>
      </c>
      <c r="C47" s="18" t="inlineStr">
        <is>
          <t>Kablo tava sistemleri kapak sacının montajı — onaylı projesinde belirtilen kanalların kapatılması; her türlü işçilik ve malzeme dâhil, işler hâlde teslim</t>
        </is>
      </c>
      <c r="D47" s="3" t="inlineStr">
        <is>
          <t>kg</t>
        </is>
      </c>
      <c r="E47" s="23" t="n">
        <v>361.2</v>
      </c>
      <c r="F47" s="24">
        <f>IFERROR(VLOOKUP($B47,'Fiyatlar'!$A:$I,9,FALSE),0)</f>
        <v/>
      </c>
      <c r="G47" s="5">
        <f>ROUND(E47*F47,2)</f>
        <v/>
      </c>
    </row>
    <row r="48" ht="22" customHeight="1">
      <c r="A48" s="26" t="n"/>
      <c r="B48" s="22" t="inlineStr">
        <is>
          <t>30.190.1304</t>
        </is>
      </c>
      <c r="C48" s="18" t="inlineStr">
        <is>
          <t>Sıva üstü PVC kablo kanalı — en az 100 x 35 mm, üç bölmeli (%25 müteahhit kârı dahil)</t>
        </is>
      </c>
      <c r="D48" s="3" t="inlineStr">
        <is>
          <t>m</t>
        </is>
      </c>
      <c r="E48" s="23" t="n">
        <v>123</v>
      </c>
      <c r="F48" s="24">
        <f>IFERROR(VLOOKUP($B48,'Fiyatlar'!$A:$I,9,FALSE),0)</f>
        <v/>
      </c>
      <c r="G48" s="5">
        <f>ROUND(E48*F48,2)</f>
        <v/>
      </c>
    </row>
    <row r="49">
      <c r="A49" s="11" t="n"/>
      <c r="B49" s="11" t="n"/>
      <c r="C49" s="27" t="inlineStr">
        <is>
          <t>TOPLAM (KDV hariç)</t>
        </is>
      </c>
      <c r="D49" s="11" t="n"/>
      <c r="E49" s="11" t="n"/>
      <c r="F49" s="11" t="n"/>
      <c r="G49" s="13">
        <f>SUM(G6:G48)</f>
        <v/>
      </c>
    </row>
  </sheetData>
  <mergeCells count="10">
    <mergeCell ref="A1:G1"/>
    <mergeCell ref="A13:A14"/>
    <mergeCell ref="A25:A26"/>
    <mergeCell ref="A10:A12"/>
    <mergeCell ref="A20:A22"/>
    <mergeCell ref="A15:A17"/>
    <mergeCell ref="A2:G2"/>
    <mergeCell ref="A23:A24"/>
    <mergeCell ref="A29:A48"/>
    <mergeCell ref="A18:A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B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1684.385</v>
      </c>
      <c r="F6" s="24">
        <f>IFERROR(VLOOKUP($B6,'Fiyatlar'!$A:$I,9,FALSE),0)</f>
        <v/>
      </c>
      <c r="G6" s="5">
        <f>ROUND(E6*F6,2)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31.429</v>
      </c>
      <c r="F7" s="24">
        <f>IFERROR(VLOOKUP($B7,'Fiyatlar'!$A:$I,9,FALSE),0)</f>
        <v/>
      </c>
      <c r="G7" s="5">
        <f>ROUND(E7*F7,2)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ROUND(E8*F8,2)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ROUND(E9*F9,2)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4.16</v>
      </c>
      <c r="F10" s="24">
        <f>IFERROR(VLOOKUP($B10,'Fiyatlar'!$A:$I,9,FALSE),0)</f>
        <v/>
      </c>
      <c r="G10" s="5">
        <f>ROUND(E10*F10,2)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7.288</v>
      </c>
      <c r="F11" s="24">
        <f>IFERROR(VLOOKUP($B11,'Fiyatlar'!$A:$I,9,FALSE),0)</f>
        <v/>
      </c>
      <c r="G11" s="5">
        <f>ROUND(E11*F11,2)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</v>
      </c>
      <c r="F12" s="24">
        <f>IFERROR(VLOOKUP($B12,'Fiyatlar'!$A:$I,9,FALSE),0)</f>
        <v/>
      </c>
      <c r="G12" s="5">
        <f>ROUND(E12*F12,2)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</v>
      </c>
      <c r="F13" s="24">
        <f>IFERROR(VLOOKUP($B13,'Fiyatlar'!$A:$I,9,FALSE),0)</f>
        <v/>
      </c>
      <c r="G13" s="5">
        <f>ROUND(E13*F13,2)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ROUND(E14*F14,2)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ROUND(E15*F15,2)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ROUND(E16*F16,2)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ROUND(E17*F17,2)</f>
        <v/>
      </c>
    </row>
    <row r="18" ht="14" customHeight="1">
      <c r="A18" s="21" t="inlineStr">
        <is>
          <t>Çatı ve sundurma işleri</t>
        </is>
      </c>
      <c r="B18" s="22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3" t="n">
        <v>319.2</v>
      </c>
      <c r="F18" s="24">
        <f>IFERROR(VLOOKUP($B18,'Fiyatlar'!$A:$I,9,FALSE),0)</f>
        <v/>
      </c>
      <c r="G18" s="5">
        <f>ROUND(E18*F18,2)</f>
        <v/>
      </c>
    </row>
    <row r="19" ht="22" customHeight="1">
      <c r="A19" s="26" t="n"/>
      <c r="B19" s="22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3" t="n">
        <v>51.2</v>
      </c>
      <c r="F19" s="24">
        <f>IFERROR(VLOOKUP($B19,'Fiyatlar'!$A:$I,9,FALSE),0)</f>
        <v/>
      </c>
      <c r="G19" s="5">
        <f>ROUND(E19*F19,2)</f>
        <v/>
      </c>
    </row>
    <row r="20" ht="33" customHeight="1">
      <c r="A20" s="21" t="inlineStr">
        <is>
          <t>Doğramacılık işleri (Demir, Alüminyum, PVC, Kompozit)</t>
        </is>
      </c>
      <c r="B20" s="22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3" t="n">
        <v>13.4</v>
      </c>
      <c r="F20" s="24">
        <f>IFERROR(VLOOKUP($B20,'Fiyatlar'!$A:$I,9,FALSE),0)</f>
        <v/>
      </c>
      <c r="G20" s="5">
        <f>ROUND(E20*F20,2)</f>
        <v/>
      </c>
    </row>
    <row r="21" ht="22" customHeight="1">
      <c r="A21" s="25" t="n"/>
      <c r="B21" s="22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3" t="n">
        <v>5.67</v>
      </c>
      <c r="F21" s="24">
        <f>IFERROR(VLOOKUP($B21,'Fiyatlar'!$A:$I,9,FALSE),0)</f>
        <v/>
      </c>
      <c r="G21" s="5">
        <f>ROUND(E21*F21,2)</f>
        <v/>
      </c>
    </row>
    <row r="22" ht="22" customHeight="1">
      <c r="A22" s="26" t="n"/>
      <c r="B22" s="22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3" t="n">
        <v>54.315</v>
      </c>
      <c r="F22" s="24">
        <f>IFERROR(VLOOKUP($B22,'Fiyatlar'!$A:$I,9,FALSE),0)</f>
        <v/>
      </c>
      <c r="G22" s="5">
        <f>ROUND(E22*F22,2)</f>
        <v/>
      </c>
    </row>
    <row r="23" ht="14" customHeight="1">
      <c r="A23" s="21" t="inlineStr">
        <is>
          <t>Sıva, alçı, derz ve şap işleri</t>
        </is>
      </c>
      <c r="B23" s="22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3" t="n">
        <v>557.76</v>
      </c>
      <c r="F23" s="24">
        <f>IFERROR(VLOOKUP($B23,'Fiyatlar'!$A:$I,9,FALSE),0)</f>
        <v/>
      </c>
      <c r="G23" s="5">
        <f>ROUND(E23*F23,2)</f>
        <v/>
      </c>
    </row>
    <row r="24" ht="22" customHeight="1">
      <c r="A24" s="26" t="n"/>
      <c r="B24" s="22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3" t="n">
        <v>647.76</v>
      </c>
      <c r="F24" s="24">
        <f>IFERROR(VLOOKUP($B24,'Fiyatlar'!$A:$I,9,FALSE),0)</f>
        <v/>
      </c>
      <c r="G24" s="5">
        <f>ROUND(E24*F24,2)</f>
        <v/>
      </c>
    </row>
    <row r="25" ht="22" customHeight="1">
      <c r="A25" s="21" t="inlineStr">
        <is>
          <t>Boya, badana ve cila işleri</t>
        </is>
      </c>
      <c r="B25" s="22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3" t="n">
        <v>557.76</v>
      </c>
      <c r="F25" s="24">
        <f>IFERROR(VLOOKUP($B25,'Fiyatlar'!$A:$I,9,FALSE),0)</f>
        <v/>
      </c>
      <c r="G25" s="5">
        <f>ROUND(E25*F25,2)</f>
        <v/>
      </c>
    </row>
    <row r="26" ht="22" customHeight="1">
      <c r="A26" s="26" t="n"/>
      <c r="B26" s="22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3" t="n">
        <v>612.76</v>
      </c>
      <c r="F26" s="24">
        <f>IFERROR(VLOOKUP($B26,'Fiyatlar'!$A:$I,9,FALSE),0)</f>
        <v/>
      </c>
      <c r="G26" s="5">
        <f>ROUND(E26*F26,2)</f>
        <v/>
      </c>
    </row>
    <row r="27" ht="33" customHeight="1">
      <c r="A27" s="21" t="inlineStr">
        <is>
          <t>İnce yapı ve tamamlayıcı imalatlar</t>
        </is>
      </c>
      <c r="B27" s="22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3" t="n">
        <v>60</v>
      </c>
      <c r="F27" s="24">
        <f>IFERROR(VLOOKUP($B27,'Fiyatlar'!$A:$I,9,FALSE),0)</f>
        <v/>
      </c>
      <c r="G27" s="5">
        <f>ROUND(E27*F27,2)</f>
        <v/>
      </c>
    </row>
    <row r="28" ht="22" customHeight="1">
      <c r="A28" s="21" t="inlineStr">
        <is>
          <t>Kanalizasyon işleri</t>
        </is>
      </c>
      <c r="B28" s="22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3" t="n">
        <v>25</v>
      </c>
      <c r="F28" s="24">
        <f>IFERROR(VLOOKUP($B28,'Fiyatlar'!$A:$I,9,FALSE),0)</f>
        <v/>
      </c>
      <c r="G28" s="5">
        <f>ROUND(E28*F28,2)</f>
        <v/>
      </c>
    </row>
    <row r="29" ht="22" customHeight="1">
      <c r="A29" s="21" t="inlineStr">
        <is>
          <t>Elektrik tesisatı ve aydınlatma</t>
        </is>
      </c>
      <c r="B29" s="22" t="inlineStr">
        <is>
          <t>30.100.2105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ROUND(E29*F29,2)</f>
        <v/>
      </c>
    </row>
    <row r="30" ht="22" customHeight="1">
      <c r="A30" s="25" t="n"/>
      <c r="B30" s="22" t="inlineStr">
        <is>
          <t>30.110.1102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3" t="n">
        <v>1</v>
      </c>
      <c r="F30" s="24">
        <f>IFERROR(VLOOKUP($B30,'Fiyatlar'!$A:$I,9,FALSE),0)</f>
        <v/>
      </c>
      <c r="G30" s="5">
        <f>ROUND(E30*F30,2)</f>
        <v/>
      </c>
    </row>
    <row r="31" ht="14" customHeight="1">
      <c r="A31" s="25" t="n"/>
      <c r="B31" s="22" t="inlineStr">
        <is>
          <t>30.115.1003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3" t="n">
        <v>2</v>
      </c>
      <c r="F31" s="24">
        <f>IFERROR(VLOOKUP($B31,'Fiyatlar'!$A:$I,9,FALSE),0)</f>
        <v/>
      </c>
      <c r="G31" s="5">
        <f>ROUND(E31*F31,2)</f>
        <v/>
      </c>
    </row>
    <row r="32" ht="22" customHeight="1">
      <c r="A32" s="25" t="n"/>
      <c r="B32" s="22" t="inlineStr">
        <is>
          <t>30.140.3104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3" t="n">
        <v>300</v>
      </c>
      <c r="F32" s="24">
        <f>IFERROR(VLOOKUP($B32,'Fiyatlar'!$A:$I,9,FALSE),0)</f>
        <v/>
      </c>
      <c r="G32" s="5">
        <f>ROUND(E32*F32,2)</f>
        <v/>
      </c>
    </row>
    <row r="33" ht="22" customHeight="1">
      <c r="A33" s="25" t="n"/>
      <c r="B33" s="22" t="inlineStr">
        <is>
          <t>30.170.1602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3" t="n">
        <v>30</v>
      </c>
      <c r="F33" s="24">
        <f>IFERROR(VLOOKUP($B33,'Fiyatlar'!$A:$I,9,FALSE),0)</f>
        <v/>
      </c>
      <c r="G33" s="5">
        <f>ROUND(E33*F33,2)</f>
        <v/>
      </c>
    </row>
    <row r="34" ht="22" customHeight="1">
      <c r="A34" s="25" t="n"/>
      <c r="B34" s="22" t="inlineStr">
        <is>
          <t>30.170.1601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3" t="n">
        <v>2</v>
      </c>
      <c r="F34" s="24">
        <f>IFERROR(VLOOKUP($B34,'Fiyatlar'!$A:$I,9,FALSE),0)</f>
        <v/>
      </c>
      <c r="G34" s="5">
        <f>ROUND(E34*F34,2)</f>
        <v/>
      </c>
    </row>
    <row r="35" ht="14" customHeight="1">
      <c r="A35" s="25" t="n"/>
      <c r="B35" s="22" t="inlineStr">
        <is>
          <t>30.160.6102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3" t="n">
        <v>500</v>
      </c>
      <c r="F35" s="24">
        <f>IFERROR(VLOOKUP($B35,'Fiyatlar'!$A:$I,9,FALSE),0)</f>
        <v/>
      </c>
      <c r="G35" s="5">
        <f>ROUND(E35*F35,2)</f>
        <v/>
      </c>
    </row>
    <row r="36" ht="22" customHeight="1">
      <c r="A36" s="25" t="n"/>
      <c r="B36" s="22" t="inlineStr">
        <is>
          <t>30.150.1402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3" t="n">
        <v>2000</v>
      </c>
      <c r="F36" s="24">
        <f>IFERROR(VLOOKUP($B36,'Fiyatlar'!$A:$I,9,FALSE),0)</f>
        <v/>
      </c>
      <c r="G36" s="5">
        <f>ROUND(E36*F36,2)</f>
        <v/>
      </c>
    </row>
    <row r="37" ht="22" customHeight="1">
      <c r="A37" s="25" t="n"/>
      <c r="B37" s="22" t="inlineStr">
        <is>
          <t>30.150.1401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3" t="n">
        <v>600</v>
      </c>
      <c r="F37" s="24">
        <f>IFERROR(VLOOKUP($B37,'Fiyatlar'!$A:$I,9,FALSE),0)</f>
        <v/>
      </c>
      <c r="G37" s="5">
        <f>ROUND(E37*F37,2)</f>
        <v/>
      </c>
    </row>
    <row r="38" ht="22" customHeight="1">
      <c r="A38" s="25" t="n"/>
      <c r="B38" s="22" t="inlineStr">
        <is>
          <t>30.140.1105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3" t="n">
        <v>100</v>
      </c>
      <c r="F38" s="24">
        <f>IFERROR(VLOOKUP($B38,'Fiyatlar'!$A:$I,9,FALSE),0)</f>
        <v/>
      </c>
      <c r="G38" s="5">
        <f>ROUND(E38*F38,2)</f>
        <v/>
      </c>
    </row>
    <row r="39" ht="22" customHeight="1">
      <c r="A39" s="25" t="n"/>
      <c r="B39" s="22" t="inlineStr">
        <is>
          <t>30.750.3002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3" t="n">
        <v>186</v>
      </c>
      <c r="F39" s="24">
        <f>IFERROR(VLOOKUP($B39,'Fiyatlar'!$A:$I,9,FALSE),0)</f>
        <v/>
      </c>
      <c r="G39" s="5">
        <f>ROUND(E39*F39,2)</f>
        <v/>
      </c>
    </row>
    <row r="40" ht="22" customHeight="1">
      <c r="A40" s="25" t="n"/>
      <c r="B40" s="22" t="inlineStr">
        <is>
          <t>30.750.1502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3" t="n">
        <v>1</v>
      </c>
      <c r="F40" s="24">
        <f>IFERROR(VLOOKUP($B40,'Fiyatlar'!$A:$I,9,FALSE),0)</f>
        <v/>
      </c>
      <c r="G40" s="5">
        <f>ROUND(E40*F40,2)</f>
        <v/>
      </c>
    </row>
    <row r="41" ht="22" customHeight="1">
      <c r="A41" s="25" t="n"/>
      <c r="B41" s="22" t="inlineStr">
        <is>
          <t>30.750.2001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3" t="n">
        <v>16</v>
      </c>
      <c r="F41" s="24">
        <f>IFERROR(VLOOKUP($B41,'Fiyatlar'!$A:$I,9,FALSE),0)</f>
        <v/>
      </c>
      <c r="G41" s="5">
        <f>ROUND(E41*F41,2)</f>
        <v/>
      </c>
    </row>
    <row r="42" ht="22" customHeight="1">
      <c r="A42" s="25" t="n"/>
      <c r="B42" s="22" t="inlineStr">
        <is>
          <t>30.740.1106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3" t="n">
        <v>1</v>
      </c>
      <c r="F42" s="24">
        <f>IFERROR(VLOOKUP($B42,'Fiyatlar'!$A:$I,9,FALSE),0)</f>
        <v/>
      </c>
      <c r="G42" s="5">
        <f>ROUND(E42*F42,2)</f>
        <v/>
      </c>
    </row>
    <row r="43" ht="14" customHeight="1">
      <c r="A43" s="25" t="n"/>
      <c r="B43" s="22" t="inlineStr">
        <is>
          <t>30.740.5406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3" t="n">
        <v>1</v>
      </c>
      <c r="F43" s="24">
        <f>IFERROR(VLOOKUP($B43,'Fiyatlar'!$A:$I,9,FALSE),0)</f>
        <v/>
      </c>
      <c r="G43" s="5">
        <f>ROUND(E43*F43,2)</f>
        <v/>
      </c>
    </row>
    <row r="44" ht="22" customHeight="1">
      <c r="A44" s="25" t="n"/>
      <c r="B44" s="22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3" t="n">
        <v>502</v>
      </c>
      <c r="F44" s="24">
        <f>IFERROR(VLOOKUP($B44,'Fiyatlar'!$A:$I,9,FALSE),0)</f>
        <v/>
      </c>
      <c r="G44" s="5">
        <f>ROUND(E44*F44,2)</f>
        <v/>
      </c>
    </row>
    <row r="45" ht="33" customHeight="1">
      <c r="A45" s="25" t="n"/>
      <c r="B45" s="22" t="inlineStr">
        <is>
          <t>35.190.1100 (montaj)</t>
        </is>
      </c>
      <c r="C45" s="18" t="inlineStr">
        <is>
          <t>Kablo tava sistemlerinin montajı — askı ve konsollarla tavana veya duvara tespiti; ek parça, konsol, askı tiji, vida ve somun bedelleri dâhildir, ayrıca ödenmez</t>
        </is>
      </c>
      <c r="D45" s="3" t="inlineStr">
        <is>
          <t>kg</t>
        </is>
      </c>
      <c r="E45" s="23" t="n">
        <v>502</v>
      </c>
      <c r="F45" s="24">
        <f>IFERROR(VLOOKUP($B45,'Fiyatlar'!$A:$I,9,FALSE),0)</f>
        <v/>
      </c>
      <c r="G45" s="5">
        <f>ROUND(E45*F45,2)</f>
        <v/>
      </c>
    </row>
    <row r="46" ht="33" customHeight="1">
      <c r="A46" s="25" t="n"/>
      <c r="B46" s="22" t="inlineStr">
        <is>
          <t>35.190.1101</t>
        </is>
      </c>
      <c r="C46" s="18" t="inlineStr">
        <is>
          <t>Kablo tava sistemleri kapak sacı — 35.190.1100 pozuna uygun özellikte, 1,0 mm sıcak daldırma galvanizli (malzeme) (%25 müteahhit kârı dahil)</t>
        </is>
      </c>
      <c r="D46" s="3" t="inlineStr">
        <is>
          <t>kg</t>
        </is>
      </c>
      <c r="E46" s="23" t="n">
        <v>361.2</v>
      </c>
      <c r="F46" s="24">
        <f>IFERROR(VLOOKUP($B46,'Fiyatlar'!$A:$I,9,FALSE),0)</f>
        <v/>
      </c>
      <c r="G46" s="5">
        <f>ROUND(E46*F46,2)</f>
        <v/>
      </c>
    </row>
    <row r="47" ht="33" customHeight="1">
      <c r="A47" s="25" t="n"/>
      <c r="B47" s="22" t="inlineStr">
        <is>
          <t>35.190.1101 (montaj)</t>
        </is>
      </c>
      <c r="C47" s="18" t="inlineStr">
        <is>
          <t>Kablo tava sistemleri kapak sacının montajı — onaylı projesinde belirtilen kanalların kapatılması; her türlü işçilik ve malzeme dâhil, işler hâlde teslim</t>
        </is>
      </c>
      <c r="D47" s="3" t="inlineStr">
        <is>
          <t>kg</t>
        </is>
      </c>
      <c r="E47" s="23" t="n">
        <v>361.2</v>
      </c>
      <c r="F47" s="24">
        <f>IFERROR(VLOOKUP($B47,'Fiyatlar'!$A:$I,9,FALSE),0)</f>
        <v/>
      </c>
      <c r="G47" s="5">
        <f>ROUND(E47*F47,2)</f>
        <v/>
      </c>
    </row>
    <row r="48" ht="22" customHeight="1">
      <c r="A48" s="26" t="n"/>
      <c r="B48" s="22" t="inlineStr">
        <is>
          <t>30.190.1304</t>
        </is>
      </c>
      <c r="C48" s="18" t="inlineStr">
        <is>
          <t>Sıva üstü PVC kablo kanalı — en az 100 x 35 mm, üç bölmeli (%25 müteahhit kârı dahil)</t>
        </is>
      </c>
      <c r="D48" s="3" t="inlineStr">
        <is>
          <t>m</t>
        </is>
      </c>
      <c r="E48" s="23" t="n">
        <v>123</v>
      </c>
      <c r="F48" s="24">
        <f>IFERROR(VLOOKUP($B48,'Fiyatlar'!$A:$I,9,FALSE),0)</f>
        <v/>
      </c>
      <c r="G48" s="5">
        <f>ROUND(E48*F48,2)</f>
        <v/>
      </c>
    </row>
    <row r="49">
      <c r="A49" s="11" t="n"/>
      <c r="B49" s="11" t="n"/>
      <c r="C49" s="27" t="inlineStr">
        <is>
          <t>TOPLAM (KDV hariç)</t>
        </is>
      </c>
      <c r="D49" s="11" t="n"/>
      <c r="E49" s="11" t="n"/>
      <c r="F49" s="11" t="n"/>
      <c r="G49" s="13">
        <f>SUM(G6:G48)</f>
        <v/>
      </c>
    </row>
  </sheetData>
  <mergeCells count="10">
    <mergeCell ref="A1:G1"/>
    <mergeCell ref="A13:A14"/>
    <mergeCell ref="A25:A26"/>
    <mergeCell ref="A10:A12"/>
    <mergeCell ref="A20:A22"/>
    <mergeCell ref="A15:A17"/>
    <mergeCell ref="A2:G2"/>
    <mergeCell ref="A23:A24"/>
    <mergeCell ref="A29:A48"/>
    <mergeCell ref="A18:A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2026-08-29T13:46:22Z</dcterms:created>
  <dcterms:modified xmlns:dcterms="http://purl.org/dc/terms/" xmlns:xsi="http://www.w3.org/2001/XMLSchema-instance" xsi:type="dcterms:W3CDTF">2026-08-29T13:46:22Z</dcterms:modified>
</cp:coreProperties>
</file>