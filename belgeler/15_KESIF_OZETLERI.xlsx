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Blok'!$G$45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Blok'!$G$45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Çukuru'!$G$12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22" customHeight="1">
      <c r="A7" s="17" t="inlineStr">
        <is>
          <t>15.120.1101</t>
        </is>
      </c>
      <c r="B7" s="18" t="inlineStr">
        <is>
          <t>Makine ile her derinlik ve her genişlikte yumuşak ve sert toprak kazılması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33" customHeight="1">
      <c r="A8" s="17" t="inlineStr">
        <is>
          <t>15.150.1003</t>
        </is>
      </c>
      <c r="B8" s="18" t="inlineStr">
        <is>
          <t>Beton santralinde üretilen veya satın alınan ve beton pompasıyla basılan, C 16/20 basınç dayanım sınıfında, gri renkte, normal hazır beton dökülmesi (beton nakli dahil)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33" customHeight="1">
      <c r="A9" s="17" t="inlineStr">
        <is>
          <t>15.150.1005</t>
        </is>
      </c>
      <c r="B9" s="18" t="inlineStr">
        <is>
          <t>Beton santralinde üretilen veya satın alınan ve beton pompasıyla basılan, C 25/30 basınç dayanım sınıfında, gri renkte, normal hazır beton dökülmesi (beton nakli dahil)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22" customHeight="1">
      <c r="A11" s="17" t="inlineStr">
        <is>
          <t>15.160.1003</t>
        </is>
      </c>
      <c r="B11" s="18" t="inlineStr">
        <is>
          <t>Ø 8 - Ø 12 mm nervürlü beton çelik çubuğu, çubukların kesilmesi, bükülmesi ve yerine konulması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22" customHeight="1">
      <c r="A12" s="17" t="inlineStr">
        <is>
          <t>15.160.1004</t>
        </is>
      </c>
      <c r="B12" s="18" t="inlineStr">
        <is>
          <t>Ø 14 - Ø 28 mm nervürlü beton çelik çubuğu, çubukların kesilmesi, bükülmesi ve yerine konulması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çelik saclarla karkas (çerçeve) inşaat yapılması, yerine tespiti (boya bedeli hariç)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yapılması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duvar yapılması (gazbeton tutkalı ile)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14" customHeight="1">
      <c r="A18" s="17" t="inlineStr">
        <is>
          <t>15.275.1116</t>
        </is>
      </c>
      <c r="B18" s="18" t="inlineStr">
        <is>
          <t>250 kg çimento dozlu harç ile kaba sıva yapılması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Çapı 150 mm HDPE koruge boru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14" customHeight="1">
      <c r="A51" s="17" t="inlineStr">
        <is>
          <t>TKDK-0091</t>
        </is>
      </c>
      <c r="B51" s="18" t="inlineStr">
        <is>
          <t>Betonarme direkli galvanizli tel örgü çit yapılması (Tip-1)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veya iniş borusu yapılması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33" customHeight="1">
      <c r="A53" s="17" t="inlineStr">
        <is>
          <t>TKDK-0151</t>
        </is>
      </c>
      <c r="B53" s="18" t="inlineStr">
        <is>
          <t>5 cm poliüretan dolgulu (üst 0,50 mm düz, alt 0,40 mm düz) fabrikasyon rulo boyama sistemi ile boyanmış galvaniz levhalar ile ısı yalıtımlı kapı yapılması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33" customHeight="1">
      <c r="A54" s="17" t="inlineStr">
        <is>
          <t>TKDK-0175</t>
        </is>
      </c>
      <c r="B54" s="18" t="inlineStr">
        <is>
          <t>PVC kaplamalı, iki yüzü odun lifinden yapılmış levhalarla (MDF) presli, kraft dolgulu iç kapı kanadı yapılması, yerinde takılması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44" customHeight="1">
      <c r="A55" s="17" t="inlineStr">
        <is>
          <t>TKDK-0177</t>
        </is>
      </c>
      <c r="B55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GÜBRE ÇUKURU</t>
        </is>
      </c>
    </row>
    <row r="2">
      <c r="A2" s="14" t="inlineStr">
        <is>
          <t>Musab Eder Çiftliği — Kocaeli / Karamürsel / İnebeyli Mah., 138 ada 17 parsel · inşaat alanı 115,00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542.7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11.934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93.19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363.26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7.5993</v>
      </c>
      <c r="F10" s="24">
        <f>IFERROR(VLOOKUP($B10,'Fiyatlar'!$A:$I,9,FALSE),0)</f>
        <v/>
      </c>
      <c r="G10" s="5">
        <f>E10*F10</f>
        <v/>
      </c>
    </row>
    <row r="11" ht="22" customHeight="1">
      <c r="A11" s="26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0.5641</v>
      </c>
      <c r="F11" s="24">
        <f>IFERROR(VLOOKUP($B11,'Fiyatlar'!$A:$I,9,FALSE),0)</f>
        <v/>
      </c>
      <c r="G11" s="5">
        <f>E11*F11</f>
        <v/>
      </c>
    </row>
    <row r="12">
      <c r="A12" s="11" t="n"/>
      <c r="B12" s="11" t="n"/>
      <c r="C12" s="27" t="inlineStr">
        <is>
          <t>TOPLAM (KDV hariç)</t>
        </is>
      </c>
      <c r="D12" s="11" t="n"/>
      <c r="E12" s="11" t="n"/>
      <c r="F12" s="11" t="n"/>
      <c r="G12" s="13">
        <f>SUM(G6:G11)</f>
        <v/>
      </c>
    </row>
  </sheetData>
  <mergeCells count="3">
    <mergeCell ref="A10:A11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ÖLÜ ATMA ÇUKURU</t>
        </is>
      </c>
    </row>
    <row r="2">
      <c r="A2" s="14" t="inlineStr">
        <is>
          <t>Musab Eder Çiftliği — Kocaeli / Karamürsel / İnebeyli Mah., 138 ada 17 parsel · inşaat alanı 18,00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142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20.85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127.2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1.6571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FOSEPTIK</t>
        </is>
      </c>
    </row>
    <row r="2">
      <c r="A2" s="14" t="inlineStr">
        <is>
          <t>Musab Eder Çiftliği — Kocaeli / Karamürsel / İnebeyli Mah., 138 ada 17 parsel · inşaat alanı 4,00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0.484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6.175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41.4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0.5866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YEM SILOSU BETONARME KAIDELERI</t>
        </is>
      </c>
    </row>
    <row r="2">
      <c r="A2" s="14" t="inlineStr">
        <is>
          <t>Musab Eder Çiftliği — Kocaeli / Karamürsel / İnebeyli Mah., 138 ada 17 parsel · inşaat alanı 16,82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48.02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1.922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8.41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11.6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0.7569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SU DEPOSU</t>
        </is>
      </c>
    </row>
    <row r="2">
      <c r="A2" s="14" t="inlineStr">
        <is>
          <t>Musab Eder Çiftliği — Kocaeli / Karamürsel / İnebeyli Mah., 138 ada 17 parsel · inşaat alanı 12,00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106.5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1.344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15.15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95.59999999999999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1.2316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ÇEVRE DÜZENLEMESI VE SAHA ALTYAPISI</t>
        </is>
      </c>
    </row>
    <row r="2">
      <c r="A2" s="14" t="inlineStr">
        <is>
          <t>Musab Eder Çiftliği — Kocaeli / Karamürsel / İnebeyli Mah., 138 ada 17 parsel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260.9425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Betonarme işleri</t>
        </is>
      </c>
      <c r="B7" s="22" t="inlineStr">
        <is>
          <t>15.150.1005</t>
        </is>
      </c>
      <c r="C7" s="18" t="inlineStr">
        <is>
          <t>Beton santralinde üretilen veya satın alınan ve beton pompasıyla basılan, C 25/30 basınç dayanım sınıfında, gri renkte, normal hazır beton dökülmesi (beton nakli dahil)</t>
        </is>
      </c>
      <c r="D7" s="3" t="inlineStr">
        <is>
          <t>m³</t>
        </is>
      </c>
      <c r="E7" s="23" t="n">
        <v>1.566</v>
      </c>
      <c r="F7" s="24">
        <f>IFERROR(VLOOKUP($B7,'Fiyatlar'!$A:$I,9,FALSE),0)</f>
        <v/>
      </c>
      <c r="G7" s="5">
        <f>E7*F7</f>
        <v/>
      </c>
    </row>
    <row r="8" ht="14" customHeight="1">
      <c r="A8" s="21" t="inlineStr">
        <is>
          <t>Kalıp, yapı iskelesi işleri</t>
        </is>
      </c>
      <c r="B8" s="22" t="inlineStr">
        <is>
          <t>15.180.1003</t>
        </is>
      </c>
      <c r="C8" s="18" t="inlineStr">
        <is>
          <t>Plywood ile düz yüzeyli betonarme kalıbı yapılması</t>
        </is>
      </c>
      <c r="D8" s="3" t="inlineStr">
        <is>
          <t>m²</t>
        </is>
      </c>
      <c r="E8" s="23" t="n">
        <v>14.4</v>
      </c>
      <c r="F8" s="24">
        <f>IFERROR(VLOOKUP($B8,'Fiyatlar'!$A:$I,9,FALSE),0)</f>
        <v/>
      </c>
      <c r="G8" s="5">
        <f>E8*F8</f>
        <v/>
      </c>
    </row>
    <row r="9" ht="22" customHeight="1">
      <c r="A9" s="21" t="inlineStr">
        <is>
          <t>Demir-inşaat işleri</t>
        </is>
      </c>
      <c r="B9" s="22" t="inlineStr">
        <is>
          <t>15.160.1003</t>
        </is>
      </c>
      <c r="C9" s="18" t="inlineStr">
        <is>
          <t>Ø 8 - Ø 12 mm nervürlü beton çelik çubuğu, çubukların kesilmesi, bükülmesi ve yerine konulması</t>
        </is>
      </c>
      <c r="D9" s="3" t="inlineStr">
        <is>
          <t>ton</t>
        </is>
      </c>
      <c r="E9" s="23" t="n">
        <v>0.1409</v>
      </c>
      <c r="F9" s="24">
        <f>IFERROR(VLOOKUP($B9,'Fiyatlar'!$A:$I,9,FALSE),0)</f>
        <v/>
      </c>
      <c r="G9" s="5">
        <f>E9*F9</f>
        <v/>
      </c>
    </row>
    <row r="10" ht="14" customHeight="1">
      <c r="A10" s="21" t="inlineStr">
        <is>
          <t>Çevre düzenlemesi ve çit işleri</t>
        </is>
      </c>
      <c r="B10" s="22" t="inlineStr">
        <is>
          <t>TKDK-0091</t>
        </is>
      </c>
      <c r="C10" s="18" t="inlineStr">
        <is>
          <t>Betonarme direkli galvanizli tel örgü çit yapılması (Tip-1)</t>
        </is>
      </c>
      <c r="D10" s="3" t="inlineStr">
        <is>
          <t>m</t>
        </is>
      </c>
      <c r="E10" s="23" t="n">
        <v>361.04</v>
      </c>
      <c r="F10" s="24">
        <f>IFERROR(VLOOKUP($B10,'Fiyatlar'!$A:$I,9,FALSE),0)</f>
        <v/>
      </c>
      <c r="G10" s="5">
        <f>E10*F10</f>
        <v/>
      </c>
    </row>
    <row r="11" ht="22" customHeight="1">
      <c r="A11" s="21" t="inlineStr">
        <is>
          <t>Kanalizasyon işleri</t>
        </is>
      </c>
      <c r="B11" s="22" t="inlineStr">
        <is>
          <t>43.527.1001</t>
        </is>
      </c>
      <c r="C11" s="18" t="inlineStr">
        <is>
          <t>Çapı 150 mm HDPE koruge boru döşenmesi (SN 8, lastik conta ve boru bedeli dahil)</t>
        </is>
      </c>
      <c r="D11" s="3" t="inlineStr">
        <is>
          <t>m</t>
        </is>
      </c>
      <c r="E11" s="23" t="n">
        <v>50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3" t="n">
        <v>4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Elektrik tesisatı ve aydınlatma</t>
        </is>
      </c>
      <c r="B13" s="22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3" t="n">
        <v>1</v>
      </c>
      <c r="F13" s="24">
        <f>IFERROR(VLOOKUP($B13,'Fiyatlar'!$A:$I,9,FALSE),0)</f>
        <v/>
      </c>
      <c r="G13" s="5">
        <f>E13*F13</f>
        <v/>
      </c>
    </row>
    <row r="14" ht="14" customHeight="1">
      <c r="A14" s="25" t="n"/>
      <c r="B14" s="22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3" t="n">
        <v>1</v>
      </c>
      <c r="F14" s="24">
        <f>IFERROR(VLOOKUP($B14,'Fiyatlar'!$A:$I,9,FALSE),0)</f>
        <v/>
      </c>
      <c r="G14" s="5">
        <f>E14*F14</f>
        <v/>
      </c>
    </row>
    <row r="15" ht="22" customHeight="1">
      <c r="A15" s="25" t="n"/>
      <c r="B15" s="22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3" t="n">
        <v>1</v>
      </c>
      <c r="F15" s="24">
        <f>IFERROR(VLOOKUP($B15,'Fiyatlar'!$A:$I,9,FALSE),0)</f>
        <v/>
      </c>
      <c r="G15" s="5">
        <f>E15*F15</f>
        <v/>
      </c>
    </row>
    <row r="16" ht="14" customHeight="1">
      <c r="A16" s="25" t="n"/>
      <c r="B16" s="22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3" t="n">
        <v>1</v>
      </c>
      <c r="F16" s="24">
        <f>IFERROR(VLOOKUP($B16,'Fiyatlar'!$A:$I,9,FALSE),0)</f>
        <v/>
      </c>
      <c r="G16" s="5">
        <f>E16*F16</f>
        <v/>
      </c>
    </row>
    <row r="17" ht="14" customHeight="1">
      <c r="A17" s="25" t="n"/>
      <c r="B17" s="22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3" t="n">
        <v>2</v>
      </c>
      <c r="F17" s="24">
        <f>IFERROR(VLOOKUP($B17,'Fiyatlar'!$A:$I,9,FALSE),0)</f>
        <v/>
      </c>
      <c r="G17" s="5">
        <f>E17*F17</f>
        <v/>
      </c>
    </row>
    <row r="18" ht="14" customHeight="1">
      <c r="A18" s="25" t="n"/>
      <c r="B18" s="22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3" t="n">
        <v>50</v>
      </c>
      <c r="F18" s="24">
        <f>IFERROR(VLOOKUP($B18,'Fiyatlar'!$A:$I,9,FALSE),0)</f>
        <v/>
      </c>
      <c r="G18" s="5">
        <f>E18*F18</f>
        <v/>
      </c>
    </row>
    <row r="19" ht="14" customHeight="1">
      <c r="A19" s="25" t="n"/>
      <c r="B19" s="22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3" t="n">
        <v>50</v>
      </c>
      <c r="F19" s="24">
        <f>IFERROR(VLOOKUP($B19,'Fiyatlar'!$A:$I,9,FALSE),0)</f>
        <v/>
      </c>
      <c r="G19" s="5">
        <f>E19*F19</f>
        <v/>
      </c>
    </row>
    <row r="20" ht="14" customHeight="1">
      <c r="A20" s="25" t="n"/>
      <c r="B20" s="22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3" t="n">
        <v>4</v>
      </c>
      <c r="F20" s="24">
        <f>IFERROR(VLOOKUP($B20,'Fiyatlar'!$A:$I,9,FALSE),0)</f>
        <v/>
      </c>
      <c r="G20" s="5">
        <f>E20*F20</f>
        <v/>
      </c>
    </row>
    <row r="21" ht="14" customHeight="1">
      <c r="A21" s="26" t="n"/>
      <c r="B21" s="22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3" t="n">
        <v>4</v>
      </c>
      <c r="F21" s="24">
        <f>IFERROR(VLOOKUP($B21,'Fiyatlar'!$A:$I,9,FALSE),0)</f>
        <v/>
      </c>
      <c r="G21" s="5">
        <f>E21*F21</f>
        <v/>
      </c>
    </row>
    <row r="22">
      <c r="A22" s="11" t="n"/>
      <c r="B22" s="11" t="n"/>
      <c r="C22" s="27" t="inlineStr">
        <is>
          <t>TOPLAM (KDV hariç)</t>
        </is>
      </c>
      <c r="D22" s="11" t="n"/>
      <c r="E22" s="11" t="n"/>
      <c r="F22" s="11" t="n"/>
      <c r="G22" s="13">
        <f>SUM(G6:G21)</f>
        <v/>
      </c>
    </row>
  </sheetData>
  <mergeCells count="4">
    <mergeCell ref="A13:A21"/>
    <mergeCell ref="A11:A1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2026-08-28T05:55:14Z</dcterms:created>
  <dcterms:modified xmlns:dcterms="http://purl.org/dc/terms/" xmlns:xsi="http://www.w3.org/2001/XMLSchema-instance" xsi:type="dcterms:W3CDTF">2026-08-28T05:55:14Z</dcterms:modified>
</cp:coreProperties>
</file>