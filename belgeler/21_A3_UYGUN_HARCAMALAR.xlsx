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2 Hizmet Alımı" sheetId="4" state="visible" r:id="rId4"/>
    <sheet xmlns:r="http://schemas.openxmlformats.org/officeDocument/2006/relationships" name="A3.3 Görünürlük" sheetId="5" state="visible" r:id="rId5"/>
    <sheet xmlns:r="http://schemas.openxmlformats.org/officeDocument/2006/relationships" name="A3.4 Uygun Olmaya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0" fillId="2" borderId="1" pivotButton="0" quotePrefix="0" xfId="0"/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0" fillId="3" borderId="1" pivotButton="0" quotePrefix="0" xfId="0"/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İşleri'!H136</f>
        <v/>
      </c>
      <c r="C5" s="6">
        <f>B5/52.7585</f>
        <v/>
      </c>
      <c r="D5" s="7" t="inlineStr">
        <is>
          <t>8 münferit yapı için ayrı ayrı teklif alınmıştır</t>
        </is>
      </c>
    </row>
    <row r="6">
      <c r="A6" s="4" t="inlineStr">
        <is>
          <t>A3.1.2 Makine ve ekipman alımı</t>
        </is>
      </c>
      <c r="B6" s="5">
        <f>'A3.1.2 Makine-Ekipman'!G21</f>
        <v/>
      </c>
      <c r="C6" s="6">
        <f>B6/52.7585</f>
        <v/>
      </c>
      <c r="D6" s="7" t="inlineStr">
        <is>
          <t>20.000 Avro üzeri — üç ayrı tedarikçiden üç teklif zorunlu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TOPLAM YATIRIM (KDV hariç)</t>
        </is>
      </c>
      <c r="B9" s="9">
        <f>SUM(B5:B8)</f>
        <v/>
      </c>
      <c r="C9" s="10">
        <f>B9/52.7585</f>
        <v/>
      </c>
      <c r="D9" s="11" t="n"/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4" t="n"/>
    </row>
    <row r="11">
      <c r="A11" s="12" t="inlineStr">
        <is>
          <t>UYGUN HARCAMA</t>
        </is>
      </c>
      <c r="B11" s="13">
        <f>MIN(B9,B10)</f>
        <v/>
      </c>
      <c r="C11" s="14">
        <f>B11/52.7585</f>
        <v/>
      </c>
      <c r="D11" s="15" t="n"/>
    </row>
    <row r="12">
      <c r="A12" s="12" t="inlineStr">
        <is>
          <t>UYGUN OLMAYAN HARCAMA (öz kaynak)</t>
        </is>
      </c>
      <c r="B12" s="13">
        <f>B9-B11</f>
        <v/>
      </c>
      <c r="C12" s="14">
        <f>B12/52.7585</f>
        <v/>
      </c>
      <c r="D12" s="15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kazı yapılması — kümes A ve B blok</t>
        </is>
      </c>
      <c r="E5" s="19" t="inlineStr">
        <is>
          <t>m³</t>
        </is>
      </c>
      <c r="F5" s="20" t="n">
        <v>1684.39</v>
      </c>
      <c r="G5" s="5" t="n">
        <v>52.37</v>
      </c>
      <c r="H5" s="5">
        <f>F5*G5</f>
        <v/>
      </c>
    </row>
    <row r="6" ht="14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C 16/20 hazır beton dökülmesi — kümes temel altı grobeton</t>
        </is>
      </c>
      <c r="E6" s="19" t="inlineStr">
        <is>
          <t>m³</t>
        </is>
      </c>
      <c r="F6" s="20" t="n">
        <v>31.4285</v>
      </c>
      <c r="G6" s="5" t="n">
        <v>2750.45</v>
      </c>
      <c r="H6" s="5">
        <f>F6*G6</f>
        <v/>
      </c>
    </row>
    <row r="7" ht="2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C 25/30 hazır beton dökülmesi — kümes şerit temel ve bağ kirişleri</t>
        </is>
      </c>
      <c r="E7" s="19" t="inlineStr">
        <is>
          <t>m³</t>
        </is>
      </c>
      <c r="F7" s="20" t="n">
        <v>115.71</v>
      </c>
      <c r="G7" s="5" t="n">
        <v>2960.45</v>
      </c>
      <c r="H7" s="5">
        <f>F7*G7</f>
        <v/>
      </c>
    </row>
    <row r="8" ht="20" customHeight="1">
      <c r="A8" s="16" t="inlineStr">
        <is>
          <t>Betonarme işleri</t>
        </is>
      </c>
      <c r="B8" s="17" t="inlineStr">
        <is>
          <t>Kümes A Blok</t>
        </is>
      </c>
      <c r="C8" s="18" t="inlineStr">
        <is>
          <t>15.150.1005</t>
        </is>
      </c>
      <c r="D8" s="16" t="inlineStr">
        <is>
          <t>C 25/30 hazır beton dökülmesi — kümes zemin döşemeleri (15 cm)</t>
        </is>
      </c>
      <c r="E8" s="19" t="inlineStr">
        <is>
          <t>m³</t>
        </is>
      </c>
      <c r="F8" s="20" t="n">
        <v>162.63</v>
      </c>
      <c r="G8" s="5" t="n">
        <v>2960.45</v>
      </c>
      <c r="H8" s="5">
        <f>F8*G8</f>
        <v/>
      </c>
    </row>
    <row r="9" ht="14" customHeight="1">
      <c r="A9" s="16" t="inlineStr">
        <is>
          <t>Kalıp, yapı iskelesi işleri</t>
        </is>
      </c>
      <c r="B9" s="17" t="inlineStr">
        <is>
          <t>Kümes A Blok</t>
        </is>
      </c>
      <c r="C9" s="18" t="inlineStr">
        <is>
          <t>15.180.1003</t>
        </is>
      </c>
      <c r="D9" s="16" t="inlineStr">
        <is>
          <t>Plywood ile düz yüzeyli betonarme kalıbı — kümes temelleri</t>
        </is>
      </c>
      <c r="E9" s="19" t="inlineStr">
        <is>
          <t>m²</t>
        </is>
      </c>
      <c r="F9" s="20" t="n">
        <v>551.26</v>
      </c>
      <c r="G9" s="5" t="n">
        <v>863.8</v>
      </c>
      <c r="H9" s="5">
        <f>F9*G9</f>
        <v/>
      </c>
    </row>
    <row r="10" ht="14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15.160.1003</t>
        </is>
      </c>
      <c r="D10" s="16" t="inlineStr">
        <is>
          <t>Ø8-Ø12 nervürlü beton çelik çubuğu — kümes temelleri</t>
        </is>
      </c>
      <c r="E10" s="19" t="inlineStr">
        <is>
          <t>ton</t>
        </is>
      </c>
      <c r="F10" s="20" t="n">
        <v>4.1599</v>
      </c>
      <c r="G10" s="5" t="n">
        <v>39045.24</v>
      </c>
      <c r="H10" s="5">
        <f>F10*G10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15.160.1004</t>
        </is>
      </c>
      <c r="D11" s="16" t="inlineStr">
        <is>
          <t>Ø14-Ø28 nervürlü beton çelik çubuğu — kümes temelleri</t>
        </is>
      </c>
      <c r="E11" s="19" t="inlineStr">
        <is>
          <t>ton</t>
        </is>
      </c>
      <c r="F11" s="20" t="n">
        <v>7.2875</v>
      </c>
      <c r="G11" s="5" t="n">
        <v>37532.19</v>
      </c>
      <c r="H11" s="5">
        <f>F11*G11</f>
        <v/>
      </c>
    </row>
    <row r="12" ht="14" customHeight="1">
      <c r="A12" s="16" t="inlineStr">
        <is>
          <t>Demir-inşaat işleri</t>
        </is>
      </c>
      <c r="B12" s="17" t="inlineStr">
        <is>
          <t>Kümes A Blok</t>
        </is>
      </c>
      <c r="C12" s="18" t="inlineStr">
        <is>
          <t>15.160.1002</t>
        </is>
      </c>
      <c r="D12" s="16" t="inlineStr">
        <is>
          <t>Nervürlü çelik hasırın yerine konulması — kümes döşemeleri</t>
        </is>
      </c>
      <c r="E12" s="19" t="inlineStr">
        <is>
          <t>ton</t>
        </is>
      </c>
      <c r="F12" s="20" t="n">
        <v>3.6375</v>
      </c>
      <c r="G12" s="5" t="n">
        <v>36949.5</v>
      </c>
      <c r="H12" s="5">
        <f>F12*G12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15.165.1003</t>
        </is>
      </c>
      <c r="D13" s="16" t="inlineStr">
        <is>
          <t>Her çeşit profil, çelik çubuk ve saclarla karkas (çerçeve) inşaat yapılması, yerine tespiti — kümes çelik taşıyıcı sistemi</t>
        </is>
      </c>
      <c r="E13" s="19" t="inlineStr">
        <is>
          <t>ton</t>
        </is>
      </c>
      <c r="F13" s="20" t="n">
        <v>38.71</v>
      </c>
      <c r="G13" s="5" t="n">
        <v>72192.55</v>
      </c>
      <c r="H13" s="5">
        <f>F13*G13</f>
        <v/>
      </c>
    </row>
    <row r="14" ht="30" customHeight="1">
      <c r="A14" s="16" t="inlineStr">
        <is>
          <t>Çatı ve sundurma işleri</t>
        </is>
      </c>
      <c r="B14" s="17" t="inlineStr">
        <is>
          <t>Kümes A Blok</t>
        </is>
      </c>
      <c r="C14" s="18" t="inlineStr">
        <is>
          <t>TKDK-0042</t>
        </is>
      </c>
      <c r="D14" s="16" t="inlineStr">
        <is>
          <t>6 cm poliüretan dolgulu (üst min. 0,40 mm, alt min. 0,30 mm) boyalı galvanizli sac levhalar ile ısı yalıtımlı çatı kaplaması yapılması</t>
        </is>
      </c>
      <c r="E14" s="19" t="inlineStr">
        <is>
          <t>m²</t>
        </is>
      </c>
      <c r="F14" s="20" t="n">
        <v>1204.98</v>
      </c>
      <c r="G14" s="5" t="n">
        <v>1364.72</v>
      </c>
      <c r="H14" s="5">
        <f>F14*G14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15.225.1010</t>
        </is>
      </c>
      <c r="D15" s="16" t="inlineStr">
        <is>
          <t>20 cm kalınlığındaki teçhizatsız gazbeton duvar blokları ile duvar yapılması (gazbeton tutkalı ile) — cephe duvarı</t>
        </is>
      </c>
      <c r="E15" s="19" t="inlineStr">
        <is>
          <t>m²</t>
        </is>
      </c>
      <c r="F15" s="20" t="n">
        <v>507.91</v>
      </c>
      <c r="G15" s="5" t="n">
        <v>929.28</v>
      </c>
      <c r="H15" s="5">
        <f>F15*G15</f>
        <v/>
      </c>
    </row>
    <row r="16" ht="20" customHeight="1">
      <c r="A16" s="16" t="inlineStr">
        <is>
          <t>Tuğla ve duvar işleri</t>
        </is>
      </c>
      <c r="B16" s="17" t="inlineStr">
        <is>
          <t>Kümes A Blok</t>
        </is>
      </c>
      <c r="C16" s="18" t="inlineStr">
        <is>
          <t>15.225.1410</t>
        </is>
      </c>
      <c r="D16" s="16" t="inlineStr">
        <is>
          <t>20 cm kalınlığındaki teçhizatlı gazbeton lento temini ve yerine konulması — boşluk üstü lento ve yatay hatıl</t>
        </is>
      </c>
      <c r="E16" s="19" t="inlineStr">
        <is>
          <t>m²</t>
        </is>
      </c>
      <c r="F16" s="20" t="n">
        <v>49.85</v>
      </c>
      <c r="G16" s="5" t="n">
        <v>1777.52</v>
      </c>
      <c r="H16" s="5">
        <f>F16*G16</f>
        <v/>
      </c>
    </row>
    <row r="17" ht="20" customHeight="1">
      <c r="A17" s="16" t="inlineStr">
        <is>
          <t>Sıva, alçı, derz ve şap işleri</t>
        </is>
      </c>
      <c r="B17" s="17" t="inlineStr">
        <is>
          <t>Kümes A Blok</t>
        </is>
      </c>
      <c r="C17" s="18" t="inlineStr">
        <is>
          <t>15.275.1116</t>
        </is>
      </c>
      <c r="D17" s="16" t="inlineStr">
        <is>
          <t>250 kg çimento dozlu harç ile kaba sıva yapılması — cephe duvarı dış yüzü</t>
        </is>
      </c>
      <c r="E17" s="19" t="inlineStr">
        <is>
          <t>m²</t>
        </is>
      </c>
      <c r="F17" s="20" t="n">
        <v>557.76</v>
      </c>
      <c r="G17" s="5" t="n">
        <v>372.55</v>
      </c>
      <c r="H17" s="5">
        <f>F17*G17</f>
        <v/>
      </c>
    </row>
    <row r="18" ht="20" customHeight="1">
      <c r="A18" s="16" t="inlineStr">
        <is>
          <t>Sıva, alçı, derz ve şap işleri</t>
        </is>
      </c>
      <c r="B18" s="17" t="inlineStr">
        <is>
          <t>Kümes A Blok</t>
        </is>
      </c>
      <c r="C18" s="18" t="inlineStr">
        <is>
          <t>15.275.1117</t>
        </is>
      </c>
      <c r="D18" s="16" t="inlineStr">
        <is>
          <t>200 kg çimento ve kireç karışımı harç ile kaba sıva yapılması (iç cephe) — cephe duvarı iç yüzü</t>
        </is>
      </c>
      <c r="E18" s="19" t="inlineStr">
        <is>
          <t>m²</t>
        </is>
      </c>
      <c r="F18" s="20" t="n">
        <v>557.76</v>
      </c>
      <c r="G18" s="5" t="n">
        <v>381.49</v>
      </c>
      <c r="H18" s="5">
        <f>F18*G18</f>
        <v/>
      </c>
    </row>
    <row r="19" ht="20" customHeight="1">
      <c r="A19" s="16" t="inlineStr">
        <is>
          <t>Boya, badana ve cila işleri</t>
        </is>
      </c>
      <c r="B19" s="17" t="inlineStr">
        <is>
          <t>Kümes A Blok</t>
        </is>
      </c>
      <c r="C19" s="18" t="inlineStr">
        <is>
          <t>15.540.1606</t>
        </is>
      </c>
      <c r="D19" s="16" t="inlineStr">
        <is>
          <t>Brüt beton, sıvalı veya eski boyalı yüzeylere astar uygulanarak silikon esaslı su bazlı dış cephe boyası</t>
        </is>
      </c>
      <c r="E19" s="19" t="inlineStr">
        <is>
          <t>m²</t>
        </is>
      </c>
      <c r="F19" s="20" t="n">
        <v>557.76</v>
      </c>
      <c r="G19" s="5" t="n">
        <v>324.27</v>
      </c>
      <c r="H19" s="5">
        <f>F19*G19</f>
        <v/>
      </c>
    </row>
    <row r="20" ht="20" customHeight="1">
      <c r="A20" s="16" t="inlineStr">
        <is>
          <t>Boya, badana ve cila işleri</t>
        </is>
      </c>
      <c r="B20" s="17" t="inlineStr">
        <is>
          <t>Kümes A Blok</t>
        </is>
      </c>
      <c r="C20" s="18" t="inlineStr">
        <is>
          <t>15.540.1537</t>
        </is>
      </c>
      <c r="D20" s="16" t="inlineStr">
        <is>
          <t>Yeni sıva yüzeylere astar uygulanarak iki kat su bazlı plastik antibakteriyel iç cephe boyası</t>
        </is>
      </c>
      <c r="E20" s="19" t="inlineStr">
        <is>
          <t>m²</t>
        </is>
      </c>
      <c r="F20" s="20" t="n">
        <v>557.76</v>
      </c>
      <c r="G20" s="5" t="n">
        <v>248.75</v>
      </c>
      <c r="H20" s="5">
        <f>F20*G20</f>
        <v/>
      </c>
    </row>
    <row r="21" ht="20" customHeight="1">
      <c r="A21" s="16" t="inlineStr">
        <is>
          <t>Çelik yapım-imalat işleri</t>
        </is>
      </c>
      <c r="B21" s="17" t="inlineStr">
        <is>
          <t>Kümes A Blok</t>
        </is>
      </c>
      <c r="C21" s="18" t="inlineStr">
        <is>
          <t>15.550.1202</t>
        </is>
      </c>
      <c r="D21" s="16" t="inlineStr">
        <is>
          <t>Lama ve profil demirlerden mahya, saçak ve köşe kapama profilleri</t>
        </is>
      </c>
      <c r="E21" s="19" t="inlineStr">
        <is>
          <t>kg</t>
        </is>
      </c>
      <c r="F21" s="20" t="n">
        <v>674</v>
      </c>
      <c r="G21" s="5" t="n">
        <v>147.67</v>
      </c>
      <c r="H21" s="5">
        <f>F21*G21</f>
        <v/>
      </c>
    </row>
    <row r="22" ht="14" customHeight="1">
      <c r="A22" s="16" t="inlineStr">
        <is>
          <t>Çatı ve sundurma işleri</t>
        </is>
      </c>
      <c r="B22" s="17" t="inlineStr">
        <is>
          <t>Kümes A Blok</t>
        </is>
      </c>
      <c r="C22" s="18" t="inlineStr">
        <is>
          <t>TKDK-0115</t>
        </is>
      </c>
      <c r="D22" s="16" t="inlineStr">
        <is>
          <t>Galvanizli düz sacdan yağmur oluğu yapılması — dere</t>
        </is>
      </c>
      <c r="E22" s="19" t="inlineStr">
        <is>
          <t>kg</t>
        </is>
      </c>
      <c r="F22" s="20" t="n">
        <v>319.2</v>
      </c>
      <c r="G22" s="5" t="n">
        <v>227.85</v>
      </c>
      <c r="H22" s="5">
        <f>F22*G22</f>
        <v/>
      </c>
    </row>
    <row r="23" ht="14" customHeight="1">
      <c r="A23" s="16" t="inlineStr">
        <is>
          <t>Çatı ve sundurma işleri</t>
        </is>
      </c>
      <c r="B23" s="17" t="inlineStr">
        <is>
          <t>Kümes A Blok</t>
        </is>
      </c>
      <c r="C23" s="18" t="inlineStr">
        <is>
          <t>TKDK-0115</t>
        </is>
      </c>
      <c r="D23" s="16" t="inlineStr">
        <is>
          <t>Galvanizli düz sacdan iniş borusu yapılması — ø100</t>
        </is>
      </c>
      <c r="E23" s="19" t="inlineStr">
        <is>
          <t>kg</t>
        </is>
      </c>
      <c r="F23" s="20" t="n">
        <v>40.96</v>
      </c>
      <c r="G23" s="5" t="n">
        <v>227.85</v>
      </c>
      <c r="H23" s="5">
        <f>F23*G23</f>
        <v/>
      </c>
    </row>
    <row r="24" ht="20" customHeight="1">
      <c r="A24" s="16" t="inlineStr">
        <is>
          <t>Doğramacılık işleri (Demir, Alüminyum, PVC, Kompozit)</t>
        </is>
      </c>
      <c r="B24" s="17" t="inlineStr">
        <is>
          <t>Kümes A Blok</t>
        </is>
      </c>
      <c r="C24" s="18" t="inlineStr">
        <is>
          <t>TKDK-0151</t>
        </is>
      </c>
      <c r="D24" s="16" t="inlineStr">
        <is>
          <t>5 cm poliüretan dolgulu panel ile ısı yalıtımlı kapı yapılması — kümes servis kapısı 100/220</t>
        </is>
      </c>
      <c r="E24" s="19" t="inlineStr">
        <is>
          <t>m²</t>
        </is>
      </c>
      <c r="F24" s="20" t="n">
        <v>4.4</v>
      </c>
      <c r="G24" s="5" t="n">
        <v>870.14</v>
      </c>
      <c r="H24" s="5">
        <f>F24*G24</f>
        <v/>
      </c>
    </row>
    <row r="25" ht="20" customHeight="1">
      <c r="A25" s="16" t="inlineStr">
        <is>
          <t>Doğramacılık işleri (Demir, Alüminyum, PVC, Kompozit)</t>
        </is>
      </c>
      <c r="B25" s="17" t="inlineStr">
        <is>
          <t>Kümes A Blok</t>
        </is>
      </c>
      <c r="C25" s="18" t="inlineStr">
        <is>
          <t>TKDK-0151</t>
        </is>
      </c>
      <c r="D25" s="16" t="inlineStr">
        <is>
          <t>5 cm poliüretan dolgulu panel ile ısı yalıtımlı kapı yapılması — yükleme/temizlik kapısı 300/300 sürgülü</t>
        </is>
      </c>
      <c r="E25" s="19" t="inlineStr">
        <is>
          <t>m²</t>
        </is>
      </c>
      <c r="F25" s="20" t="n">
        <v>9</v>
      </c>
      <c r="G25" s="5" t="n">
        <v>870.14</v>
      </c>
      <c r="H25" s="5">
        <f>F25*G25</f>
        <v/>
      </c>
    </row>
    <row r="26" ht="20" customHeight="1">
      <c r="A26" s="16" t="inlineStr">
        <is>
          <t>Tuğla ve duvar işleri</t>
        </is>
      </c>
      <c r="B26" s="17" t="inlineStr">
        <is>
          <t>Kümes A Blok</t>
        </is>
      </c>
      <c r="C26" s="18" t="inlineStr">
        <is>
          <t>15.225.1004</t>
        </is>
      </c>
      <c r="D26" s="16" t="inlineStr">
        <is>
          <t>10 cm kalınlığındaki teçhizatsız gazbeton duvar blokları ile bölme duvar yapılması — servis bölümü</t>
        </is>
      </c>
      <c r="E26" s="19" t="inlineStr">
        <is>
          <t>m²</t>
        </is>
      </c>
      <c r="F26" s="20" t="n">
        <v>45</v>
      </c>
      <c r="G26" s="5" t="n">
        <v>607.9299999999999</v>
      </c>
      <c r="H26" s="5">
        <f>F26*G26</f>
        <v/>
      </c>
    </row>
    <row r="27" ht="20" customHeight="1">
      <c r="A27" s="16" t="inlineStr">
        <is>
          <t>Sıva, alçı, derz ve şap işleri</t>
        </is>
      </c>
      <c r="B27" s="17" t="inlineStr">
        <is>
          <t>Kümes A Blok</t>
        </is>
      </c>
      <c r="C27" s="18" t="inlineStr">
        <is>
          <t>15.275.1117</t>
        </is>
      </c>
      <c r="D27" s="16" t="inlineStr">
        <is>
          <t>200 kg çimento ve kireç karışımı harç ile kaba sıva yapılması — servis bölümü bölme duvarları</t>
        </is>
      </c>
      <c r="E27" s="19" t="inlineStr">
        <is>
          <t>m²</t>
        </is>
      </c>
      <c r="F27" s="20" t="n">
        <v>90</v>
      </c>
      <c r="G27" s="5" t="n">
        <v>381.49</v>
      </c>
      <c r="H27" s="5">
        <f>F27*G27</f>
        <v/>
      </c>
    </row>
    <row r="28" ht="20" customHeight="1">
      <c r="A28" s="16" t="inlineStr">
        <is>
          <t>İnce yapı ve tamamlayıcı imalatlar</t>
        </is>
      </c>
      <c r="B28" s="17" t="inlineStr">
        <is>
          <t>Kümes A Blok</t>
        </is>
      </c>
      <c r="C28" s="18" t="inlineStr">
        <is>
          <t>TKDK-0177</t>
        </is>
      </c>
      <c r="D28" s="16" t="inlineStr">
        <is>
          <t>Duvar karosu ile 3 mm derz aralıklı döşeme ve duvar kaplaması yapılması — servis bölümü</t>
        </is>
      </c>
      <c r="E28" s="19" t="inlineStr">
        <is>
          <t>m²</t>
        </is>
      </c>
      <c r="F28" s="20" t="n">
        <v>60</v>
      </c>
      <c r="G28" s="5" t="n">
        <v>701.48</v>
      </c>
      <c r="H28" s="5">
        <f>F28*G28</f>
        <v/>
      </c>
    </row>
    <row r="29" ht="20" customHeight="1">
      <c r="A29" s="16" t="inlineStr">
        <is>
          <t>Boya, badana ve cila işleri</t>
        </is>
      </c>
      <c r="B29" s="17" t="inlineStr">
        <is>
          <t>Kümes A Blok</t>
        </is>
      </c>
      <c r="C29" s="18" t="inlineStr">
        <is>
          <t>15.540.1537</t>
        </is>
      </c>
      <c r="D29" s="16" t="inlineStr">
        <is>
          <t>Yeni sıva yüzeylere astar uygulanarak iki kat su bazlı plastik antibakteriyel boya — servis bölümü</t>
        </is>
      </c>
      <c r="E29" s="19" t="inlineStr">
        <is>
          <t>m²</t>
        </is>
      </c>
      <c r="F29" s="20" t="n">
        <v>55</v>
      </c>
      <c r="G29" s="5" t="n">
        <v>248.75</v>
      </c>
      <c r="H29" s="5">
        <f>F29*G29</f>
        <v/>
      </c>
    </row>
    <row r="30" ht="20" customHeight="1">
      <c r="A30" s="16" t="inlineStr">
        <is>
          <t>Doğramacılık işleri (Demir, Alüminyum, PVC, Kompozit)</t>
        </is>
      </c>
      <c r="B30" s="17" t="inlineStr">
        <is>
          <t>Kümes A Blok</t>
        </is>
      </c>
      <c r="C30" s="18" t="inlineStr">
        <is>
          <t>TKDK-0175</t>
        </is>
      </c>
      <c r="D30" s="16" t="inlineStr">
        <is>
          <t>PVC kaplamalı MDF presli iç kapı kanadı yapılması, yerinde takılması — servis bölümü</t>
        </is>
      </c>
      <c r="E30" s="19" t="inlineStr">
        <is>
          <t>m²</t>
        </is>
      </c>
      <c r="F30" s="20" t="n">
        <v>5.67</v>
      </c>
      <c r="G30" s="5" t="n">
        <v>2687.73</v>
      </c>
      <c r="H30" s="5">
        <f>F30*G30</f>
        <v/>
      </c>
    </row>
    <row r="31" ht="20" customHeight="1">
      <c r="A31" s="16" t="inlineStr">
        <is>
          <t>Doğramacılık işleri (Demir, Alüminyum, PVC, Kompozit)</t>
        </is>
      </c>
      <c r="B31" s="17" t="inlineStr">
        <is>
          <t>Kümes A Blok</t>
        </is>
      </c>
      <c r="C31" s="18" t="inlineStr">
        <is>
          <t>15.550.1002</t>
        </is>
      </c>
      <c r="D31" s="16" t="inlineStr">
        <is>
          <t>1,50 mm sacdan bükme kapı kasası yapılması ve yerine konulması — servis bölümü iç kapıları</t>
        </is>
      </c>
      <c r="E31" s="19" t="inlineStr">
        <is>
          <t>kg</t>
        </is>
      </c>
      <c r="F31" s="20" t="n">
        <v>54.315</v>
      </c>
      <c r="G31" s="5" t="n">
        <v>183.57</v>
      </c>
      <c r="H31" s="5">
        <f>F31*G31</f>
        <v/>
      </c>
    </row>
    <row r="32" ht="20" customHeight="1">
      <c r="A32" s="16" t="inlineStr">
        <is>
          <t>Kanalizasyon işleri</t>
        </is>
      </c>
      <c r="B32" s="17" t="inlineStr">
        <is>
          <t>Kümes A Blok</t>
        </is>
      </c>
      <c r="C32" s="18" t="inlineStr">
        <is>
          <t>43.527.1001</t>
        </is>
      </c>
      <c r="D32" s="16" t="inlineStr">
        <is>
          <t>ø150 HDPE koruge boru ile pissu hattı döşenmesi (SN 8, lastik conta ve boru bedeli dahil)</t>
        </is>
      </c>
      <c r="E32" s="19" t="inlineStr">
        <is>
          <t>m</t>
        </is>
      </c>
      <c r="F32" s="20" t="n">
        <v>25</v>
      </c>
      <c r="G32" s="5" t="n">
        <v>330.7</v>
      </c>
      <c r="H32" s="5">
        <f>F32*G32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30.100.2105</t>
        </is>
      </c>
      <c r="D33" s="16" t="inlineStr">
        <is>
          <t>Kümes dağıtım panosu (sıva üstü galvanizli sac tablo, 0,40-0,50 m²)</t>
        </is>
      </c>
      <c r="E33" s="19" t="inlineStr">
        <is>
          <t>ad</t>
        </is>
      </c>
      <c r="F33" s="20" t="n">
        <v>1</v>
      </c>
      <c r="G33" s="5" t="n">
        <v>9209.41</v>
      </c>
      <c r="H33" s="5">
        <f>F33*G33</f>
        <v/>
      </c>
    </row>
    <row r="34" ht="20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30.110.1102</t>
        </is>
      </c>
      <c r="D34" s="16" t="inlineStr">
        <is>
          <t>Termik-manyetik kompakt şalter 3x100 A, Icu 35 kA — kümes besleme</t>
        </is>
      </c>
      <c r="E34" s="19" t="inlineStr">
        <is>
          <t>ad</t>
        </is>
      </c>
      <c r="F34" s="20" t="n">
        <v>1</v>
      </c>
      <c r="G34" s="5" t="n">
        <v>4586.47</v>
      </c>
      <c r="H34" s="5">
        <f>F34*G34</f>
        <v/>
      </c>
    </row>
    <row r="35" ht="14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30.115.1003</t>
        </is>
      </c>
      <c r="D35" s="16" t="inlineStr">
        <is>
          <t>Kaçak akım koruma şalteri 2x63 A, 30 mA</t>
        </is>
      </c>
      <c r="E35" s="19" t="inlineStr">
        <is>
          <t>ad</t>
        </is>
      </c>
      <c r="F35" s="20" t="n">
        <v>2</v>
      </c>
      <c r="G35" s="5" t="n">
        <v>1402.96</v>
      </c>
      <c r="H35" s="5">
        <f>F35*G35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30.140.3104</t>
        </is>
      </c>
      <c r="D36" s="16" t="inlineStr">
        <is>
          <t>YVV (NYY) 1 kV yeraltı kablosu ile kolon hattı tesisi — 1x25 mm²</t>
        </is>
      </c>
      <c r="E36" s="19" t="inlineStr">
        <is>
          <t>m</t>
        </is>
      </c>
      <c r="F36" s="20" t="n">
        <v>300</v>
      </c>
      <c r="G36" s="5" t="n">
        <v>260.01</v>
      </c>
      <c r="H36" s="5">
        <f>F36*G36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30.170.1602</t>
        </is>
      </c>
      <c r="D37" s="16" t="inlineStr">
        <is>
          <t>LED sıva üstü etanj armatür (polikarbon gövdeli), ışık akısı en az 2700 lm — kümes genel aydınlatması</t>
        </is>
      </c>
      <c r="E37" s="19" t="inlineStr">
        <is>
          <t>ad</t>
        </is>
      </c>
      <c r="F37" s="20" t="n">
        <v>30</v>
      </c>
      <c r="G37" s="5" t="n">
        <v>2594.89</v>
      </c>
      <c r="H37" s="5">
        <f>F37*G37</f>
        <v/>
      </c>
    </row>
    <row r="38" ht="20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30.170.1601</t>
        </is>
      </c>
      <c r="D38" s="16" t="inlineStr">
        <is>
          <t>LED sıva üstü etanj armatür (polikarbon gövdeli), ışık akısı en az 1800 lm — servis bölümü</t>
        </is>
      </c>
      <c r="E38" s="19" t="inlineStr">
        <is>
          <t>ad</t>
        </is>
      </c>
      <c r="F38" s="20" t="n">
        <v>2</v>
      </c>
      <c r="G38" s="5" t="n">
        <v>1782.25</v>
      </c>
      <c r="H38" s="5">
        <f>F38*G38</f>
        <v/>
      </c>
    </row>
    <row r="39" ht="14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30.160.6102</t>
        </is>
      </c>
      <c r="D39" s="16" t="inlineStr">
        <is>
          <t>Boş boru döşemesi — 25-32 mm PVC boru</t>
        </is>
      </c>
      <c r="E39" s="19" t="inlineStr">
        <is>
          <t>m</t>
        </is>
      </c>
      <c r="F39" s="20" t="n">
        <v>500</v>
      </c>
      <c r="G39" s="5" t="n">
        <v>37.77</v>
      </c>
      <c r="H39" s="5">
        <f>F39*G39</f>
        <v/>
      </c>
    </row>
    <row r="40" ht="14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30.150.1402</t>
        </is>
      </c>
      <c r="D40" s="16" t="inlineStr">
        <is>
          <t>Halojensiz H07Z tipi iletken 1x2,5 mm² ile tesisat</t>
        </is>
      </c>
      <c r="E40" s="19" t="inlineStr">
        <is>
          <t>m</t>
        </is>
      </c>
      <c r="F40" s="20" t="n">
        <v>2000</v>
      </c>
      <c r="G40" s="5" t="n">
        <v>25.35</v>
      </c>
      <c r="H40" s="5">
        <f>F40*G40</f>
        <v/>
      </c>
    </row>
    <row r="41" ht="14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30.150.1401</t>
        </is>
      </c>
      <c r="D41" s="16" t="inlineStr">
        <is>
          <t>Halojensiz H07Z tipi iletken 1x1,5 mm² ile kumanda tesisatı</t>
        </is>
      </c>
      <c r="E41" s="19" t="inlineStr">
        <is>
          <t>m</t>
        </is>
      </c>
      <c r="F41" s="20" t="n">
        <v>600</v>
      </c>
      <c r="G41" s="5" t="n">
        <v>15.88</v>
      </c>
      <c r="H41" s="5">
        <f>F41*G41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30.140.1105</t>
        </is>
      </c>
      <c r="D42" s="16" t="inlineStr">
        <is>
          <t>Çıplak bakır tel 25 mm² — eşpotansiyel bara ve topraklama iletkeni</t>
        </is>
      </c>
      <c r="E42" s="19" t="inlineStr">
        <is>
          <t>m</t>
        </is>
      </c>
      <c r="F42" s="20" t="n">
        <v>100</v>
      </c>
      <c r="G42" s="5" t="n">
        <v>204.16</v>
      </c>
      <c r="H42" s="5">
        <f>F42*G42</f>
        <v/>
      </c>
    </row>
    <row r="43" ht="20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30.750.3002</t>
        </is>
      </c>
      <c r="D43" s="16" t="inlineStr">
        <is>
          <t>Bina ihata iletkeni tesisatı — 30x3,5 mm galvanizli çelik lama (temel topraklaması)</t>
        </is>
      </c>
      <c r="E43" s="19" t="inlineStr">
        <is>
          <t>m</t>
        </is>
      </c>
      <c r="F43" s="20" t="n">
        <v>186</v>
      </c>
      <c r="G43" s="5" t="n">
        <v>150.75</v>
      </c>
      <c r="H43" s="5">
        <f>F43*G43</f>
        <v/>
      </c>
    </row>
    <row r="44" ht="14" customHeight="1">
      <c r="A44" s="16" t="inlineStr">
        <is>
          <t>Elektrik tesisatı ve aydınlatma</t>
        </is>
      </c>
      <c r="B44" s="17" t="inlineStr">
        <is>
          <t>Kümes A Blok</t>
        </is>
      </c>
      <c r="C44" s="18" t="inlineStr">
        <is>
          <t>30.750.1502</t>
        </is>
      </c>
      <c r="D44" s="16" t="inlineStr">
        <is>
          <t>Aktif yakalama ucu, ortalama uyarım yolu DL = 30-40 m</t>
        </is>
      </c>
      <c r="E44" s="19" t="inlineStr">
        <is>
          <t>ad</t>
        </is>
      </c>
      <c r="F44" s="20" t="n">
        <v>1</v>
      </c>
      <c r="G44" s="5" t="n">
        <v>20274.29</v>
      </c>
      <c r="H44" s="5">
        <f>F44*G44</f>
        <v/>
      </c>
    </row>
    <row r="45" ht="2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30.750.2001</t>
        </is>
      </c>
      <c r="D45" s="16" t="inlineStr">
        <is>
          <t>Çatı ihata ve indirme iletkeni tesisatı — 50 mm² elektrolitik bakır tel</t>
        </is>
      </c>
      <c r="E45" s="19" t="inlineStr">
        <is>
          <t>m</t>
        </is>
      </c>
      <c r="F45" s="20" t="n">
        <v>16</v>
      </c>
      <c r="G45" s="5" t="n">
        <v>554.74</v>
      </c>
      <c r="H45" s="5">
        <f>F45*G45</f>
        <v/>
      </c>
    </row>
    <row r="46" ht="20" customHeight="1">
      <c r="A46" s="16" t="inlineStr">
        <is>
          <t>Elektrik tesisatı ve aydınlatma</t>
        </is>
      </c>
      <c r="B46" s="17" t="inlineStr">
        <is>
          <t>Kümes A Blok</t>
        </is>
      </c>
      <c r="C46" s="18" t="inlineStr">
        <is>
          <t>30.740.1106</t>
        </is>
      </c>
      <c r="D46" s="16" t="inlineStr">
        <is>
          <t>Dizel elektrojen grubu (jeneratör) 63 kVA / 50 kW — dizel motoru su veya hava ile soğuyan cinsten, 1500 d/dak</t>
        </is>
      </c>
      <c r="E46" s="19" t="inlineStr">
        <is>
          <t>ad</t>
        </is>
      </c>
      <c r="F46" s="20" t="n">
        <v>1</v>
      </c>
      <c r="G46" s="5" t="n">
        <v>607554.0699999999</v>
      </c>
      <c r="H46" s="5">
        <f>F46*G46</f>
        <v/>
      </c>
    </row>
    <row r="47" ht="14" customHeight="1">
      <c r="A47" s="16" t="inlineStr">
        <is>
          <t>Elektrik tesisatı ve aydınlatma</t>
        </is>
      </c>
      <c r="B47" s="17" t="inlineStr">
        <is>
          <t>Kümes A Blok</t>
        </is>
      </c>
      <c r="C47" s="18" t="inlineStr">
        <is>
          <t>30.740.5406</t>
        </is>
      </c>
      <c r="D47" s="16" t="inlineStr">
        <is>
          <t>Jeneratör ses izolasyon kabini — 63 kVA</t>
        </is>
      </c>
      <c r="E47" s="19" t="inlineStr">
        <is>
          <t>ad</t>
        </is>
      </c>
      <c r="F47" s="20" t="n">
        <v>1</v>
      </c>
      <c r="G47" s="5" t="n">
        <v>103549.61</v>
      </c>
      <c r="H47" s="5">
        <f>F47*G47</f>
        <v/>
      </c>
    </row>
    <row r="48" ht="14" customHeight="1">
      <c r="A48" s="16" t="inlineStr">
        <is>
          <t>Elektrik tesisatı ve aydınlatma</t>
        </is>
      </c>
      <c r="B48" s="17" t="inlineStr">
        <is>
          <t>Kümes A Blok</t>
        </is>
      </c>
      <c r="C48" s="18" t="inlineStr">
        <is>
          <t>30.120.2016</t>
        </is>
      </c>
      <c r="D48" s="16" t="inlineStr">
        <is>
          <t>Otomatik transfer şalteri 4 x 200 A — şebeke/jeneratör geçişi</t>
        </is>
      </c>
      <c r="E48" s="19" t="inlineStr">
        <is>
          <t>ad</t>
        </is>
      </c>
      <c r="F48" s="20" t="n">
        <v>1</v>
      </c>
      <c r="G48" s="5" t="n">
        <v>50107.49</v>
      </c>
      <c r="H48" s="5">
        <f>F48*G48</f>
        <v/>
      </c>
    </row>
    <row r="49" ht="14" customHeight="1">
      <c r="A49" s="16" t="inlineStr">
        <is>
          <t>Kazı, dolgu ve reglaj işleri</t>
        </is>
      </c>
      <c r="B49" s="17" t="inlineStr">
        <is>
          <t>Kümes B Blok</t>
        </is>
      </c>
      <c r="C49" s="18" t="inlineStr">
        <is>
          <t>15.120.1001</t>
        </is>
      </c>
      <c r="D49" s="16" t="inlineStr">
        <is>
          <t>Makine ile kazı yapılması — kümes A ve B blok</t>
        </is>
      </c>
      <c r="E49" s="19" t="inlineStr">
        <is>
          <t>m³</t>
        </is>
      </c>
      <c r="F49" s="20" t="n">
        <v>1684.38</v>
      </c>
      <c r="G49" s="5" t="n">
        <v>52.37</v>
      </c>
      <c r="H49" s="5">
        <f>F49*G49</f>
        <v/>
      </c>
    </row>
    <row r="50" ht="14" customHeight="1">
      <c r="A50" s="16" t="inlineStr">
        <is>
          <t>Beton işleri</t>
        </is>
      </c>
      <c r="B50" s="17" t="inlineStr">
        <is>
          <t>Kümes B Blok</t>
        </is>
      </c>
      <c r="C50" s="18" t="inlineStr">
        <is>
          <t>15.150.1003</t>
        </is>
      </c>
      <c r="D50" s="16" t="inlineStr">
        <is>
          <t>C 16/20 hazır beton dökülmesi — kümes temel altı grobeton</t>
        </is>
      </c>
      <c r="E50" s="19" t="inlineStr">
        <is>
          <t>m³</t>
        </is>
      </c>
      <c r="F50" s="20" t="n">
        <v>31.4285</v>
      </c>
      <c r="G50" s="5" t="n">
        <v>2750.45</v>
      </c>
      <c r="H50" s="5">
        <f>F50*G50</f>
        <v/>
      </c>
    </row>
    <row r="51" ht="20" customHeight="1">
      <c r="A51" s="16" t="inlineStr">
        <is>
          <t>Betonarme işleri</t>
        </is>
      </c>
      <c r="B51" s="17" t="inlineStr">
        <is>
          <t>Kümes B Blok</t>
        </is>
      </c>
      <c r="C51" s="18" t="inlineStr">
        <is>
          <t>15.150.1005</t>
        </is>
      </c>
      <c r="D51" s="16" t="inlineStr">
        <is>
          <t>C 25/30 hazır beton dökülmesi — kümes şerit temel ve bağ kirişleri</t>
        </is>
      </c>
      <c r="E51" s="19" t="inlineStr">
        <is>
          <t>m³</t>
        </is>
      </c>
      <c r="F51" s="20" t="n">
        <v>115.71</v>
      </c>
      <c r="G51" s="5" t="n">
        <v>2960.45</v>
      </c>
      <c r="H51" s="5">
        <f>F51*G51</f>
        <v/>
      </c>
    </row>
    <row r="52" ht="20" customHeight="1">
      <c r="A52" s="16" t="inlineStr">
        <is>
          <t>Betonarme işleri</t>
        </is>
      </c>
      <c r="B52" s="17" t="inlineStr">
        <is>
          <t>Kümes B Blok</t>
        </is>
      </c>
      <c r="C52" s="18" t="inlineStr">
        <is>
          <t>15.150.1005</t>
        </is>
      </c>
      <c r="D52" s="16" t="inlineStr">
        <is>
          <t>C 25/30 hazır beton dökülmesi — kümes zemin döşemeleri (15 cm)</t>
        </is>
      </c>
      <c r="E52" s="19" t="inlineStr">
        <is>
          <t>m³</t>
        </is>
      </c>
      <c r="F52" s="20" t="n">
        <v>162.63</v>
      </c>
      <c r="G52" s="5" t="n">
        <v>2960.45</v>
      </c>
      <c r="H52" s="5">
        <f>F52*G52</f>
        <v/>
      </c>
    </row>
    <row r="53" ht="14" customHeight="1">
      <c r="A53" s="16" t="inlineStr">
        <is>
          <t>Kalıp, yapı iskelesi işleri</t>
        </is>
      </c>
      <c r="B53" s="17" t="inlineStr">
        <is>
          <t>Kümes B Blok</t>
        </is>
      </c>
      <c r="C53" s="18" t="inlineStr">
        <is>
          <t>15.180.1003</t>
        </is>
      </c>
      <c r="D53" s="16" t="inlineStr">
        <is>
          <t>Plywood ile düz yüzeyli betonarme kalıbı — kümes temelleri</t>
        </is>
      </c>
      <c r="E53" s="19" t="inlineStr">
        <is>
          <t>m²</t>
        </is>
      </c>
      <c r="F53" s="20" t="n">
        <v>551.26</v>
      </c>
      <c r="G53" s="5" t="n">
        <v>863.8</v>
      </c>
      <c r="H53" s="5">
        <f>F53*G53</f>
        <v/>
      </c>
    </row>
    <row r="54" ht="14" customHeight="1">
      <c r="A54" s="16" t="inlineStr">
        <is>
          <t>Demir-inşaat işleri</t>
        </is>
      </c>
      <c r="B54" s="17" t="inlineStr">
        <is>
          <t>Kümes B Blok</t>
        </is>
      </c>
      <c r="C54" s="18" t="inlineStr">
        <is>
          <t>15.160.1003</t>
        </is>
      </c>
      <c r="D54" s="16" t="inlineStr">
        <is>
          <t>Ø8-Ø12 nervürlü beton çelik çubuğu — kümes temelleri</t>
        </is>
      </c>
      <c r="E54" s="19" t="inlineStr">
        <is>
          <t>ton</t>
        </is>
      </c>
      <c r="F54" s="20" t="n">
        <v>4.1599</v>
      </c>
      <c r="G54" s="5" t="n">
        <v>39045.24</v>
      </c>
      <c r="H54" s="5">
        <f>F54*G54</f>
        <v/>
      </c>
    </row>
    <row r="55" ht="14" customHeight="1">
      <c r="A55" s="16" t="inlineStr">
        <is>
          <t>Demir-inşaat işleri</t>
        </is>
      </c>
      <c r="B55" s="17" t="inlineStr">
        <is>
          <t>Kümes B Blok</t>
        </is>
      </c>
      <c r="C55" s="18" t="inlineStr">
        <is>
          <t>15.160.1004</t>
        </is>
      </c>
      <c r="D55" s="16" t="inlineStr">
        <is>
          <t>Ø14-Ø28 nervürlü beton çelik çubuğu — kümes temelleri</t>
        </is>
      </c>
      <c r="E55" s="19" t="inlineStr">
        <is>
          <t>ton</t>
        </is>
      </c>
      <c r="F55" s="20" t="n">
        <v>7.2875</v>
      </c>
      <c r="G55" s="5" t="n">
        <v>37532.19</v>
      </c>
      <c r="H55" s="5">
        <f>F55*G55</f>
        <v/>
      </c>
    </row>
    <row r="56" ht="14" customHeight="1">
      <c r="A56" s="16" t="inlineStr">
        <is>
          <t>Demir-inşaat işleri</t>
        </is>
      </c>
      <c r="B56" s="17" t="inlineStr">
        <is>
          <t>Kümes B Blok</t>
        </is>
      </c>
      <c r="C56" s="18" t="inlineStr">
        <is>
          <t>15.160.1002</t>
        </is>
      </c>
      <c r="D56" s="16" t="inlineStr">
        <is>
          <t>Nervürlü çelik hasırın yerine konulması — kümes döşemeleri</t>
        </is>
      </c>
      <c r="E56" s="19" t="inlineStr">
        <is>
          <t>ton</t>
        </is>
      </c>
      <c r="F56" s="20" t="n">
        <v>3.6375</v>
      </c>
      <c r="G56" s="5" t="n">
        <v>36949.5</v>
      </c>
      <c r="H56" s="5">
        <f>F56*G56</f>
        <v/>
      </c>
    </row>
    <row r="57" ht="20" customHeight="1">
      <c r="A57" s="16" t="inlineStr">
        <is>
          <t>Çelik yapım-imalat işleri</t>
        </is>
      </c>
      <c r="B57" s="17" t="inlineStr">
        <is>
          <t>Kümes B Blok</t>
        </is>
      </c>
      <c r="C57" s="18" t="inlineStr">
        <is>
          <t>15.165.1003</t>
        </is>
      </c>
      <c r="D57" s="16" t="inlineStr">
        <is>
          <t>Her çeşit profil, çelik çubuk ve saclarla karkas (çerçeve) inşaat yapılması, yerine tespiti — kümes çelik taşıyıcı sistemi</t>
        </is>
      </c>
      <c r="E57" s="19" t="inlineStr">
        <is>
          <t>ton</t>
        </is>
      </c>
      <c r="F57" s="20" t="n">
        <v>38.71</v>
      </c>
      <c r="G57" s="5" t="n">
        <v>72192.55</v>
      </c>
      <c r="H57" s="5">
        <f>F57*G57</f>
        <v/>
      </c>
    </row>
    <row r="58" ht="30" customHeight="1">
      <c r="A58" s="16" t="inlineStr">
        <is>
          <t>Çatı ve sundurma işleri</t>
        </is>
      </c>
      <c r="B58" s="17" t="inlineStr">
        <is>
          <t>Kümes B Blok</t>
        </is>
      </c>
      <c r="C58" s="18" t="inlineStr">
        <is>
          <t>TKDK-0042</t>
        </is>
      </c>
      <c r="D58" s="16" t="inlineStr">
        <is>
          <t>6 cm poliüretan dolgulu (üst min. 0,40 mm, alt min. 0,30 mm) boyalı galvanizli sac levhalar ile ısı yalıtımlı çatı kaplaması yapılması</t>
        </is>
      </c>
      <c r="E58" s="19" t="inlineStr">
        <is>
          <t>m²</t>
        </is>
      </c>
      <c r="F58" s="20" t="n">
        <v>1204.98</v>
      </c>
      <c r="G58" s="5" t="n">
        <v>1364.72</v>
      </c>
      <c r="H58" s="5">
        <f>F58*G58</f>
        <v/>
      </c>
    </row>
    <row r="59" ht="20" customHeight="1">
      <c r="A59" s="16" t="inlineStr">
        <is>
          <t>Tuğla ve duvar işleri</t>
        </is>
      </c>
      <c r="B59" s="17" t="inlineStr">
        <is>
          <t>Kümes B Blok</t>
        </is>
      </c>
      <c r="C59" s="18" t="inlineStr">
        <is>
          <t>15.225.1010</t>
        </is>
      </c>
      <c r="D59" s="16" t="inlineStr">
        <is>
          <t>20 cm kalınlığındaki teçhizatsız gazbeton duvar blokları ile duvar yapılması (gazbeton tutkalı ile) — cephe duvarı</t>
        </is>
      </c>
      <c r="E59" s="19" t="inlineStr">
        <is>
          <t>m²</t>
        </is>
      </c>
      <c r="F59" s="20" t="n">
        <v>507.91</v>
      </c>
      <c r="G59" s="5" t="n">
        <v>929.28</v>
      </c>
      <c r="H59" s="5">
        <f>F59*G59</f>
        <v/>
      </c>
    </row>
    <row r="60" ht="20" customHeight="1">
      <c r="A60" s="16" t="inlineStr">
        <is>
          <t>Tuğla ve duvar işleri</t>
        </is>
      </c>
      <c r="B60" s="17" t="inlineStr">
        <is>
          <t>Kümes B Blok</t>
        </is>
      </c>
      <c r="C60" s="18" t="inlineStr">
        <is>
          <t>15.225.1410</t>
        </is>
      </c>
      <c r="D60" s="16" t="inlineStr">
        <is>
          <t>20 cm kalınlığındaki teçhizatlı gazbeton lento temini ve yerine konulması — boşluk üstü lento ve yatay hatıl</t>
        </is>
      </c>
      <c r="E60" s="19" t="inlineStr">
        <is>
          <t>m²</t>
        </is>
      </c>
      <c r="F60" s="20" t="n">
        <v>49.85</v>
      </c>
      <c r="G60" s="5" t="n">
        <v>1777.52</v>
      </c>
      <c r="H60" s="5">
        <f>F60*G60</f>
        <v/>
      </c>
    </row>
    <row r="61" ht="20" customHeight="1">
      <c r="A61" s="16" t="inlineStr">
        <is>
          <t>Sıva, alçı, derz ve şap işleri</t>
        </is>
      </c>
      <c r="B61" s="17" t="inlineStr">
        <is>
          <t>Kümes B Blok</t>
        </is>
      </c>
      <c r="C61" s="18" t="inlineStr">
        <is>
          <t>15.275.1116</t>
        </is>
      </c>
      <c r="D61" s="16" t="inlineStr">
        <is>
          <t>250 kg çimento dozlu harç ile kaba sıva yapılması — cephe duvarı dış yüzü</t>
        </is>
      </c>
      <c r="E61" s="19" t="inlineStr">
        <is>
          <t>m²</t>
        </is>
      </c>
      <c r="F61" s="20" t="n">
        <v>557.76</v>
      </c>
      <c r="G61" s="5" t="n">
        <v>372.55</v>
      </c>
      <c r="H61" s="5">
        <f>F61*G61</f>
        <v/>
      </c>
    </row>
    <row r="62" ht="20" customHeight="1">
      <c r="A62" s="16" t="inlineStr">
        <is>
          <t>Sıva, alçı, derz ve şap işleri</t>
        </is>
      </c>
      <c r="B62" s="17" t="inlineStr">
        <is>
          <t>Kümes B Blok</t>
        </is>
      </c>
      <c r="C62" s="18" t="inlineStr">
        <is>
          <t>15.275.1117</t>
        </is>
      </c>
      <c r="D62" s="16" t="inlineStr">
        <is>
          <t>200 kg çimento ve kireç karışımı harç ile kaba sıva yapılması (iç cephe) — cephe duvarı iç yüzü</t>
        </is>
      </c>
      <c r="E62" s="19" t="inlineStr">
        <is>
          <t>m²</t>
        </is>
      </c>
      <c r="F62" s="20" t="n">
        <v>557.76</v>
      </c>
      <c r="G62" s="5" t="n">
        <v>381.49</v>
      </c>
      <c r="H62" s="5">
        <f>F62*G62</f>
        <v/>
      </c>
    </row>
    <row r="63" ht="20" customHeight="1">
      <c r="A63" s="16" t="inlineStr">
        <is>
          <t>Boya, badana ve cila işleri</t>
        </is>
      </c>
      <c r="B63" s="17" t="inlineStr">
        <is>
          <t>Kümes B Blok</t>
        </is>
      </c>
      <c r="C63" s="18" t="inlineStr">
        <is>
          <t>15.540.1606</t>
        </is>
      </c>
      <c r="D63" s="16" t="inlineStr">
        <is>
          <t>Brüt beton, sıvalı veya eski boyalı yüzeylere astar uygulanarak silikon esaslı su bazlı dış cephe boyası</t>
        </is>
      </c>
      <c r="E63" s="19" t="inlineStr">
        <is>
          <t>m²</t>
        </is>
      </c>
      <c r="F63" s="20" t="n">
        <v>557.76</v>
      </c>
      <c r="G63" s="5" t="n">
        <v>324.27</v>
      </c>
      <c r="H63" s="5">
        <f>F63*G63</f>
        <v/>
      </c>
    </row>
    <row r="64" ht="20" customHeight="1">
      <c r="A64" s="16" t="inlineStr">
        <is>
          <t>Boya, badana ve cila işleri</t>
        </is>
      </c>
      <c r="B64" s="17" t="inlineStr">
        <is>
          <t>Kümes B Blok</t>
        </is>
      </c>
      <c r="C64" s="18" t="inlineStr">
        <is>
          <t>15.540.1537</t>
        </is>
      </c>
      <c r="D64" s="16" t="inlineStr">
        <is>
          <t>Yeni sıva yüzeylere astar uygulanarak iki kat su bazlı plastik antibakteriyel iç cephe boyası</t>
        </is>
      </c>
      <c r="E64" s="19" t="inlineStr">
        <is>
          <t>m²</t>
        </is>
      </c>
      <c r="F64" s="20" t="n">
        <v>557.76</v>
      </c>
      <c r="G64" s="5" t="n">
        <v>248.75</v>
      </c>
      <c r="H64" s="5">
        <f>F64*G64</f>
        <v/>
      </c>
    </row>
    <row r="65" ht="20" customHeight="1">
      <c r="A65" s="16" t="inlineStr">
        <is>
          <t>Çelik yapım-imalat işleri</t>
        </is>
      </c>
      <c r="B65" s="17" t="inlineStr">
        <is>
          <t>Kümes B Blok</t>
        </is>
      </c>
      <c r="C65" s="18" t="inlineStr">
        <is>
          <t>15.550.1202</t>
        </is>
      </c>
      <c r="D65" s="16" t="inlineStr">
        <is>
          <t>Lama ve profil demirlerden mahya, saçak ve köşe kapama profilleri</t>
        </is>
      </c>
      <c r="E65" s="19" t="inlineStr">
        <is>
          <t>kg</t>
        </is>
      </c>
      <c r="F65" s="20" t="n">
        <v>674</v>
      </c>
      <c r="G65" s="5" t="n">
        <v>147.67</v>
      </c>
      <c r="H65" s="5">
        <f>F65*G65</f>
        <v/>
      </c>
    </row>
    <row r="66" ht="14" customHeight="1">
      <c r="A66" s="16" t="inlineStr">
        <is>
          <t>Çatı ve sundurma işleri</t>
        </is>
      </c>
      <c r="B66" s="17" t="inlineStr">
        <is>
          <t>Kümes B Blok</t>
        </is>
      </c>
      <c r="C66" s="18" t="inlineStr">
        <is>
          <t>TKDK-0115</t>
        </is>
      </c>
      <c r="D66" s="16" t="inlineStr">
        <is>
          <t>Galvanizli düz sacdan yağmur oluğu yapılması — dere</t>
        </is>
      </c>
      <c r="E66" s="19" t="inlineStr">
        <is>
          <t>kg</t>
        </is>
      </c>
      <c r="F66" s="20" t="n">
        <v>319.2</v>
      </c>
      <c r="G66" s="5" t="n">
        <v>227.85</v>
      </c>
      <c r="H66" s="5">
        <f>F66*G66</f>
        <v/>
      </c>
    </row>
    <row r="67" ht="14" customHeight="1">
      <c r="A67" s="16" t="inlineStr">
        <is>
          <t>Çatı ve sundurma işleri</t>
        </is>
      </c>
      <c r="B67" s="17" t="inlineStr">
        <is>
          <t>Kümes B Blok</t>
        </is>
      </c>
      <c r="C67" s="18" t="inlineStr">
        <is>
          <t>TKDK-0115</t>
        </is>
      </c>
      <c r="D67" s="16" t="inlineStr">
        <is>
          <t>Galvanizli düz sacdan iniş borusu yapılması — ø100</t>
        </is>
      </c>
      <c r="E67" s="19" t="inlineStr">
        <is>
          <t>kg</t>
        </is>
      </c>
      <c r="F67" s="20" t="n">
        <v>40.96</v>
      </c>
      <c r="G67" s="5" t="n">
        <v>227.85</v>
      </c>
      <c r="H67" s="5">
        <f>F67*G67</f>
        <v/>
      </c>
    </row>
    <row r="68" ht="20" customHeight="1">
      <c r="A68" s="16" t="inlineStr">
        <is>
          <t>Doğramacılık işleri (Demir, Alüminyum, PVC, Kompozit)</t>
        </is>
      </c>
      <c r="B68" s="17" t="inlineStr">
        <is>
          <t>Kümes B Blok</t>
        </is>
      </c>
      <c r="C68" s="18" t="inlineStr">
        <is>
          <t>TKDK-0151</t>
        </is>
      </c>
      <c r="D68" s="16" t="inlineStr">
        <is>
          <t>5 cm poliüretan dolgulu panel ile ısı yalıtımlı kapı yapılması — kümes servis kapısı 100/220</t>
        </is>
      </c>
      <c r="E68" s="19" t="inlineStr">
        <is>
          <t>m²</t>
        </is>
      </c>
      <c r="F68" s="20" t="n">
        <v>4.4</v>
      </c>
      <c r="G68" s="5" t="n">
        <v>870.14</v>
      </c>
      <c r="H68" s="5">
        <f>F68*G68</f>
        <v/>
      </c>
    </row>
    <row r="69" ht="20" customHeight="1">
      <c r="A69" s="16" t="inlineStr">
        <is>
          <t>Doğramacılık işleri (Demir, Alüminyum, PVC, Kompozit)</t>
        </is>
      </c>
      <c r="B69" s="17" t="inlineStr">
        <is>
          <t>Kümes B Blok</t>
        </is>
      </c>
      <c r="C69" s="18" t="inlineStr">
        <is>
          <t>TKDK-0151</t>
        </is>
      </c>
      <c r="D69" s="16" t="inlineStr">
        <is>
          <t>5 cm poliüretan dolgulu panel ile ısı yalıtımlı kapı yapılması — yükleme/temizlik kapısı 300/300 sürgülü</t>
        </is>
      </c>
      <c r="E69" s="19" t="inlineStr">
        <is>
          <t>m²</t>
        </is>
      </c>
      <c r="F69" s="20" t="n">
        <v>9</v>
      </c>
      <c r="G69" s="5" t="n">
        <v>870.14</v>
      </c>
      <c r="H69" s="5">
        <f>F69*G69</f>
        <v/>
      </c>
    </row>
    <row r="70" ht="20" customHeight="1">
      <c r="A70" s="16" t="inlineStr">
        <is>
          <t>Tuğla ve duvar işleri</t>
        </is>
      </c>
      <c r="B70" s="17" t="inlineStr">
        <is>
          <t>Kümes B Blok</t>
        </is>
      </c>
      <c r="C70" s="18" t="inlineStr">
        <is>
          <t>15.225.1004</t>
        </is>
      </c>
      <c r="D70" s="16" t="inlineStr">
        <is>
          <t>10 cm kalınlığındaki teçhizatsız gazbeton duvar blokları ile bölme duvar yapılması — servis bölümü</t>
        </is>
      </c>
      <c r="E70" s="19" t="inlineStr">
        <is>
          <t>m²</t>
        </is>
      </c>
      <c r="F70" s="20" t="n">
        <v>45</v>
      </c>
      <c r="G70" s="5" t="n">
        <v>607.9299999999999</v>
      </c>
      <c r="H70" s="5">
        <f>F70*G70</f>
        <v/>
      </c>
    </row>
    <row r="71" ht="20" customHeight="1">
      <c r="A71" s="16" t="inlineStr">
        <is>
          <t>Sıva, alçı, derz ve şap işleri</t>
        </is>
      </c>
      <c r="B71" s="17" t="inlineStr">
        <is>
          <t>Kümes B Blok</t>
        </is>
      </c>
      <c r="C71" s="18" t="inlineStr">
        <is>
          <t>15.275.1117</t>
        </is>
      </c>
      <c r="D71" s="16" t="inlineStr">
        <is>
          <t>200 kg çimento ve kireç karışımı harç ile kaba sıva yapılması — servis bölümü bölme duvarları</t>
        </is>
      </c>
      <c r="E71" s="19" t="inlineStr">
        <is>
          <t>m²</t>
        </is>
      </c>
      <c r="F71" s="20" t="n">
        <v>90</v>
      </c>
      <c r="G71" s="5" t="n">
        <v>381.49</v>
      </c>
      <c r="H71" s="5">
        <f>F71*G71</f>
        <v/>
      </c>
    </row>
    <row r="72" ht="20" customHeight="1">
      <c r="A72" s="16" t="inlineStr">
        <is>
          <t>İnce yapı ve tamamlayıcı imalatlar</t>
        </is>
      </c>
      <c r="B72" s="17" t="inlineStr">
        <is>
          <t>Kümes B Blok</t>
        </is>
      </c>
      <c r="C72" s="18" t="inlineStr">
        <is>
          <t>TKDK-0177</t>
        </is>
      </c>
      <c r="D72" s="16" t="inlineStr">
        <is>
          <t>Duvar karosu ile 3 mm derz aralıklı döşeme ve duvar kaplaması yapılması — servis bölümü</t>
        </is>
      </c>
      <c r="E72" s="19" t="inlineStr">
        <is>
          <t>m²</t>
        </is>
      </c>
      <c r="F72" s="20" t="n">
        <v>60</v>
      </c>
      <c r="G72" s="5" t="n">
        <v>701.48</v>
      </c>
      <c r="H72" s="5">
        <f>F72*G72</f>
        <v/>
      </c>
    </row>
    <row r="73" ht="20" customHeight="1">
      <c r="A73" s="16" t="inlineStr">
        <is>
          <t>Boya, badana ve cila işleri</t>
        </is>
      </c>
      <c r="B73" s="17" t="inlineStr">
        <is>
          <t>Kümes B Blok</t>
        </is>
      </c>
      <c r="C73" s="18" t="inlineStr">
        <is>
          <t>15.540.1537</t>
        </is>
      </c>
      <c r="D73" s="16" t="inlineStr">
        <is>
          <t>Yeni sıva yüzeylere astar uygulanarak iki kat su bazlı plastik antibakteriyel boya — servis bölümü</t>
        </is>
      </c>
      <c r="E73" s="19" t="inlineStr">
        <is>
          <t>m²</t>
        </is>
      </c>
      <c r="F73" s="20" t="n">
        <v>55</v>
      </c>
      <c r="G73" s="5" t="n">
        <v>248.75</v>
      </c>
      <c r="H73" s="5">
        <f>F73*G73</f>
        <v/>
      </c>
    </row>
    <row r="74" ht="20" customHeight="1">
      <c r="A74" s="16" t="inlineStr">
        <is>
          <t>Doğramacılık işleri (Demir, Alüminyum, PVC, Kompozit)</t>
        </is>
      </c>
      <c r="B74" s="17" t="inlineStr">
        <is>
          <t>Kümes B Blok</t>
        </is>
      </c>
      <c r="C74" s="18" t="inlineStr">
        <is>
          <t>TKDK-0175</t>
        </is>
      </c>
      <c r="D74" s="16" t="inlineStr">
        <is>
          <t>PVC kaplamalı MDF presli iç kapı kanadı yapılması, yerinde takılması — servis bölümü</t>
        </is>
      </c>
      <c r="E74" s="19" t="inlineStr">
        <is>
          <t>m²</t>
        </is>
      </c>
      <c r="F74" s="20" t="n">
        <v>5.67</v>
      </c>
      <c r="G74" s="5" t="n">
        <v>2687.73</v>
      </c>
      <c r="H74" s="5">
        <f>F74*G74</f>
        <v/>
      </c>
    </row>
    <row r="75" ht="20" customHeight="1">
      <c r="A75" s="16" t="inlineStr">
        <is>
          <t>Doğramacılık işleri (Demir, Alüminyum, PVC, Kompozit)</t>
        </is>
      </c>
      <c r="B75" s="17" t="inlineStr">
        <is>
          <t>Kümes B Blok</t>
        </is>
      </c>
      <c r="C75" s="18" t="inlineStr">
        <is>
          <t>15.550.1002</t>
        </is>
      </c>
      <c r="D75" s="16" t="inlineStr">
        <is>
          <t>1,50 mm sacdan bükme kapı kasası yapılması ve yerine konulması — servis bölümü iç kapıları</t>
        </is>
      </c>
      <c r="E75" s="19" t="inlineStr">
        <is>
          <t>kg</t>
        </is>
      </c>
      <c r="F75" s="20" t="n">
        <v>54.315</v>
      </c>
      <c r="G75" s="5" t="n">
        <v>183.57</v>
      </c>
      <c r="H75" s="5">
        <f>F75*G75</f>
        <v/>
      </c>
    </row>
    <row r="76" ht="20" customHeight="1">
      <c r="A76" s="16" t="inlineStr">
        <is>
          <t>Kanalizasyon işleri</t>
        </is>
      </c>
      <c r="B76" s="17" t="inlineStr">
        <is>
          <t>Kümes B Blok</t>
        </is>
      </c>
      <c r="C76" s="18" t="inlineStr">
        <is>
          <t>43.527.1001</t>
        </is>
      </c>
      <c r="D76" s="16" t="inlineStr">
        <is>
          <t>ø150 HDPE koruge boru ile pissu hattı döşenmesi (SN 8, lastik conta ve boru bedeli dahil)</t>
        </is>
      </c>
      <c r="E76" s="19" t="inlineStr">
        <is>
          <t>m</t>
        </is>
      </c>
      <c r="F76" s="20" t="n">
        <v>25</v>
      </c>
      <c r="G76" s="5" t="n">
        <v>330.7</v>
      </c>
      <c r="H76" s="5">
        <f>F76*G76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30.100.2105</t>
        </is>
      </c>
      <c r="D77" s="16" t="inlineStr">
        <is>
          <t>Kümes dağıtım panosu (sıva üstü galvanizli sac tablo, 0,40-0,50 m²)</t>
        </is>
      </c>
      <c r="E77" s="19" t="inlineStr">
        <is>
          <t>ad</t>
        </is>
      </c>
      <c r="F77" s="20" t="n">
        <v>1</v>
      </c>
      <c r="G77" s="5" t="n">
        <v>9209.41</v>
      </c>
      <c r="H77" s="5">
        <f>F77*G77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30.110.1102</t>
        </is>
      </c>
      <c r="D78" s="16" t="inlineStr">
        <is>
          <t>Termik-manyetik kompakt şalter 3x100 A, Icu 35 kA — kümes besleme</t>
        </is>
      </c>
      <c r="E78" s="19" t="inlineStr">
        <is>
          <t>ad</t>
        </is>
      </c>
      <c r="F78" s="20" t="n">
        <v>1</v>
      </c>
      <c r="G78" s="5" t="n">
        <v>4586.47</v>
      </c>
      <c r="H78" s="5">
        <f>F78*G78</f>
        <v/>
      </c>
    </row>
    <row r="79" ht="14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30.115.1003</t>
        </is>
      </c>
      <c r="D79" s="16" t="inlineStr">
        <is>
          <t>Kaçak akım koruma şalteri 2x63 A, 30 mA</t>
        </is>
      </c>
      <c r="E79" s="19" t="inlineStr">
        <is>
          <t>ad</t>
        </is>
      </c>
      <c r="F79" s="20" t="n">
        <v>2</v>
      </c>
      <c r="G79" s="5" t="n">
        <v>1402.96</v>
      </c>
      <c r="H79" s="5">
        <f>F79*G79</f>
        <v/>
      </c>
    </row>
    <row r="80" ht="20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30.140.3104</t>
        </is>
      </c>
      <c r="D80" s="16" t="inlineStr">
        <is>
          <t>YVV (NYY) 1 kV yeraltı kablosu ile kolon hattı tesisi — 1x25 mm²</t>
        </is>
      </c>
      <c r="E80" s="19" t="inlineStr">
        <is>
          <t>m</t>
        </is>
      </c>
      <c r="F80" s="20" t="n">
        <v>300</v>
      </c>
      <c r="G80" s="5" t="n">
        <v>260.01</v>
      </c>
      <c r="H80" s="5">
        <f>F80*G80</f>
        <v/>
      </c>
    </row>
    <row r="81" ht="20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30.170.1602</t>
        </is>
      </c>
      <c r="D81" s="16" t="inlineStr">
        <is>
          <t>LED sıva üstü etanj armatür (polikarbon gövdeli), ışık akısı en az 2700 lm — kümes genel aydınlatması</t>
        </is>
      </c>
      <c r="E81" s="19" t="inlineStr">
        <is>
          <t>ad</t>
        </is>
      </c>
      <c r="F81" s="20" t="n">
        <v>30</v>
      </c>
      <c r="G81" s="5" t="n">
        <v>2594.89</v>
      </c>
      <c r="H81" s="5">
        <f>F81*G81</f>
        <v/>
      </c>
    </row>
    <row r="82" ht="20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30.170.1601</t>
        </is>
      </c>
      <c r="D82" s="16" t="inlineStr">
        <is>
          <t>LED sıva üstü etanj armatür (polikarbon gövdeli), ışık akısı en az 1800 lm — servis bölümü</t>
        </is>
      </c>
      <c r="E82" s="19" t="inlineStr">
        <is>
          <t>ad</t>
        </is>
      </c>
      <c r="F82" s="20" t="n">
        <v>2</v>
      </c>
      <c r="G82" s="5" t="n">
        <v>1782.25</v>
      </c>
      <c r="H82" s="5">
        <f>F82*G82</f>
        <v/>
      </c>
    </row>
    <row r="83" ht="14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30.160.6102</t>
        </is>
      </c>
      <c r="D83" s="16" t="inlineStr">
        <is>
          <t>Boş boru döşemesi — 25-32 mm PVC boru</t>
        </is>
      </c>
      <c r="E83" s="19" t="inlineStr">
        <is>
          <t>m</t>
        </is>
      </c>
      <c r="F83" s="20" t="n">
        <v>500</v>
      </c>
      <c r="G83" s="5" t="n">
        <v>37.77</v>
      </c>
      <c r="H83" s="5">
        <f>F83*G83</f>
        <v/>
      </c>
    </row>
    <row r="84" ht="14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30.150.1402</t>
        </is>
      </c>
      <c r="D84" s="16" t="inlineStr">
        <is>
          <t>Halojensiz H07Z tipi iletken 1x2,5 mm² ile tesisat</t>
        </is>
      </c>
      <c r="E84" s="19" t="inlineStr">
        <is>
          <t>m</t>
        </is>
      </c>
      <c r="F84" s="20" t="n">
        <v>2000</v>
      </c>
      <c r="G84" s="5" t="n">
        <v>25.35</v>
      </c>
      <c r="H84" s="5">
        <f>F84*G84</f>
        <v/>
      </c>
    </row>
    <row r="85" ht="14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30.150.1401</t>
        </is>
      </c>
      <c r="D85" s="16" t="inlineStr">
        <is>
          <t>Halojensiz H07Z tipi iletken 1x1,5 mm² ile kumanda tesisatı</t>
        </is>
      </c>
      <c r="E85" s="19" t="inlineStr">
        <is>
          <t>m</t>
        </is>
      </c>
      <c r="F85" s="20" t="n">
        <v>600</v>
      </c>
      <c r="G85" s="5" t="n">
        <v>15.88</v>
      </c>
      <c r="H85" s="5">
        <f>F85*G85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30.140.1105</t>
        </is>
      </c>
      <c r="D86" s="16" t="inlineStr">
        <is>
          <t>Çıplak bakır tel 25 mm² — eşpotansiyel bara ve topraklama iletkeni</t>
        </is>
      </c>
      <c r="E86" s="19" t="inlineStr">
        <is>
          <t>m</t>
        </is>
      </c>
      <c r="F86" s="20" t="n">
        <v>100</v>
      </c>
      <c r="G86" s="5" t="n">
        <v>204.16</v>
      </c>
      <c r="H86" s="5">
        <f>F86*G86</f>
        <v/>
      </c>
    </row>
    <row r="87" ht="20" customHeight="1">
      <c r="A87" s="16" t="inlineStr">
        <is>
          <t>Elektrik tesisatı ve aydınlatma</t>
        </is>
      </c>
      <c r="B87" s="17" t="inlineStr">
        <is>
          <t>Kümes B Blok</t>
        </is>
      </c>
      <c r="C87" s="18" t="inlineStr">
        <is>
          <t>30.750.3002</t>
        </is>
      </c>
      <c r="D87" s="16" t="inlineStr">
        <is>
          <t>Bina ihata iletkeni tesisatı — 30x3,5 mm galvanizli çelik lama (temel topraklaması)</t>
        </is>
      </c>
      <c r="E87" s="19" t="inlineStr">
        <is>
          <t>m</t>
        </is>
      </c>
      <c r="F87" s="20" t="n">
        <v>186</v>
      </c>
      <c r="G87" s="5" t="n">
        <v>150.75</v>
      </c>
      <c r="H87" s="5">
        <f>F87*G87</f>
        <v/>
      </c>
    </row>
    <row r="88" ht="14" customHeight="1">
      <c r="A88" s="16" t="inlineStr">
        <is>
          <t>Elektrik tesisatı ve aydınlatma</t>
        </is>
      </c>
      <c r="B88" s="17" t="inlineStr">
        <is>
          <t>Kümes B Blok</t>
        </is>
      </c>
      <c r="C88" s="18" t="inlineStr">
        <is>
          <t>30.750.1502</t>
        </is>
      </c>
      <c r="D88" s="16" t="inlineStr">
        <is>
          <t>Aktif yakalama ucu, ortalama uyarım yolu DL = 30-40 m</t>
        </is>
      </c>
      <c r="E88" s="19" t="inlineStr">
        <is>
          <t>ad</t>
        </is>
      </c>
      <c r="F88" s="20" t="n">
        <v>1</v>
      </c>
      <c r="G88" s="5" t="n">
        <v>20274.29</v>
      </c>
      <c r="H88" s="5">
        <f>F88*G88</f>
        <v/>
      </c>
    </row>
    <row r="89" ht="20" customHeight="1">
      <c r="A89" s="16" t="inlineStr">
        <is>
          <t>Elektrik tesisatı ve aydınlatma</t>
        </is>
      </c>
      <c r="B89" s="17" t="inlineStr">
        <is>
          <t>Kümes B Blok</t>
        </is>
      </c>
      <c r="C89" s="18" t="inlineStr">
        <is>
          <t>30.750.2001</t>
        </is>
      </c>
      <c r="D89" s="16" t="inlineStr">
        <is>
          <t>Çatı ihata ve indirme iletkeni tesisatı — 50 mm² elektrolitik bakır tel</t>
        </is>
      </c>
      <c r="E89" s="19" t="inlineStr">
        <is>
          <t>m</t>
        </is>
      </c>
      <c r="F89" s="20" t="n">
        <v>16</v>
      </c>
      <c r="G89" s="5" t="n">
        <v>554.74</v>
      </c>
      <c r="H89" s="5">
        <f>F89*G89</f>
        <v/>
      </c>
    </row>
    <row r="90" ht="20" customHeight="1">
      <c r="A90" s="16" t="inlineStr">
        <is>
          <t>Elektrik tesisatı ve aydınlatma</t>
        </is>
      </c>
      <c r="B90" s="17" t="inlineStr">
        <is>
          <t>Kümes B Blok</t>
        </is>
      </c>
      <c r="C90" s="18" t="inlineStr">
        <is>
          <t>30.740.1106</t>
        </is>
      </c>
      <c r="D90" s="16" t="inlineStr">
        <is>
          <t>Dizel elektrojen grubu (jeneratör) 63 kVA / 50 kW — dizel motoru su veya hava ile soğuyan cinsten, 1500 d/dak</t>
        </is>
      </c>
      <c r="E90" s="19" t="inlineStr">
        <is>
          <t>ad</t>
        </is>
      </c>
      <c r="F90" s="20" t="n">
        <v>1</v>
      </c>
      <c r="G90" s="5" t="n">
        <v>607554.0699999999</v>
      </c>
      <c r="H90" s="5">
        <f>F90*G90</f>
        <v/>
      </c>
    </row>
    <row r="91" ht="14" customHeight="1">
      <c r="A91" s="16" t="inlineStr">
        <is>
          <t>Elektrik tesisatı ve aydınlatma</t>
        </is>
      </c>
      <c r="B91" s="17" t="inlineStr">
        <is>
          <t>Kümes B Blok</t>
        </is>
      </c>
      <c r="C91" s="18" t="inlineStr">
        <is>
          <t>30.740.5406</t>
        </is>
      </c>
      <c r="D91" s="16" t="inlineStr">
        <is>
          <t>Jeneratör ses izolasyon kabini — 63 kVA</t>
        </is>
      </c>
      <c r="E91" s="19" t="inlineStr">
        <is>
          <t>ad</t>
        </is>
      </c>
      <c r="F91" s="20" t="n">
        <v>1</v>
      </c>
      <c r="G91" s="5" t="n">
        <v>103549.61</v>
      </c>
      <c r="H91" s="5">
        <f>F91*G91</f>
        <v/>
      </c>
    </row>
    <row r="92" ht="14" customHeight="1">
      <c r="A92" s="16" t="inlineStr">
        <is>
          <t>Elektrik tesisatı ve aydınlatma</t>
        </is>
      </c>
      <c r="B92" s="17" t="inlineStr">
        <is>
          <t>Kümes B Blok</t>
        </is>
      </c>
      <c r="C92" s="18" t="inlineStr">
        <is>
          <t>30.120.2016</t>
        </is>
      </c>
      <c r="D92" s="16" t="inlineStr">
        <is>
          <t>Otomatik transfer şalteri 4 x 200 A — şebeke/jeneratör geçişi</t>
        </is>
      </c>
      <c r="E92" s="19" t="inlineStr">
        <is>
          <t>ad</t>
        </is>
      </c>
      <c r="F92" s="20" t="n">
        <v>1</v>
      </c>
      <c r="G92" s="5" t="n">
        <v>50107.49</v>
      </c>
      <c r="H92" s="5">
        <f>F92*G92</f>
        <v/>
      </c>
    </row>
    <row r="93" ht="14" customHeight="1">
      <c r="A93" s="16" t="inlineStr">
        <is>
          <t>Kazı, dolgu ve reglaj işleri</t>
        </is>
      </c>
      <c r="B93" s="17" t="inlineStr">
        <is>
          <t>Gübre Çukuru</t>
        </is>
      </c>
      <c r="C93" s="18" t="inlineStr">
        <is>
          <t>15.120.1101</t>
        </is>
      </c>
      <c r="D93" s="16" t="inlineStr">
        <is>
          <t>Makine ile dar ve derin sandık kazı — gübre çukuru</t>
        </is>
      </c>
      <c r="E93" s="19" t="inlineStr">
        <is>
          <t>m³</t>
        </is>
      </c>
      <c r="F93" s="20" t="n">
        <v>542.7</v>
      </c>
      <c r="G93" s="5" t="n">
        <v>60.35</v>
      </c>
      <c r="H93" s="5">
        <f>F93*G93</f>
        <v/>
      </c>
    </row>
    <row r="94" ht="20" customHeight="1">
      <c r="A94" s="16" t="inlineStr">
        <is>
          <t>Beton işleri</t>
        </is>
      </c>
      <c r="B94" s="17" t="inlineStr">
        <is>
          <t>Gübre Çukuru</t>
        </is>
      </c>
      <c r="C94" s="18" t="inlineStr">
        <is>
          <t>15.150.1003</t>
        </is>
      </c>
      <c r="D94" s="16" t="inlineStr">
        <is>
          <t>C 16/20 hazır beton dökülmesi — gübre çukuru radye altı grobeton</t>
        </is>
      </c>
      <c r="E94" s="19" t="inlineStr">
        <is>
          <t>m³</t>
        </is>
      </c>
      <c r="F94" s="20" t="n">
        <v>11.934</v>
      </c>
      <c r="G94" s="5" t="n">
        <v>2750.45</v>
      </c>
      <c r="H94" s="5">
        <f>F94*G94</f>
        <v/>
      </c>
    </row>
    <row r="95" ht="14" customHeight="1">
      <c r="A95" s="16" t="inlineStr">
        <is>
          <t>Betonarme işleri</t>
        </is>
      </c>
      <c r="B95" s="17" t="inlineStr">
        <is>
          <t>Gübre Çukuru</t>
        </is>
      </c>
      <c r="C95" s="18" t="inlineStr">
        <is>
          <t>15.150.1005</t>
        </is>
      </c>
      <c r="D95" s="16" t="inlineStr">
        <is>
          <t>C 25/30 hazır beton dökülmesi — gübre çukuru radye temeli</t>
        </is>
      </c>
      <c r="E95" s="19" t="inlineStr">
        <is>
          <t>m³</t>
        </is>
      </c>
      <c r="F95" s="20" t="n">
        <v>46</v>
      </c>
      <c r="G95" s="5" t="n">
        <v>2960.45</v>
      </c>
      <c r="H95" s="5">
        <f>F95*G95</f>
        <v/>
      </c>
    </row>
    <row r="96" ht="20" customHeight="1">
      <c r="A96" s="16" t="inlineStr">
        <is>
          <t>Betonarme işleri</t>
        </is>
      </c>
      <c r="B96" s="17" t="inlineStr">
        <is>
          <t>Gübre Çukuru</t>
        </is>
      </c>
      <c r="C96" s="18" t="inlineStr">
        <is>
          <t>15.150.1005</t>
        </is>
      </c>
      <c r="D96" s="16" t="inlineStr">
        <is>
          <t>C 25/30 hazır beton dökülmesi — gübre çukuru perde, kolon ve üst döşemesi</t>
        </is>
      </c>
      <c r="E96" s="19" t="inlineStr">
        <is>
          <t>m³</t>
        </is>
      </c>
      <c r="F96" s="20" t="n">
        <v>47.19</v>
      </c>
      <c r="G96" s="5" t="n">
        <v>2960.45</v>
      </c>
      <c r="H96" s="5">
        <f>F96*G96</f>
        <v/>
      </c>
    </row>
    <row r="97" ht="14" customHeight="1">
      <c r="A97" s="16" t="inlineStr">
        <is>
          <t>Kalıp, yapı iskelesi işleri</t>
        </is>
      </c>
      <c r="B97" s="17" t="inlineStr">
        <is>
          <t>Gübre Çukuru</t>
        </is>
      </c>
      <c r="C97" s="18" t="inlineStr">
        <is>
          <t>15.180.1003</t>
        </is>
      </c>
      <c r="D97" s="16" t="inlineStr">
        <is>
          <t>Plywood ile düz yüzeyli betonarme kalıbı — gübre çukuru</t>
        </is>
      </c>
      <c r="E97" s="19" t="inlineStr">
        <is>
          <t>m²</t>
        </is>
      </c>
      <c r="F97" s="20" t="n">
        <v>363.26</v>
      </c>
      <c r="G97" s="5" t="n">
        <v>863.8</v>
      </c>
      <c r="H97" s="5">
        <f>F97*G97</f>
        <v/>
      </c>
    </row>
    <row r="98" ht="14" customHeight="1">
      <c r="A98" s="16" t="inlineStr">
        <is>
          <t>Demir-inşaat işleri</t>
        </is>
      </c>
      <c r="B98" s="17" t="inlineStr">
        <is>
          <t>Gübre Çukuru</t>
        </is>
      </c>
      <c r="C98" s="18" t="inlineStr">
        <is>
          <t>15.160.1003</t>
        </is>
      </c>
      <c r="D98" s="16" t="inlineStr">
        <is>
          <t>Ø8-Ø12 nervürlü beton çelik çubuğu — gübre çukuru</t>
        </is>
      </c>
      <c r="E98" s="19" t="inlineStr">
        <is>
          <t>ton</t>
        </is>
      </c>
      <c r="F98" s="20" t="n">
        <v>7.5993</v>
      </c>
      <c r="G98" s="5" t="n">
        <v>39045.24</v>
      </c>
      <c r="H98" s="5">
        <f>F98*G98</f>
        <v/>
      </c>
    </row>
    <row r="99" ht="20" customHeight="1">
      <c r="A99" s="16" t="inlineStr">
        <is>
          <t>Demir-inşaat işleri</t>
        </is>
      </c>
      <c r="B99" s="17" t="inlineStr">
        <is>
          <t>Gübre Çukuru</t>
        </is>
      </c>
      <c r="C99" s="18" t="inlineStr">
        <is>
          <t>15.160.1004</t>
        </is>
      </c>
      <c r="D99" s="16" t="inlineStr">
        <is>
          <t>Ø14-Ø28 nervürlü beton çelik çubuğu — gübre çukuru ve yağmur suyu deposu</t>
        </is>
      </c>
      <c r="E99" s="19" t="inlineStr">
        <is>
          <t>ton</t>
        </is>
      </c>
      <c r="F99" s="20" t="n">
        <v>0.5641</v>
      </c>
      <c r="G99" s="5" t="n">
        <v>37532.19</v>
      </c>
      <c r="H99" s="5">
        <f>F99*G99</f>
        <v/>
      </c>
    </row>
    <row r="100" ht="20" customHeight="1">
      <c r="A100" s="16" t="inlineStr">
        <is>
          <t>Kazı, dolgu ve reglaj işleri</t>
        </is>
      </c>
      <c r="B100" s="17" t="inlineStr">
        <is>
          <t>Ölü Atma Çukuru</t>
        </is>
      </c>
      <c r="C100" s="18" t="inlineStr">
        <is>
          <t>15.120.1101</t>
        </is>
      </c>
      <c r="D100" s="16" t="inlineStr">
        <is>
          <t>Makine ile dar ve derin sandık kazı — ölü atma çukuru, depolar, foseptik ve silo kaideleri</t>
        </is>
      </c>
      <c r="E100" s="19" t="inlineStr">
        <is>
          <t>m³</t>
        </is>
      </c>
      <c r="F100" s="20" t="n">
        <v>142</v>
      </c>
      <c r="G100" s="5" t="n">
        <v>60.35</v>
      </c>
      <c r="H100" s="5">
        <f>F100*G100</f>
        <v/>
      </c>
    </row>
    <row r="101" ht="20" customHeight="1">
      <c r="A101" s="16" t="inlineStr">
        <is>
          <t>Beton işleri</t>
        </is>
      </c>
      <c r="B101" s="17" t="inlineStr">
        <is>
          <t>Ölü Atma Çukuru</t>
        </is>
      </c>
      <c r="C101" s="18" t="inlineStr">
        <is>
          <t>15.150.1003</t>
        </is>
      </c>
      <c r="D101" s="16" t="inlineStr">
        <is>
          <t>C 16/20 hazır beton dökülmesi — çukur, depo, foseptik ve silo kaideleri altı grobeton</t>
        </is>
      </c>
      <c r="E101" s="19" t="inlineStr">
        <is>
          <t>m³</t>
        </is>
      </c>
      <c r="F101" s="20" t="n">
        <v>1.984</v>
      </c>
      <c r="G101" s="5" t="n">
        <v>2750.45</v>
      </c>
      <c r="H101" s="5">
        <f>F101*G101</f>
        <v/>
      </c>
    </row>
    <row r="102" ht="20" customHeight="1">
      <c r="A102" s="16" t="inlineStr">
        <is>
          <t>Betonarme işleri</t>
        </is>
      </c>
      <c r="B102" s="17" t="inlineStr">
        <is>
          <t>Ölü Atma Çukuru</t>
        </is>
      </c>
      <c r="C102" s="18" t="inlineStr">
        <is>
          <t>15.150.1005</t>
        </is>
      </c>
      <c r="D102" s="16" t="inlineStr">
        <is>
          <t>C 25/30 hazır beton dökülmesi — ölü atma çukuru, su ve yağmur suyu depoları</t>
        </is>
      </c>
      <c r="E102" s="19" t="inlineStr">
        <is>
          <t>m³</t>
        </is>
      </c>
      <c r="F102" s="20" t="n">
        <v>20.85</v>
      </c>
      <c r="G102" s="5" t="n">
        <v>2960.45</v>
      </c>
      <c r="H102" s="5">
        <f>F102*G102</f>
        <v/>
      </c>
    </row>
    <row r="103" ht="14" customHeight="1">
      <c r="A103" s="16" t="inlineStr">
        <is>
          <t>Kalıp, yapı iskelesi işleri</t>
        </is>
      </c>
      <c r="B103" s="17" t="inlineStr">
        <is>
          <t>Ölü Atma Çukuru</t>
        </is>
      </c>
      <c r="C103" s="18" t="inlineStr">
        <is>
          <t>15.180.1003</t>
        </is>
      </c>
      <c r="D103" s="16" t="inlineStr">
        <is>
          <t>Plywood ile düz yüzeyli betonarme kalıbı — çukur ve depolar</t>
        </is>
      </c>
      <c r="E103" s="19" t="inlineStr">
        <is>
          <t>m²</t>
        </is>
      </c>
      <c r="F103" s="20" t="n">
        <v>127.2</v>
      </c>
      <c r="G103" s="5" t="n">
        <v>863.8</v>
      </c>
      <c r="H103" s="5">
        <f>F103*G103</f>
        <v/>
      </c>
    </row>
    <row r="104" ht="20" customHeight="1">
      <c r="A104" s="16" t="inlineStr">
        <is>
          <t>Demir-inşaat işleri</t>
        </is>
      </c>
      <c r="B104" s="17" t="inlineStr">
        <is>
          <t>Ölü Atma Çukuru</t>
        </is>
      </c>
      <c r="C104" s="18" t="inlineStr">
        <is>
          <t>15.160.1003</t>
        </is>
      </c>
      <c r="D104" s="16" t="inlineStr">
        <is>
          <t>Ø8-Ø12 nervürlü beton çelik çubuğu — çukur, depo, foseptik ve silo kaideleri</t>
        </is>
      </c>
      <c r="E104" s="19" t="inlineStr">
        <is>
          <t>ton</t>
        </is>
      </c>
      <c r="F104" s="20" t="n">
        <v>1.6571</v>
      </c>
      <c r="G104" s="5" t="n">
        <v>39045.24</v>
      </c>
      <c r="H104" s="5">
        <f>F104*G104</f>
        <v/>
      </c>
    </row>
    <row r="105" ht="20" customHeight="1">
      <c r="A105" s="16" t="inlineStr">
        <is>
          <t>Kazı, dolgu ve reglaj işleri</t>
        </is>
      </c>
      <c r="B105" s="17" t="inlineStr">
        <is>
          <t>Foseptik</t>
        </is>
      </c>
      <c r="C105" s="18" t="inlineStr">
        <is>
          <t>15.120.1101</t>
        </is>
      </c>
      <c r="D105" s="16" t="inlineStr">
        <is>
          <t>Makine ile dar ve derin sandık kazı — ölü atma çukuru, depolar, foseptik ve silo kaideleri</t>
        </is>
      </c>
      <c r="E105" s="19" t="inlineStr">
        <is>
          <t>m³</t>
        </is>
      </c>
      <c r="F105" s="20" t="n">
        <v>48.8</v>
      </c>
      <c r="G105" s="5" t="n">
        <v>60.35</v>
      </c>
      <c r="H105" s="5">
        <f>F105*G105</f>
        <v/>
      </c>
    </row>
    <row r="106" ht="20" customHeight="1">
      <c r="A106" s="16" t="inlineStr">
        <is>
          <t>Beton işleri</t>
        </is>
      </c>
      <c r="B106" s="17" t="inlineStr">
        <is>
          <t>Foseptik</t>
        </is>
      </c>
      <c r="C106" s="18" t="inlineStr">
        <is>
          <t>15.150.1003</t>
        </is>
      </c>
      <c r="D106" s="16" t="inlineStr">
        <is>
          <t>C 16/20 hazır beton dökülmesi — çukur, depo, foseptik ve silo kaideleri altı grobeton</t>
        </is>
      </c>
      <c r="E106" s="19" t="inlineStr">
        <is>
          <t>m³</t>
        </is>
      </c>
      <c r="F106" s="20" t="n">
        <v>0.484</v>
      </c>
      <c r="G106" s="5" t="n">
        <v>2750.45</v>
      </c>
      <c r="H106" s="5">
        <f>F106*G106</f>
        <v/>
      </c>
    </row>
    <row r="107" ht="14" customHeight="1">
      <c r="A107" s="16" t="inlineStr">
        <is>
          <t>Betonarme işleri</t>
        </is>
      </c>
      <c r="B107" s="17" t="inlineStr">
        <is>
          <t>Foseptik</t>
        </is>
      </c>
      <c r="C107" s="18" t="inlineStr">
        <is>
          <t>15.150.1005</t>
        </is>
      </c>
      <c r="D107" s="16" t="inlineStr">
        <is>
          <t>C 25/30 hazır beton dökülmesi — foseptik ve silo kaideleri</t>
        </is>
      </c>
      <c r="E107" s="19" t="inlineStr">
        <is>
          <t>m³</t>
        </is>
      </c>
      <c r="F107" s="20" t="n">
        <v>6.175</v>
      </c>
      <c r="G107" s="5" t="n">
        <v>2960.45</v>
      </c>
      <c r="H107" s="5">
        <f>F107*G107</f>
        <v/>
      </c>
    </row>
    <row r="108" ht="20" customHeight="1">
      <c r="A108" s="16" t="inlineStr">
        <is>
          <t>Kalıp, yapı iskelesi işleri</t>
        </is>
      </c>
      <c r="B108" s="17" t="inlineStr">
        <is>
          <t>Foseptik</t>
        </is>
      </c>
      <c r="C108" s="18" t="inlineStr">
        <is>
          <t>15.180.1003</t>
        </is>
      </c>
      <c r="D108" s="16" t="inlineStr">
        <is>
          <t>Plywood ile düz yüzeyli betonarme kalıbı — foseptik ve silo kaideleri</t>
        </is>
      </c>
      <c r="E108" s="19" t="inlineStr">
        <is>
          <t>m²</t>
        </is>
      </c>
      <c r="F108" s="20" t="n">
        <v>41.4</v>
      </c>
      <c r="G108" s="5" t="n">
        <v>863.8</v>
      </c>
      <c r="H108" s="5">
        <f>F108*G108</f>
        <v/>
      </c>
    </row>
    <row r="109" ht="20" customHeight="1">
      <c r="A109" s="16" t="inlineStr">
        <is>
          <t>Demir-inşaat işleri</t>
        </is>
      </c>
      <c r="B109" s="17" t="inlineStr">
        <is>
          <t>Foseptik</t>
        </is>
      </c>
      <c r="C109" s="18" t="inlineStr">
        <is>
          <t>15.160.1003</t>
        </is>
      </c>
      <c r="D109" s="16" t="inlineStr">
        <is>
          <t>Ø8-Ø12 nervürlü beton çelik çubuğu — çukur, depo, foseptik ve silo kaideleri</t>
        </is>
      </c>
      <c r="E109" s="19" t="inlineStr">
        <is>
          <t>ton</t>
        </is>
      </c>
      <c r="F109" s="20" t="n">
        <v>0.5866</v>
      </c>
      <c r="G109" s="5" t="n">
        <v>39045.24</v>
      </c>
      <c r="H109" s="5">
        <f>F109*G109</f>
        <v/>
      </c>
    </row>
    <row r="110" ht="20" customHeight="1">
      <c r="A110" s="16" t="inlineStr">
        <is>
          <t>Kazı, dolgu ve reglaj işleri</t>
        </is>
      </c>
      <c r="B110" s="17" t="inlineStr">
        <is>
          <t>Yem Silosu Betonarme Kaideleri</t>
        </is>
      </c>
      <c r="C110" s="18" t="inlineStr">
        <is>
          <t>15.120.1101</t>
        </is>
      </c>
      <c r="D110" s="16" t="inlineStr">
        <is>
          <t>Makine ile dar ve derin sandık kazı — ölü atma çukuru, depolar, foseptik ve silo kaideleri</t>
        </is>
      </c>
      <c r="E110" s="19" t="inlineStr">
        <is>
          <t>m³</t>
        </is>
      </c>
      <c r="F110" s="20" t="n">
        <v>48.02</v>
      </c>
      <c r="G110" s="5" t="n">
        <v>60.35</v>
      </c>
      <c r="H110" s="5">
        <f>F110*G110</f>
        <v/>
      </c>
    </row>
    <row r="111" ht="20" customHeight="1">
      <c r="A111" s="16" t="inlineStr">
        <is>
          <t>Beton işleri</t>
        </is>
      </c>
      <c r="B111" s="17" t="inlineStr">
        <is>
          <t>Yem Silosu Betonarme Kaideleri</t>
        </is>
      </c>
      <c r="C111" s="18" t="inlineStr">
        <is>
          <t>15.150.1003</t>
        </is>
      </c>
      <c r="D111" s="16" t="inlineStr">
        <is>
          <t>C 16/20 hazır beton dökülmesi — çukur, depo, foseptik ve silo kaideleri altı grobeton</t>
        </is>
      </c>
      <c r="E111" s="19" t="inlineStr">
        <is>
          <t>m³</t>
        </is>
      </c>
      <c r="F111" s="20" t="n">
        <v>1.922</v>
      </c>
      <c r="G111" s="5" t="n">
        <v>2750.45</v>
      </c>
      <c r="H111" s="5">
        <f>F111*G111</f>
        <v/>
      </c>
    </row>
    <row r="112" ht="14" customHeight="1">
      <c r="A112" s="16" t="inlineStr">
        <is>
          <t>Betonarme işleri</t>
        </is>
      </c>
      <c r="B112" s="17" t="inlineStr">
        <is>
          <t>Yem Silosu Betonarme Kaideleri</t>
        </is>
      </c>
      <c r="C112" s="18" t="inlineStr">
        <is>
          <t>15.150.1005</t>
        </is>
      </c>
      <c r="D112" s="16" t="inlineStr">
        <is>
          <t>C 25/30 hazır beton dökülmesi — foseptik ve silo kaideleri</t>
        </is>
      </c>
      <c r="E112" s="19" t="inlineStr">
        <is>
          <t>m³</t>
        </is>
      </c>
      <c r="F112" s="20" t="n">
        <v>8.41</v>
      </c>
      <c r="G112" s="5" t="n">
        <v>2960.45</v>
      </c>
      <c r="H112" s="5">
        <f>F112*G112</f>
        <v/>
      </c>
    </row>
    <row r="113" ht="20" customHeight="1">
      <c r="A113" s="16" t="inlineStr">
        <is>
          <t>Kalıp, yapı iskelesi işleri</t>
        </is>
      </c>
      <c r="B113" s="17" t="inlineStr">
        <is>
          <t>Yem Silosu Betonarme Kaideleri</t>
        </is>
      </c>
      <c r="C113" s="18" t="inlineStr">
        <is>
          <t>15.180.1003</t>
        </is>
      </c>
      <c r="D113" s="16" t="inlineStr">
        <is>
          <t>Plywood ile düz yüzeyli betonarme kalıbı — foseptik ve silo kaideleri</t>
        </is>
      </c>
      <c r="E113" s="19" t="inlineStr">
        <is>
          <t>m²</t>
        </is>
      </c>
      <c r="F113" s="20" t="n">
        <v>11.6</v>
      </c>
      <c r="G113" s="5" t="n">
        <v>863.8</v>
      </c>
      <c r="H113" s="5">
        <f>F113*G113</f>
        <v/>
      </c>
    </row>
    <row r="114" ht="20" customHeight="1">
      <c r="A114" s="16" t="inlineStr">
        <is>
          <t>Demir-inşaat işleri</t>
        </is>
      </c>
      <c r="B114" s="17" t="inlineStr">
        <is>
          <t>Yem Silosu Betonarme Kaideleri</t>
        </is>
      </c>
      <c r="C114" s="18" t="inlineStr">
        <is>
          <t>15.160.1003</t>
        </is>
      </c>
      <c r="D114" s="16" t="inlineStr">
        <is>
          <t>Ø8-Ø12 nervürlü beton çelik çubuğu — çukur, depo, foseptik ve silo kaideleri</t>
        </is>
      </c>
      <c r="E114" s="19" t="inlineStr">
        <is>
          <t>ton</t>
        </is>
      </c>
      <c r="F114" s="20" t="n">
        <v>0.7569</v>
      </c>
      <c r="G114" s="5" t="n">
        <v>39045.24</v>
      </c>
      <c r="H114" s="5">
        <f>F114*G114</f>
        <v/>
      </c>
    </row>
    <row r="115" ht="20" customHeight="1">
      <c r="A115" s="16" t="inlineStr">
        <is>
          <t>Kazı, dolgu ve reglaj işleri</t>
        </is>
      </c>
      <c r="B115" s="17" t="inlineStr">
        <is>
          <t>Su Deposu</t>
        </is>
      </c>
      <c r="C115" s="18" t="inlineStr">
        <is>
          <t>15.120.1101</t>
        </is>
      </c>
      <c r="D115" s="16" t="inlineStr">
        <is>
          <t>Makine ile dar ve derin sandık kazı — ölü atma çukuru, depolar, foseptik ve silo kaideleri</t>
        </is>
      </c>
      <c r="E115" s="19" t="inlineStr">
        <is>
          <t>m³</t>
        </is>
      </c>
      <c r="F115" s="20" t="n">
        <v>106.5</v>
      </c>
      <c r="G115" s="5" t="n">
        <v>60.35</v>
      </c>
      <c r="H115" s="5">
        <f>F115*G115</f>
        <v/>
      </c>
    </row>
    <row r="116" ht="20" customHeight="1">
      <c r="A116" s="16" t="inlineStr">
        <is>
          <t>Beton işleri</t>
        </is>
      </c>
      <c r="B116" s="17" t="inlineStr">
        <is>
          <t>Su Deposu</t>
        </is>
      </c>
      <c r="C116" s="18" t="inlineStr">
        <is>
          <t>15.150.1003</t>
        </is>
      </c>
      <c r="D116" s="16" t="inlineStr">
        <is>
          <t>C 16/20 hazır beton dökülmesi — çukur, depo, foseptik ve silo kaideleri altı grobeton</t>
        </is>
      </c>
      <c r="E116" s="19" t="inlineStr">
        <is>
          <t>m³</t>
        </is>
      </c>
      <c r="F116" s="20" t="n">
        <v>1.344</v>
      </c>
      <c r="G116" s="5" t="n">
        <v>2750.45</v>
      </c>
      <c r="H116" s="5">
        <f>F116*G116</f>
        <v/>
      </c>
    </row>
    <row r="117" ht="20" customHeight="1">
      <c r="A117" s="16" t="inlineStr">
        <is>
          <t>Betonarme işleri</t>
        </is>
      </c>
      <c r="B117" s="17" t="inlineStr">
        <is>
          <t>Su Deposu</t>
        </is>
      </c>
      <c r="C117" s="18" t="inlineStr">
        <is>
          <t>15.150.1005</t>
        </is>
      </c>
      <c r="D117" s="16" t="inlineStr">
        <is>
          <t>C 25/30 hazır beton dökülmesi — ölü atma çukuru, su ve yağmur suyu depoları</t>
        </is>
      </c>
      <c r="E117" s="19" t="inlineStr">
        <is>
          <t>m³</t>
        </is>
      </c>
      <c r="F117" s="20" t="n">
        <v>15.15</v>
      </c>
      <c r="G117" s="5" t="n">
        <v>2960.45</v>
      </c>
      <c r="H117" s="5">
        <f>F117*G117</f>
        <v/>
      </c>
    </row>
    <row r="118" ht="14" customHeight="1">
      <c r="A118" s="16" t="inlineStr">
        <is>
          <t>Kalıp, yapı iskelesi işleri</t>
        </is>
      </c>
      <c r="B118" s="17" t="inlineStr">
        <is>
          <t>Su Deposu</t>
        </is>
      </c>
      <c r="C118" s="18" t="inlineStr">
        <is>
          <t>15.180.1003</t>
        </is>
      </c>
      <c r="D118" s="16" t="inlineStr">
        <is>
          <t>Plywood ile düz yüzeyli betonarme kalıbı — çukur ve depolar</t>
        </is>
      </c>
      <c r="E118" s="19" t="inlineStr">
        <is>
          <t>m²</t>
        </is>
      </c>
      <c r="F118" s="20" t="n">
        <v>95.59999999999999</v>
      </c>
      <c r="G118" s="5" t="n">
        <v>863.8</v>
      </c>
      <c r="H118" s="5">
        <f>F118*G118</f>
        <v/>
      </c>
    </row>
    <row r="119" ht="20" customHeight="1">
      <c r="A119" s="16" t="inlineStr">
        <is>
          <t>Demir-inşaat işleri</t>
        </is>
      </c>
      <c r="B119" s="17" t="inlineStr">
        <is>
          <t>Su Deposu</t>
        </is>
      </c>
      <c r="C119" s="18" t="inlineStr">
        <is>
          <t>15.160.1003</t>
        </is>
      </c>
      <c r="D119" s="16" t="inlineStr">
        <is>
          <t>Ø8-Ø12 nervürlü beton çelik çubuğu — çukur, depo, foseptik ve silo kaideleri</t>
        </is>
      </c>
      <c r="E119" s="19" t="inlineStr">
        <is>
          <t>ton</t>
        </is>
      </c>
      <c r="F119" s="20" t="n">
        <v>1.2316</v>
      </c>
      <c r="G119" s="5" t="n">
        <v>39045.24</v>
      </c>
      <c r="H119" s="5">
        <f>F119*G119</f>
        <v/>
      </c>
    </row>
    <row r="120" ht="14" customHeight="1">
      <c r="A120" s="16" t="inlineStr">
        <is>
          <t>Kazı, dolgu ve reglaj işleri</t>
        </is>
      </c>
      <c r="B120" s="17" t="inlineStr">
        <is>
          <t>Çevre Düzenlemesi ve Saha Altyapısı</t>
        </is>
      </c>
      <c r="C120" s="18" t="inlineStr">
        <is>
          <t>15.120.1001</t>
        </is>
      </c>
      <c r="D120" s="16" t="inlineStr">
        <is>
          <t>Makine ile kaba tesviye kazısı — tesis içi yol güzergâhı</t>
        </is>
      </c>
      <c r="E120" s="19" t="inlineStr">
        <is>
          <t>m³</t>
        </is>
      </c>
      <c r="F120" s="20" t="n">
        <v>260.9425</v>
      </c>
      <c r="G120" s="5" t="n">
        <v>52.37</v>
      </c>
      <c r="H120" s="5">
        <f>F120*G120</f>
        <v/>
      </c>
    </row>
    <row r="121" ht="20" customHeight="1">
      <c r="A121" s="16" t="inlineStr">
        <is>
          <t>Çevre düzenlemesi ve çit işleri</t>
        </is>
      </c>
      <c r="B121" s="17" t="inlineStr">
        <is>
          <t>Çevre Düzenlemesi ve Saha Altyapısı</t>
        </is>
      </c>
      <c r="C121" s="18" t="inlineStr">
        <is>
          <t>TKDK-0091</t>
        </is>
      </c>
      <c r="D121" s="16" t="inlineStr">
        <is>
          <t>1,50 m yükseklikte sıcak daldırma galvanizli tel örgü ile çit yapılması</t>
        </is>
      </c>
      <c r="E121" s="19" t="inlineStr">
        <is>
          <t>m</t>
        </is>
      </c>
      <c r="F121" s="20" t="n">
        <v>361.04</v>
      </c>
      <c r="G121" s="5" t="n">
        <v>940.84</v>
      </c>
      <c r="H121" s="5">
        <f>F121*G121</f>
        <v/>
      </c>
    </row>
    <row r="122" ht="20" customHeight="1">
      <c r="A122" s="16" t="inlineStr">
        <is>
          <t>Kanalizasyon işleri</t>
        </is>
      </c>
      <c r="B122" s="17" t="inlineStr">
        <is>
          <t>Çevre Düzenlemesi ve Saha Altyapısı</t>
        </is>
      </c>
      <c r="C122" s="18" t="inlineStr">
        <is>
          <t>43.527.1001</t>
        </is>
      </c>
      <c r="D122" s="16" t="inlineStr">
        <is>
          <t>ø150 HDPE koruge boru ile pissu hattı döşenmesi (SN 8, lastik conta ve boru bedeli dahil)</t>
        </is>
      </c>
      <c r="E122" s="19" t="inlineStr">
        <is>
          <t>m</t>
        </is>
      </c>
      <c r="F122" s="20" t="n">
        <v>50</v>
      </c>
      <c r="G122" s="5" t="n">
        <v>330.7</v>
      </c>
      <c r="H122" s="5">
        <f>F122*G122</f>
        <v/>
      </c>
    </row>
    <row r="123" ht="14" customHeight="1">
      <c r="A123" s="16" t="inlineStr">
        <is>
          <t>Betonarme işleri</t>
        </is>
      </c>
      <c r="B123" s="17" t="inlineStr">
        <is>
          <t>Çevre Düzenlemesi ve Saha Altyapısı</t>
        </is>
      </c>
      <c r="C123" s="18" t="inlineStr">
        <is>
          <t>15.150.1005</t>
        </is>
      </c>
      <c r="D123" s="16" t="inlineStr">
        <is>
          <t>C 25/30 hazır beton dökülmesi — betonarme rögarlar</t>
        </is>
      </c>
      <c r="E123" s="19" t="inlineStr">
        <is>
          <t>m³</t>
        </is>
      </c>
      <c r="F123" s="20" t="n">
        <v>1.566</v>
      </c>
      <c r="G123" s="5" t="n">
        <v>2960.45</v>
      </c>
      <c r="H123" s="5">
        <f>F123*G123</f>
        <v/>
      </c>
    </row>
    <row r="124" ht="20" customHeight="1">
      <c r="A124" s="16" t="inlineStr">
        <is>
          <t>Kalıp, yapı iskelesi işleri</t>
        </is>
      </c>
      <c r="B124" s="17" t="inlineStr">
        <is>
          <t>Çevre Düzenlemesi ve Saha Altyapısı</t>
        </is>
      </c>
      <c r="C124" s="18" t="inlineStr">
        <is>
          <t>15.180.1003</t>
        </is>
      </c>
      <c r="D124" s="16" t="inlineStr">
        <is>
          <t>Düz yüzeyli beton ve betonarme kalıbı yapılması — betonarme rögarlar</t>
        </is>
      </c>
      <c r="E124" s="19" t="inlineStr">
        <is>
          <t>m²</t>
        </is>
      </c>
      <c r="F124" s="20" t="n">
        <v>14.4</v>
      </c>
      <c r="G124" s="5" t="n">
        <v>863.8</v>
      </c>
      <c r="H124" s="5">
        <f>F124*G124</f>
        <v/>
      </c>
    </row>
    <row r="125" ht="14" customHeight="1">
      <c r="A125" s="16" t="inlineStr">
        <is>
          <t>Demir-inşaat işleri</t>
        </is>
      </c>
      <c r="B125" s="17" t="inlineStr">
        <is>
          <t>Çevre Düzenlemesi ve Saha Altyapısı</t>
        </is>
      </c>
      <c r="C125" s="18" t="inlineStr">
        <is>
          <t>15.160.1003</t>
        </is>
      </c>
      <c r="D125" s="16" t="inlineStr">
        <is>
          <t>Nervürlü betonarme çeliği ø8-ø12 — betonarme rögarlar</t>
        </is>
      </c>
      <c r="E125" s="19" t="inlineStr">
        <is>
          <t>ton</t>
        </is>
      </c>
      <c r="F125" s="20" t="n">
        <v>0.1409</v>
      </c>
      <c r="G125" s="5" t="n">
        <v>39045.24</v>
      </c>
      <c r="H125" s="5">
        <f>F125*G125</f>
        <v/>
      </c>
    </row>
    <row r="126" ht="14" customHeight="1">
      <c r="A126" s="16" t="inlineStr">
        <is>
          <t>Kanalizasyon işleri</t>
        </is>
      </c>
      <c r="B126" s="17" t="inlineStr">
        <is>
          <t>Çevre Düzenlemesi ve Saha Altyapısı</t>
        </is>
      </c>
      <c r="C126" s="18" t="inlineStr">
        <is>
          <t>15.560.1003</t>
        </is>
      </c>
      <c r="D126" s="16" t="inlineStr">
        <is>
          <t>Betonarme kompozit rögar kapağı temini ve yerine konulması</t>
        </is>
      </c>
      <c r="E126" s="19" t="inlineStr">
        <is>
          <t>ad</t>
        </is>
      </c>
      <c r="F126" s="20" t="n">
        <v>4</v>
      </c>
      <c r="G126" s="5" t="n">
        <v>3744.3</v>
      </c>
      <c r="H126" s="5">
        <f>F126*G126</f>
        <v/>
      </c>
    </row>
    <row r="127" ht="20" customHeight="1">
      <c r="A127" s="16" t="inlineStr">
        <is>
          <t>Elektrik tesisatı ve aydınlatma</t>
        </is>
      </c>
      <c r="B127" s="17" t="inlineStr">
        <is>
          <t>Çevre Düzenlemesi ve Saha Altyapısı</t>
        </is>
      </c>
      <c r="C127" s="18" t="inlineStr">
        <is>
          <t>30.100.1104</t>
        </is>
      </c>
      <c r="D127" s="16" t="inlineStr">
        <is>
          <t>Ana dağıtım panosu (dikili tip galvanizli sac, en az 700 mm en, 400 mm derinlik)</t>
        </is>
      </c>
      <c r="E127" s="19" t="inlineStr">
        <is>
          <t>ad</t>
        </is>
      </c>
      <c r="F127" s="20" t="n">
        <v>1</v>
      </c>
      <c r="G127" s="5" t="n">
        <v>41083.03</v>
      </c>
      <c r="H127" s="5">
        <f>F127*G127</f>
        <v/>
      </c>
    </row>
    <row r="128" ht="14" customHeight="1">
      <c r="A128" s="16" t="inlineStr">
        <is>
          <t>Elektrik tesisatı ve aydınlatma</t>
        </is>
      </c>
      <c r="B128" s="17" t="inlineStr">
        <is>
          <t>Çevre Düzenlemesi ve Saha Altyapısı</t>
        </is>
      </c>
      <c r="C128" s="18" t="inlineStr">
        <is>
          <t>30.100.2106</t>
        </is>
      </c>
      <c r="D128" s="16" t="inlineStr">
        <is>
          <t>Sayaç panosu (sıva üstü galvanizli sac tablo, 0,50-0,60 m²)</t>
        </is>
      </c>
      <c r="E128" s="19" t="inlineStr">
        <is>
          <t>ad</t>
        </is>
      </c>
      <c r="F128" s="20" t="n">
        <v>1</v>
      </c>
      <c r="G128" s="5" t="n">
        <v>10633.02</v>
      </c>
      <c r="H128" s="5">
        <f>F128*G128</f>
        <v/>
      </c>
    </row>
    <row r="129" ht="20" customHeight="1">
      <c r="A129" s="16" t="inlineStr">
        <is>
          <t>Elektrik tesisatı ve aydınlatma</t>
        </is>
      </c>
      <c r="B129" s="17" t="inlineStr">
        <is>
          <t>Çevre Düzenlemesi ve Saha Altyapısı</t>
        </is>
      </c>
      <c r="C129" s="18" t="inlineStr">
        <is>
          <t>30.135.3201</t>
        </is>
      </c>
      <c r="D129" s="16" t="inlineStr">
        <is>
          <t>Üç fazlı zaman tarifeli elektronik aktif sayaç, en az 5(100) A, 3x230/400 V</t>
        </is>
      </c>
      <c r="E129" s="19" t="inlineStr">
        <is>
          <t>ad</t>
        </is>
      </c>
      <c r="F129" s="20" t="n">
        <v>1</v>
      </c>
      <c r="G129" s="5" t="n">
        <v>1955.4</v>
      </c>
      <c r="H129" s="5">
        <f>F129*G129</f>
        <v/>
      </c>
    </row>
    <row r="130" ht="14" customHeight="1">
      <c r="A130" s="16" t="inlineStr">
        <is>
          <t>Elektrik tesisatı ve aydınlatma</t>
        </is>
      </c>
      <c r="B130" s="17" t="inlineStr">
        <is>
          <t>Çevre Düzenlemesi ve Saha Altyapısı</t>
        </is>
      </c>
      <c r="C130" s="18" t="inlineStr">
        <is>
          <t>30.110.1104</t>
        </is>
      </c>
      <c r="D130" s="16" t="inlineStr">
        <is>
          <t>Termik-manyetik kompakt şalter 3x160 A, Icu 35 kA — ana giriş</t>
        </is>
      </c>
      <c r="E130" s="19" t="inlineStr">
        <is>
          <t>ad</t>
        </is>
      </c>
      <c r="F130" s="20" t="n">
        <v>1</v>
      </c>
      <c r="G130" s="5" t="n">
        <v>6179.11</v>
      </c>
      <c r="H130" s="5">
        <f>F130*G130</f>
        <v/>
      </c>
    </row>
    <row r="131" ht="14" customHeight="1">
      <c r="A131" s="16" t="inlineStr">
        <is>
          <t>Elektrik tesisatı ve aydınlatma</t>
        </is>
      </c>
      <c r="B131" s="17" t="inlineStr">
        <is>
          <t>Çevre Düzenlemesi ve Saha Altyapısı</t>
        </is>
      </c>
      <c r="C131" s="18" t="inlineStr">
        <is>
          <t>30.115.1003</t>
        </is>
      </c>
      <c r="D131" s="16" t="inlineStr">
        <is>
          <t>Kaçak akım koruma şalteri 2x63 A, 30 mA</t>
        </is>
      </c>
      <c r="E131" s="19" t="inlineStr">
        <is>
          <t>ad</t>
        </is>
      </c>
      <c r="F131" s="20" t="n">
        <v>2</v>
      </c>
      <c r="G131" s="5" t="n">
        <v>1402.96</v>
      </c>
      <c r="H131" s="5">
        <f>F131*G131</f>
        <v/>
      </c>
    </row>
    <row r="132" ht="20" customHeight="1">
      <c r="A132" s="16" t="inlineStr">
        <is>
          <t>Elektrik tesisatı ve aydınlatma</t>
        </is>
      </c>
      <c r="B132" s="17" t="inlineStr">
        <is>
          <t>Çevre Düzenlemesi ve Saha Altyapısı</t>
        </is>
      </c>
      <c r="C132" s="18" t="inlineStr">
        <is>
          <t>30.140.3105</t>
        </is>
      </c>
      <c r="D132" s="16" t="inlineStr">
        <is>
          <t>YVV (NYY) 1 kV yeraltı kablosu ile besleme hattı tesisi — 1x35 mm²</t>
        </is>
      </c>
      <c r="E132" s="19" t="inlineStr">
        <is>
          <t>m</t>
        </is>
      </c>
      <c r="F132" s="20" t="n">
        <v>50</v>
      </c>
      <c r="G132" s="5" t="n">
        <v>360.29</v>
      </c>
      <c r="H132" s="5">
        <f>F132*G132</f>
        <v/>
      </c>
    </row>
    <row r="133" ht="20" customHeight="1">
      <c r="A133" s="16" t="inlineStr">
        <is>
          <t>Elektrik tesisatı ve aydınlatma</t>
        </is>
      </c>
      <c r="B133" s="17" t="inlineStr">
        <is>
          <t>Çevre Düzenlemesi ve Saha Altyapısı</t>
        </is>
      </c>
      <c r="C133" s="18" t="inlineStr">
        <is>
          <t>30.140.3101</t>
        </is>
      </c>
      <c r="D133" s="16" t="inlineStr">
        <is>
          <t>YVV (NYY) 1 kV yeraltı kablosu ile besleme hattı tesisi — 1x6 mm²</t>
        </is>
      </c>
      <c r="E133" s="19" t="inlineStr">
        <is>
          <t>m</t>
        </is>
      </c>
      <c r="F133" s="20" t="n">
        <v>50</v>
      </c>
      <c r="G133" s="5" t="n">
        <v>66.63</v>
      </c>
      <c r="H133" s="5">
        <f>F133*G133</f>
        <v/>
      </c>
    </row>
    <row r="134" ht="20" customHeight="1">
      <c r="A134" s="16" t="inlineStr">
        <is>
          <t>Elektrik tesisatı ve aydınlatma</t>
        </is>
      </c>
      <c r="B134" s="17" t="inlineStr">
        <is>
          <t>Çevre Düzenlemesi ve Saha Altyapısı</t>
        </is>
      </c>
      <c r="C134" s="18" t="inlineStr">
        <is>
          <t>30.172.1706</t>
        </is>
      </c>
      <c r="D134" s="16" t="inlineStr">
        <is>
          <t>Aydınlatma direği — taban çapı en az 80 mm, yükseklik en az 4,00 m</t>
        </is>
      </c>
      <c r="E134" s="19" t="inlineStr">
        <is>
          <t>ad</t>
        </is>
      </c>
      <c r="F134" s="20" t="n">
        <v>4</v>
      </c>
      <c r="G134" s="5" t="n">
        <v>8097.86</v>
      </c>
      <c r="H134" s="5">
        <f>F134*G134</f>
        <v/>
      </c>
    </row>
    <row r="135" ht="14" customHeight="1">
      <c r="A135" s="16" t="inlineStr">
        <is>
          <t>Elektrik tesisatı ve aydınlatma</t>
        </is>
      </c>
      <c r="B135" s="17" t="inlineStr">
        <is>
          <t>Çevre Düzenlemesi ve Saha Altyapısı</t>
        </is>
      </c>
      <c r="C135" s="18" t="inlineStr">
        <is>
          <t>30.170.4002</t>
        </is>
      </c>
      <c r="D135" s="16" t="inlineStr">
        <is>
          <t>LED projektör, ışık akısı en az 5100 lm</t>
        </is>
      </c>
      <c r="E135" s="19" t="inlineStr">
        <is>
          <t>ad</t>
        </is>
      </c>
      <c r="F135" s="20" t="n">
        <v>4</v>
      </c>
      <c r="G135" s="5" t="n">
        <v>9922.59</v>
      </c>
      <c r="H135" s="5">
        <f>F135*G135</f>
        <v/>
      </c>
    </row>
    <row r="136">
      <c r="A136" s="15" t="n"/>
      <c r="B136" s="15" t="n"/>
      <c r="C136" s="15" t="n"/>
      <c r="D136" s="21" t="inlineStr">
        <is>
          <t>A3.1.1 YAPIM İŞLERİ TOPLAMI (KDV hariç)</t>
        </is>
      </c>
      <c r="E136" s="15" t="n"/>
      <c r="F136" s="15" t="n"/>
      <c r="G136" s="15" t="n"/>
      <c r="H136" s="13">
        <f>SUM(H5:H135)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Mert Veterinerlik 21.08.2026 tarih ve 1300 numaralı teklifinden;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 ht="20" customHeight="1">
      <c r="A5" s="17" t="inlineStr">
        <is>
          <t>Makine ve ekipman alımı</t>
        </is>
      </c>
      <c r="B5" s="19" t="n">
        <v>1</v>
      </c>
      <c r="C5" s="16" t="inlineStr">
        <is>
          <t>Yemlik depo motor grubu (170 kg yem deposu, milli yemlik motoru, yemlik hat sonu, elektrik kutusu ile)</t>
        </is>
      </c>
      <c r="D5" s="19" t="inlineStr">
        <is>
          <t>ad</t>
        </is>
      </c>
      <c r="E5" s="20" t="n">
        <v>6</v>
      </c>
      <c r="F5" s="5" t="n">
        <v>22000</v>
      </c>
      <c r="G5" s="5">
        <f>E5*F5</f>
        <v/>
      </c>
    </row>
    <row r="6" ht="14" customHeight="1">
      <c r="A6" s="17" t="inlineStr">
        <is>
          <t>Makine ve ekipman alımı</t>
        </is>
      </c>
      <c r="B6" s="19" t="n">
        <v>2</v>
      </c>
      <c r="C6" s="16" t="inlineStr">
        <is>
          <t>Spiral yemleme sistemi (yemlik boru, yemlik tabağı, yay, boru kelepçesi)</t>
        </is>
      </c>
      <c r="D6" s="19" t="inlineStr">
        <is>
          <t>m</t>
        </is>
      </c>
      <c r="E6" s="20" t="n">
        <v>468</v>
      </c>
      <c r="F6" s="5" t="n">
        <v>510</v>
      </c>
      <c r="G6" s="5">
        <f>E6*F6</f>
        <v/>
      </c>
    </row>
    <row r="7" ht="20" customHeight="1">
      <c r="A7" s="17" t="inlineStr">
        <is>
          <t>Makine ve ekipman alımı</t>
        </is>
      </c>
      <c r="B7" s="19" t="n">
        <v>3</v>
      </c>
      <c r="C7" s="16" t="inlineStr">
        <is>
          <t>15'li nipel sulama sistemi (20 cm'de bir krom nipelli boru, nipel çanağı, muf ve muf teli ile)</t>
        </is>
      </c>
      <c r="D7" s="19" t="inlineStr">
        <is>
          <t>m</t>
        </is>
      </c>
      <c r="E7" s="20" t="n">
        <v>624</v>
      </c>
      <c r="F7" s="5" t="n">
        <v>285</v>
      </c>
      <c r="G7" s="5">
        <f>E7*F7</f>
        <v/>
      </c>
    </row>
    <row r="8" ht="14" customHeight="1">
      <c r="A8" s="17" t="inlineStr">
        <is>
          <t>Makine ve ekipman alımı</t>
        </is>
      </c>
      <c r="B8" s="19" t="n">
        <v>4</v>
      </c>
      <c r="C8" s="16" t="inlineStr">
        <is>
          <t>Regülatör takımı</t>
        </is>
      </c>
      <c r="D8" s="19" t="inlineStr">
        <is>
          <t>ad</t>
        </is>
      </c>
      <c r="E8" s="20" t="n">
        <v>8</v>
      </c>
      <c r="F8" s="5" t="n">
        <v>1800</v>
      </c>
      <c r="G8" s="5">
        <f>E8*F8</f>
        <v/>
      </c>
    </row>
    <row r="9" ht="20" customHeight="1">
      <c r="A9" s="17" t="inlineStr">
        <is>
          <t>Makine ve ekipman alımı</t>
        </is>
      </c>
      <c r="B9" s="19" t="n">
        <v>5</v>
      </c>
      <c r="C9" s="16" t="inlineStr">
        <is>
          <t>Yemlik ve suluk kaldırma sistemi (6 ve 5 mm halat, sarı ve beyaz ip, klemens, plastik makara, askı saçı, bilyalı makara)</t>
        </is>
      </c>
      <c r="D9" s="19" t="inlineStr">
        <is>
          <t>m</t>
        </is>
      </c>
      <c r="E9" s="20" t="n">
        <v>1260</v>
      </c>
      <c r="F9" s="5" t="n">
        <v>55</v>
      </c>
      <c r="G9" s="5">
        <f>E9*F9</f>
        <v/>
      </c>
    </row>
    <row r="10" ht="20" customHeight="1">
      <c r="A10" s="17" t="inlineStr">
        <is>
          <t>Makine ve ekipman alımı</t>
        </is>
      </c>
      <c r="B10" s="19" t="n">
        <v>6</v>
      </c>
      <c r="C10" s="16" t="inlineStr">
        <is>
          <t>Yemlik motorlu kaldırma sistemi (1,1 kW çift redüktörlü frenli kaldırma motoru, mafsal 50'lik boru, UCP bilya, kontrol panosu dâhil)</t>
        </is>
      </c>
      <c r="D10" s="19" t="inlineStr">
        <is>
          <t>ad</t>
        </is>
      </c>
      <c r="E10" s="20" t="n">
        <v>2</v>
      </c>
      <c r="F10" s="5" t="n">
        <v>50000</v>
      </c>
      <c r="G10" s="5">
        <f>E10*F10</f>
        <v/>
      </c>
    </row>
    <row r="11" ht="20" customHeight="1">
      <c r="A11" s="17" t="inlineStr">
        <is>
          <t>Makine ve ekipman alımı</t>
        </is>
      </c>
      <c r="B11" s="19" t="n">
        <v>7</v>
      </c>
      <c r="C11" s="16" t="inlineStr">
        <is>
          <t>Nipel motorlu kaldırma sistemi (0,75 kW çift redüktörlü frenli kaldırma motoru, mafsal 50'lik boru, UCP bilya, kontrol panosu dâhil)</t>
        </is>
      </c>
      <c r="D11" s="19" t="inlineStr">
        <is>
          <t>ad</t>
        </is>
      </c>
      <c r="E11" s="20" t="n">
        <v>2</v>
      </c>
      <c r="F11" s="5" t="n">
        <v>50000</v>
      </c>
      <c r="G11" s="5">
        <f>E11*F11</f>
        <v/>
      </c>
    </row>
    <row r="12" ht="14" customHeight="1">
      <c r="A12" s="17" t="inlineStr">
        <is>
          <t>Makine ve ekipman alımı</t>
        </is>
      </c>
      <c r="B12" s="19" t="n">
        <v>8</v>
      </c>
      <c r="C12" s="16" t="inlineStr">
        <is>
          <t>140 x 140 cm tünel havalandırma fanı</t>
        </is>
      </c>
      <c r="D12" s="19" t="inlineStr">
        <is>
          <t>ad</t>
        </is>
      </c>
      <c r="E12" s="20" t="n">
        <v>14</v>
      </c>
      <c r="F12" s="5" t="n">
        <v>25500</v>
      </c>
      <c r="G12" s="5">
        <f>E12*F12</f>
        <v/>
      </c>
    </row>
    <row r="13" ht="14" customHeight="1">
      <c r="A13" s="17" t="inlineStr">
        <is>
          <t>Makine ve ekipman alımı</t>
        </is>
      </c>
      <c r="B13" s="19" t="n">
        <v>9</v>
      </c>
      <c r="C13" s="16" t="inlineStr">
        <is>
          <t>3 makaralı klape (hava giriş kapağı)</t>
        </is>
      </c>
      <c r="D13" s="19" t="inlineStr">
        <is>
          <t>ad</t>
        </is>
      </c>
      <c r="E13" s="20" t="n">
        <v>160</v>
      </c>
      <c r="F13" s="5" t="n">
        <v>1200</v>
      </c>
      <c r="G13" s="5">
        <f>E13*F13</f>
        <v/>
      </c>
    </row>
    <row r="14" ht="14" customHeight="1">
      <c r="A14" s="17" t="inlineStr">
        <is>
          <t>Makine ve ekipman alımı</t>
        </is>
      </c>
      <c r="B14" s="19" t="n">
        <v>10</v>
      </c>
      <c r="C14" s="16" t="inlineStr">
        <is>
          <t>Klape açma sistemi</t>
        </is>
      </c>
      <c r="D14" s="19" t="inlineStr">
        <is>
          <t>ad</t>
        </is>
      </c>
      <c r="E14" s="20" t="n">
        <v>4</v>
      </c>
      <c r="F14" s="5" t="n">
        <v>11000</v>
      </c>
      <c r="G14" s="5">
        <f>E14*F14</f>
        <v/>
      </c>
    </row>
    <row r="15" ht="20" customHeight="1">
      <c r="A15" s="17" t="inlineStr">
        <is>
          <t>Makine ve ekipman alımı</t>
        </is>
      </c>
      <c r="B15" s="19" t="n">
        <v>11</v>
      </c>
      <c r="C15" s="16" t="inlineStr">
        <is>
          <t>7 inç dokunmatik ekran kümes kontrol panosu (uzaktan erişim, karbondioksit, nem ve basınç sensörü, 5 ısı sensörü dâhil)</t>
        </is>
      </c>
      <c r="D15" s="19" t="inlineStr">
        <is>
          <t>ad</t>
        </is>
      </c>
      <c r="E15" s="20" t="n">
        <v>2</v>
      </c>
      <c r="F15" s="5" t="n">
        <v>210000</v>
      </c>
      <c r="G15" s="5">
        <f>E15*F15</f>
        <v/>
      </c>
    </row>
    <row r="16" ht="20" customHeight="1">
      <c r="A16" s="17" t="inlineStr">
        <is>
          <t>Makine ve ekipman alımı</t>
        </is>
      </c>
      <c r="B16" s="19" t="n">
        <v>12</v>
      </c>
      <c r="C16" s="16" t="inlineStr">
        <is>
          <t>15 m x 1,5 m x 15 cm PVC çerçeveli, kendinden depolu ve su pompalı tüp ped (serinletme) sistemi</t>
        </is>
      </c>
      <c r="D16" s="19" t="inlineStr">
        <is>
          <t>m²</t>
        </is>
      </c>
      <c r="E16" s="20" t="n">
        <v>90</v>
      </c>
      <c r="F16" s="5" t="n">
        <v>4500</v>
      </c>
      <c r="G16" s="5">
        <f>E16*F16</f>
        <v/>
      </c>
    </row>
    <row r="17" ht="14" customHeight="1">
      <c r="A17" s="17" t="inlineStr">
        <is>
          <t>Makine ve ekipman alımı</t>
        </is>
      </c>
      <c r="B17" s="19" t="n">
        <v>13</v>
      </c>
      <c r="C17" s="16" t="inlineStr">
        <is>
          <t>Ped kapağı açma sistemi</t>
        </is>
      </c>
      <c r="D17" s="19" t="inlineStr">
        <is>
          <t>ad</t>
        </is>
      </c>
      <c r="E17" s="20" t="n">
        <v>4</v>
      </c>
      <c r="F17" s="5" t="n">
        <v>11000</v>
      </c>
      <c r="G17" s="5">
        <f>E17*F17</f>
        <v/>
      </c>
    </row>
    <row r="18" ht="14" customHeight="1">
      <c r="A18" s="17" t="inlineStr">
        <is>
          <t>Makine ve ekipman alımı</t>
        </is>
      </c>
      <c r="B18" s="19" t="n">
        <v>14</v>
      </c>
      <c r="C18" s="16" t="inlineStr">
        <is>
          <t>110 x 150 cm ped kapağı</t>
        </is>
      </c>
      <c r="D18" s="19" t="inlineStr">
        <is>
          <t>ad</t>
        </is>
      </c>
      <c r="E18" s="20" t="n">
        <v>40</v>
      </c>
      <c r="F18" s="5" t="n">
        <v>6000</v>
      </c>
      <c r="G18" s="5">
        <f>E18*F18</f>
        <v/>
      </c>
    </row>
    <row r="19" ht="14" customHeight="1">
      <c r="A19" s="17" t="inlineStr">
        <is>
          <t>Makine ve ekipman alımı</t>
        </is>
      </c>
      <c r="B19" s="19" t="n">
        <v>15</v>
      </c>
      <c r="C19" s="16" t="inlineStr">
        <is>
          <t>18 ton galvaniz yem silosu ve alt grubu</t>
        </is>
      </c>
      <c r="D19" s="19" t="inlineStr">
        <is>
          <t>ad</t>
        </is>
      </c>
      <c r="E19" s="20" t="n">
        <v>2</v>
      </c>
      <c r="F19" s="5" t="n">
        <v>155000</v>
      </c>
      <c r="G19" s="5">
        <f>E19*F19</f>
        <v/>
      </c>
    </row>
    <row r="20" ht="14" customHeight="1">
      <c r="A20" s="17" t="inlineStr">
        <is>
          <t>Makine ve ekipman alımı</t>
        </is>
      </c>
      <c r="B20" s="19" t="n">
        <v>16</v>
      </c>
      <c r="C20" s="16" t="inlineStr">
        <is>
          <t>İşçilik ve nakliye</t>
        </is>
      </c>
      <c r="D20" s="19" t="inlineStr">
        <is>
          <t>tk</t>
        </is>
      </c>
      <c r="E20" s="20" t="n">
        <v>2</v>
      </c>
      <c r="F20" s="5" t="n">
        <v>250000</v>
      </c>
      <c r="G20" s="5">
        <f>E20*F20</f>
        <v/>
      </c>
    </row>
    <row r="21">
      <c r="A21" s="15" t="n"/>
      <c r="B21" s="15" t="n"/>
      <c r="C21" s="21" t="inlineStr">
        <is>
          <t>A3.1.2 MAKİNE-EKİPMAN TOPLAMI (KDV hariç)</t>
        </is>
      </c>
      <c r="D21" s="15" t="n"/>
      <c r="E21" s="15" t="n"/>
      <c r="F21" s="15" t="n"/>
      <c r="G21" s="13">
        <f>SUM(G5:G20)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15" t="n"/>
      <c r="B13" s="21" t="inlineStr">
        <is>
          <t>TOPLAM (KDV hariç)</t>
        </is>
      </c>
      <c r="C13" s="15" t="n"/>
      <c r="D13" s="15" t="n"/>
      <c r="E13" s="15" t="n"/>
      <c r="F13" s="13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15" t="n"/>
      <c r="B13" s="21" t="inlineStr">
        <is>
          <t>TOPLAM (KDV hariç)</t>
        </is>
      </c>
      <c r="C13" s="15" t="n"/>
      <c r="D13" s="15" t="n"/>
      <c r="E13" s="15" t="n"/>
      <c r="F13" s="13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2" t="inlineStr">
        <is>
          <t>A3.4 — UYGUN OLMAYAN HARCAMALAR</t>
        </is>
      </c>
    </row>
    <row r="2">
      <c r="A2" s="2" t="inlineStr">
        <is>
          <t>IPARD III broyler yatırımlarında uygun harcama üst limiti 375.000 Avro'dur; aşan kısım uygun olmayan harcamadır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(yapım işleri + makine-ekipman, KDV hariç)</t>
        </is>
      </c>
      <c r="B5" s="5" t="n">
        <v>23916998.24</v>
      </c>
      <c r="C5" s="6">
        <f>B5/52.7585</f>
        <v/>
      </c>
      <c r="D5" s="17" t="inlineStr">
        <is>
          <t>Teklifler</t>
        </is>
      </c>
    </row>
    <row r="6">
      <c r="A6" s="16" t="inlineStr">
        <is>
          <t>IPARD III broyler uygun harcama üst limiti (375.000,00 Avro)</t>
        </is>
      </c>
      <c r="B6" s="5" t="n">
        <v>19784437.5</v>
      </c>
      <c r="C6" s="6">
        <f>B6/52.7585</f>
        <v/>
      </c>
      <c r="D6" s="17" t="inlineStr">
        <is>
          <t>Çağrı rehberi</t>
        </is>
      </c>
    </row>
    <row r="7">
      <c r="A7" s="23" t="inlineStr">
        <is>
          <t>UYGUN OLMAYAN HARCAMA — üst limiti aşan kısım</t>
        </is>
      </c>
      <c r="B7" s="13" t="n">
        <v>4132560.74</v>
      </c>
      <c r="C7" s="14">
        <f>B7/52.7585</f>
        <v/>
      </c>
      <c r="D7" s="24" t="inlineStr">
        <is>
          <t>Öz kaynak</t>
        </is>
      </c>
    </row>
    <row r="8">
      <c r="A8" s="16" t="inlineStr">
        <is>
          <t>KDV — IPARD'da uygun harcama değildir</t>
        </is>
      </c>
      <c r="B8" s="5" t="n">
        <v>4783399.65</v>
      </c>
      <c r="C8" s="6">
        <f>B8/52.7585</f>
        <v/>
      </c>
      <c r="D8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2026-08-27T21:03:18Z</dcterms:created>
  <dcterms:modified xmlns:dcterms="http://purl.org/dc/terms/" xmlns:xsi="http://www.w3.org/2001/XMLSchema-instance" xsi:type="dcterms:W3CDTF">2026-08-27T21:03:18Z</dcterms:modified>
</cp:coreProperties>
</file>