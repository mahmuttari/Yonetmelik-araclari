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İşleri'!H85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Yapım'!H60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14" customHeight="1">
      <c r="A45" s="16" t="inlineStr">
        <is>
          <t>Kazı, dolgu ve reglaj işleri</t>
        </is>
      </c>
      <c r="B45" s="17" t="inlineStr">
        <is>
          <t>Kümes B Blok</t>
        </is>
      </c>
      <c r="C45" s="18" t="inlineStr">
        <is>
          <t>15.120.1001</t>
        </is>
      </c>
      <c r="D45" s="16" t="inlineStr">
        <is>
          <t>Makine ile kazı yapılması — kümes A ve B blok</t>
        </is>
      </c>
      <c r="E45" s="19" t="inlineStr">
        <is>
          <t>m³</t>
        </is>
      </c>
      <c r="F45" s="20" t="n">
        <v>1684.38</v>
      </c>
      <c r="G45" s="5" t="n">
        <v>52.37</v>
      </c>
      <c r="H45" s="5">
        <f>F45*G45</f>
        <v/>
      </c>
    </row>
    <row r="46" ht="14" customHeight="1">
      <c r="A46" s="16" t="inlineStr">
        <is>
          <t>Beton işleri</t>
        </is>
      </c>
      <c r="B46" s="17" t="inlineStr">
        <is>
          <t>Kümes B Blok</t>
        </is>
      </c>
      <c r="C46" s="18" t="inlineStr">
        <is>
          <t>15.150.1003</t>
        </is>
      </c>
      <c r="D46" s="16" t="inlineStr">
        <is>
          <t>C 16/20 hazır beton dökülmesi — kümes temel altı grobeton</t>
        </is>
      </c>
      <c r="E46" s="19" t="inlineStr">
        <is>
          <t>m³</t>
        </is>
      </c>
      <c r="F46" s="20" t="n">
        <v>31.4285</v>
      </c>
      <c r="G46" s="5" t="n">
        <v>2750.45</v>
      </c>
      <c r="H46" s="5">
        <f>F46*G46</f>
        <v/>
      </c>
    </row>
    <row r="47" ht="20" customHeight="1">
      <c r="A47" s="16" t="inlineStr">
        <is>
          <t>Betonarme işleri</t>
        </is>
      </c>
      <c r="B47" s="17" t="inlineStr">
        <is>
          <t>Kümes B Blok</t>
        </is>
      </c>
      <c r="C47" s="18" t="inlineStr">
        <is>
          <t>15.150.1005</t>
        </is>
      </c>
      <c r="D47" s="16" t="inlineStr">
        <is>
          <t>C 25/30 hazır beton dökülmesi — kümes şerit temel ve bağ kirişleri</t>
        </is>
      </c>
      <c r="E47" s="19" t="inlineStr">
        <is>
          <t>m³</t>
        </is>
      </c>
      <c r="F47" s="20" t="n">
        <v>115.71</v>
      </c>
      <c r="G47" s="5" t="n">
        <v>2960.45</v>
      </c>
      <c r="H47" s="5">
        <f>F47*G47</f>
        <v/>
      </c>
    </row>
    <row r="48" ht="2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C 25/30 hazır beton dökülmesi — kümes zemin döşemeleri (15 cm)</t>
        </is>
      </c>
      <c r="E48" s="19" t="inlineStr">
        <is>
          <t>m³</t>
        </is>
      </c>
      <c r="F48" s="20" t="n">
        <v>162.63</v>
      </c>
      <c r="G48" s="5" t="n">
        <v>2960.45</v>
      </c>
      <c r="H48" s="5">
        <f>F48*G48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— kümes temelleri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F49*G49</f>
        <v/>
      </c>
    </row>
    <row r="50" ht="14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Ø8-Ø12 nervürlü beton çelik çubuğu — kümes temelleri</t>
        </is>
      </c>
      <c r="E50" s="19" t="inlineStr">
        <is>
          <t>ton</t>
        </is>
      </c>
      <c r="F50" s="20" t="n">
        <v>4.1599</v>
      </c>
      <c r="G50" s="5" t="n">
        <v>39045.24</v>
      </c>
      <c r="H50" s="5">
        <f>F50*G50</f>
        <v/>
      </c>
    </row>
    <row r="51" ht="14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Ø14-Ø28 nervürlü beton çelik çubuğu — kümes temelleri</t>
        </is>
      </c>
      <c r="E51" s="19" t="inlineStr">
        <is>
          <t>ton</t>
        </is>
      </c>
      <c r="F51" s="20" t="n">
        <v>7.2875</v>
      </c>
      <c r="G51" s="5" t="n">
        <v>37532.19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 — kümes döşemeleri</t>
        </is>
      </c>
      <c r="E52" s="19" t="inlineStr">
        <is>
          <t>ton</t>
        </is>
      </c>
      <c r="F52" s="20" t="n">
        <v>3.6375</v>
      </c>
      <c r="G52" s="5" t="n">
        <v>36949.5</v>
      </c>
      <c r="H52" s="5">
        <f>F52*G52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saclarla karkas (çerçeve) inşaat yapılması, yerine tespiti — kümes çelik taşıyıcı sistemi</t>
        </is>
      </c>
      <c r="E53" s="19" t="inlineStr">
        <is>
          <t>ton</t>
        </is>
      </c>
      <c r="F53" s="20" t="n">
        <v>44.0481</v>
      </c>
      <c r="G53" s="5" t="n">
        <v>72192.55</v>
      </c>
      <c r="H53" s="5">
        <f>F53*G53</f>
        <v/>
      </c>
    </row>
    <row r="54" ht="20" customHeight="1">
      <c r="A54" s="16" t="inlineStr">
        <is>
          <t>Tuğla ve duvar işleri</t>
        </is>
      </c>
      <c r="B54" s="17" t="inlineStr">
        <is>
          <t>Kümes B Blok</t>
        </is>
      </c>
      <c r="C54" s="18" t="inlineStr">
        <is>
          <t>15.225.1010</t>
        </is>
      </c>
      <c r="D54" s="16" t="inlineStr">
        <is>
          <t>20 cm kalınlığındaki teçhizatsız gazbeton duvar blokları ile duvar yapılması (gazbeton tutkalı ile) — cephe duvarı</t>
        </is>
      </c>
      <c r="E54" s="19" t="inlineStr">
        <is>
          <t>m²</t>
        </is>
      </c>
      <c r="F54" s="20" t="n">
        <v>507.91</v>
      </c>
      <c r="G54" s="5" t="n">
        <v>929.28</v>
      </c>
      <c r="H54" s="5">
        <f>F54*G54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15.225.1410</t>
        </is>
      </c>
      <c r="D55" s="16" t="inlineStr">
        <is>
          <t>20 cm kalınlığındaki teçhizatlı gazbeton lento temini ve yerine konulması — boşluk üstü lento ve yatay hatıl</t>
        </is>
      </c>
      <c r="E55" s="19" t="inlineStr">
        <is>
          <t>m²</t>
        </is>
      </c>
      <c r="F55" s="20" t="n">
        <v>49.85</v>
      </c>
      <c r="G55" s="5" t="n">
        <v>1777.52</v>
      </c>
      <c r="H55" s="5">
        <f>F55*G55</f>
        <v/>
      </c>
    </row>
    <row r="56" ht="20" customHeight="1">
      <c r="A56" s="16" t="inlineStr">
        <is>
          <t>Sıva, alçı, derz ve şap işleri</t>
        </is>
      </c>
      <c r="B56" s="17" t="inlineStr">
        <is>
          <t>Kümes B Blok</t>
        </is>
      </c>
      <c r="C56" s="18" t="inlineStr">
        <is>
          <t>15.275.1116</t>
        </is>
      </c>
      <c r="D56" s="16" t="inlineStr">
        <is>
          <t>250 kg çimento dozlu harç ile kaba sıva yapılması — cephe duvarı dış yüzü</t>
        </is>
      </c>
      <c r="E56" s="19" t="inlineStr">
        <is>
          <t>m²</t>
        </is>
      </c>
      <c r="F56" s="20" t="n">
        <v>557.76</v>
      </c>
      <c r="G56" s="5" t="n">
        <v>372.55</v>
      </c>
      <c r="H56" s="5">
        <f>F56*G56</f>
        <v/>
      </c>
    </row>
    <row r="57" ht="20" customHeight="1">
      <c r="A57" s="16" t="inlineStr">
        <is>
          <t>Sıva, alçı, derz ve şap işleri</t>
        </is>
      </c>
      <c r="B57" s="17" t="inlineStr">
        <is>
          <t>Kümes B Blok</t>
        </is>
      </c>
      <c r="C57" s="18" t="inlineStr">
        <is>
          <t>15.275.1117</t>
        </is>
      </c>
      <c r="D57" s="16" t="inlineStr">
        <is>
          <t>200 kg çimento ve kireç karışımı harç ile kaba sıva yapılması (iç cephe) — cephe duvarı iç yüzü</t>
        </is>
      </c>
      <c r="E57" s="19" t="inlineStr">
        <is>
          <t>m²</t>
        </is>
      </c>
      <c r="F57" s="20" t="n">
        <v>557.76</v>
      </c>
      <c r="G57" s="5" t="n">
        <v>381.49</v>
      </c>
      <c r="H57" s="5">
        <f>F57*G57</f>
        <v/>
      </c>
    </row>
    <row r="58" ht="20" customHeight="1">
      <c r="A58" s="16" t="inlineStr">
        <is>
          <t>Boya, badana ve cila işleri</t>
        </is>
      </c>
      <c r="B58" s="17" t="inlineStr">
        <is>
          <t>Kümes B Blok</t>
        </is>
      </c>
      <c r="C58" s="18" t="inlineStr">
        <is>
          <t>15.540.1606</t>
        </is>
      </c>
      <c r="D58" s="16" t="inlineStr">
        <is>
          <t>Brüt beton, sıvalı veya eski boyalı yüzeylere astar uygulanarak silikon esaslı su bazlı dış cephe boyası</t>
        </is>
      </c>
      <c r="E58" s="19" t="inlineStr">
        <is>
          <t>m²</t>
        </is>
      </c>
      <c r="F58" s="20" t="n">
        <v>557.76</v>
      </c>
      <c r="G58" s="5" t="n">
        <v>324.27</v>
      </c>
      <c r="H58" s="5">
        <f>F58*G58</f>
        <v/>
      </c>
    </row>
    <row r="59" ht="20" customHeight="1">
      <c r="A59" s="16" t="inlineStr">
        <is>
          <t>Boya, badana ve cila işleri</t>
        </is>
      </c>
      <c r="B59" s="17" t="inlineStr">
        <is>
          <t>Kümes B Blok</t>
        </is>
      </c>
      <c r="C59" s="18" t="inlineStr">
        <is>
          <t>15.540.1537</t>
        </is>
      </c>
      <c r="D59" s="16" t="inlineStr">
        <is>
          <t>Yeni sıva yüzeylere astar uygulanarak iki kat su bazlı plastik antibakteriyel iç cephe boyası</t>
        </is>
      </c>
      <c r="E59" s="19" t="inlineStr">
        <is>
          <t>m²</t>
        </is>
      </c>
      <c r="F59" s="20" t="n">
        <v>557.76</v>
      </c>
      <c r="G59" s="5" t="n">
        <v>248.75</v>
      </c>
      <c r="H59" s="5">
        <f>F59*G59</f>
        <v/>
      </c>
    </row>
    <row r="60" ht="20" customHeight="1">
      <c r="A60" s="16" t="inlineStr">
        <is>
          <t>Çelik yapım-imalat işleri</t>
        </is>
      </c>
      <c r="B60" s="17" t="inlineStr">
        <is>
          <t>Kümes B Blok</t>
        </is>
      </c>
      <c r="C60" s="18" t="inlineStr">
        <is>
          <t>15.550.1202</t>
        </is>
      </c>
      <c r="D60" s="16" t="inlineStr">
        <is>
          <t>Lama ve profil demirlerden mahya, saçak ve köşe kapama profilleri</t>
        </is>
      </c>
      <c r="E60" s="19" t="inlineStr">
        <is>
          <t>kg</t>
        </is>
      </c>
      <c r="F60" s="20" t="n">
        <v>674</v>
      </c>
      <c r="G60" s="5" t="n">
        <v>147.67</v>
      </c>
      <c r="H60" s="5">
        <f>F60*G60</f>
        <v/>
      </c>
    </row>
    <row r="61" ht="14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TKDK-0115</t>
        </is>
      </c>
      <c r="D61" s="16" t="inlineStr">
        <is>
          <t>Galvanizli düz sacdan yağmur oluğu yapılması — dere</t>
        </is>
      </c>
      <c r="E61" s="19" t="inlineStr">
        <is>
          <t>kg</t>
        </is>
      </c>
      <c r="F61" s="20" t="n">
        <v>319.2</v>
      </c>
      <c r="G61" s="5" t="n">
        <v>227.85</v>
      </c>
      <c r="H61" s="5">
        <f>F61*G61</f>
        <v/>
      </c>
    </row>
    <row r="62" ht="14" customHeight="1">
      <c r="A62" s="16" t="inlineStr">
        <is>
          <t>Çatı ve sundurma işleri</t>
        </is>
      </c>
      <c r="B62" s="17" t="inlineStr">
        <is>
          <t>Kümes B Blok</t>
        </is>
      </c>
      <c r="C62" s="18" t="inlineStr">
        <is>
          <t>15.315.1001</t>
        </is>
      </c>
      <c r="D62" s="16" t="inlineStr">
        <is>
          <t>Ø70 sert PVC yağmur suyu iniş borusu temini ve yerine tesbiti</t>
        </is>
      </c>
      <c r="E62" s="19" t="inlineStr">
        <is>
          <t>m</t>
        </is>
      </c>
      <c r="F62" s="20" t="n">
        <v>51.2</v>
      </c>
      <c r="G62" s="5" t="n">
        <v>174.22</v>
      </c>
      <c r="H62" s="5">
        <f>F62*G62</f>
        <v/>
      </c>
    </row>
    <row r="63" ht="2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TKDK-0151</t>
        </is>
      </c>
      <c r="D63" s="16" t="inlineStr">
        <is>
          <t>5 cm poliüretan dolgulu panel ile ısı yalıtımlı kapı yapılması — kümes servis kapısı 100/220</t>
        </is>
      </c>
      <c r="E63" s="19" t="inlineStr">
        <is>
          <t>m²</t>
        </is>
      </c>
      <c r="F63" s="20" t="n">
        <v>4.4</v>
      </c>
      <c r="G63" s="5" t="n">
        <v>870.14</v>
      </c>
      <c r="H63" s="5">
        <f>F63*G63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TKDK-0151</t>
        </is>
      </c>
      <c r="D64" s="16" t="inlineStr">
        <is>
          <t>5 cm poliüretan dolgulu panel ile ısı yalıtımlı kapı yapılması — yükleme/temizlik kapısı 300/300 sürgülü</t>
        </is>
      </c>
      <c r="E64" s="19" t="inlineStr">
        <is>
          <t>m²</t>
        </is>
      </c>
      <c r="F64" s="20" t="n">
        <v>9</v>
      </c>
      <c r="G64" s="5" t="n">
        <v>870.14</v>
      </c>
      <c r="H64" s="5">
        <f>F64*G64</f>
        <v/>
      </c>
    </row>
    <row r="65" ht="20" customHeight="1">
      <c r="A65" s="16" t="inlineStr">
        <is>
          <t>Tuğla ve duvar işleri</t>
        </is>
      </c>
      <c r="B65" s="17" t="inlineStr">
        <is>
          <t>Kümes B Blok</t>
        </is>
      </c>
      <c r="C65" s="18" t="inlineStr">
        <is>
          <t>15.225.1004</t>
        </is>
      </c>
      <c r="D65" s="16" t="inlineStr">
        <is>
          <t>10 cm kalınlığındaki teçhizatsız gazbeton duvar blokları ile bölme duvar yapılması — servis bölümü</t>
        </is>
      </c>
      <c r="E65" s="19" t="inlineStr">
        <is>
          <t>m²</t>
        </is>
      </c>
      <c r="F65" s="20" t="n">
        <v>45</v>
      </c>
      <c r="G65" s="5" t="n">
        <v>607.9299999999999</v>
      </c>
      <c r="H65" s="5">
        <f>F65*G65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— servis bölümü bölme duvarları</t>
        </is>
      </c>
      <c r="E66" s="19" t="inlineStr">
        <is>
          <t>m²</t>
        </is>
      </c>
      <c r="F66" s="20" t="n">
        <v>90</v>
      </c>
      <c r="G66" s="5" t="n">
        <v>381.49</v>
      </c>
      <c r="H66" s="5">
        <f>F66*G66</f>
        <v/>
      </c>
    </row>
    <row r="67" ht="2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Duvar karosu ile 3 mm derz aralıklı döşeme ve duvar kaplaması yapılması — servis bölümü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F67*G67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boya — servis bölümü</t>
        </is>
      </c>
      <c r="E68" s="19" t="inlineStr">
        <is>
          <t>m²</t>
        </is>
      </c>
      <c r="F68" s="20" t="n">
        <v>55</v>
      </c>
      <c r="G68" s="5" t="n">
        <v>248.75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TKDK-0175</t>
        </is>
      </c>
      <c r="D69" s="16" t="inlineStr">
        <is>
          <t>PVC kaplamalı MDF presli iç kapı kanadı yapılması, yerinde takılması — servis bölümü</t>
        </is>
      </c>
      <c r="E69" s="19" t="inlineStr">
        <is>
          <t>m²</t>
        </is>
      </c>
      <c r="F69" s="20" t="n">
        <v>5.67</v>
      </c>
      <c r="G69" s="5" t="n">
        <v>2687.73</v>
      </c>
      <c r="H69" s="5">
        <f>F69*G69</f>
        <v/>
      </c>
    </row>
    <row r="70" ht="20" customHeight="1">
      <c r="A70" s="16" t="inlineStr">
        <is>
          <t>Doğramacılık işleri (Demir, Alüminyum, PVC, Kompozit)</t>
        </is>
      </c>
      <c r="B70" s="17" t="inlineStr">
        <is>
          <t>Kümes B Blok</t>
        </is>
      </c>
      <c r="C70" s="18" t="inlineStr">
        <is>
          <t>15.550.1002</t>
        </is>
      </c>
      <c r="D70" s="16" t="inlineStr">
        <is>
          <t>1,50 mm sacdan bükme kapı kasası yapılması ve yerine konulması — servis bölümü iç kapıları</t>
        </is>
      </c>
      <c r="E70" s="19" t="inlineStr">
        <is>
          <t>kg</t>
        </is>
      </c>
      <c r="F70" s="20" t="n">
        <v>54.315</v>
      </c>
      <c r="G70" s="5" t="n">
        <v>183.57</v>
      </c>
      <c r="H70" s="5">
        <f>F70*G70</f>
        <v/>
      </c>
    </row>
    <row r="71" ht="20" customHeight="1">
      <c r="A71" s="16" t="inlineStr">
        <is>
          <t>Kanalizasyon işleri</t>
        </is>
      </c>
      <c r="B71" s="17" t="inlineStr">
        <is>
          <t>Kümes B Blok</t>
        </is>
      </c>
      <c r="C71" s="18" t="inlineStr">
        <is>
          <t>43.527.1001</t>
        </is>
      </c>
      <c r="D71" s="16" t="inlineStr">
        <is>
          <t>ø150 HDPE koruge boru ile pissu hattı döşenmesi (SN 8, lastik conta ve boru bedeli dahil)</t>
        </is>
      </c>
      <c r="E71" s="19" t="inlineStr">
        <is>
          <t>m</t>
        </is>
      </c>
      <c r="F71" s="20" t="n">
        <v>25</v>
      </c>
      <c r="G71" s="5" t="n">
        <v>330.7</v>
      </c>
      <c r="H71" s="5">
        <f>F71*G71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30.100.2105</t>
        </is>
      </c>
      <c r="D72" s="16" t="inlineStr">
        <is>
          <t>Kümes dağıtım panosu (sıva üstü galvanizli sac tablo, 0,40-0,50 m²)</t>
        </is>
      </c>
      <c r="E72" s="19" t="inlineStr">
        <is>
          <t>ad</t>
        </is>
      </c>
      <c r="F72" s="20" t="n">
        <v>1</v>
      </c>
      <c r="G72" s="5" t="n">
        <v>7084.16</v>
      </c>
      <c r="H72" s="5">
        <f>F72*G72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30.110.1102</t>
        </is>
      </c>
      <c r="D73" s="16" t="inlineStr">
        <is>
          <t>Termik-manyetik kompakt şalter 3x100 A, Icu 35 kA — kümes besleme</t>
        </is>
      </c>
      <c r="E73" s="19" t="inlineStr">
        <is>
          <t>ad</t>
        </is>
      </c>
      <c r="F73" s="20" t="n">
        <v>1</v>
      </c>
      <c r="G73" s="5" t="n">
        <v>3528.05</v>
      </c>
      <c r="H73" s="5">
        <f>F73*G73</f>
        <v/>
      </c>
    </row>
    <row r="74" ht="14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30.115.1003</t>
        </is>
      </c>
      <c r="D74" s="16" t="inlineStr">
        <is>
          <t>Kaçak akım koruma şalteri 2x63 A, 30 mA</t>
        </is>
      </c>
      <c r="E74" s="19" t="inlineStr">
        <is>
          <t>ad</t>
        </is>
      </c>
      <c r="F74" s="20" t="n">
        <v>2</v>
      </c>
      <c r="G74" s="5" t="n">
        <v>1079.2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30.140.3104</t>
        </is>
      </c>
      <c r="D75" s="16" t="inlineStr">
        <is>
          <t>YVV (NYY) 1 kV yeraltı kablosu ile kolon hattı tesisi — 1x25 mm²</t>
        </is>
      </c>
      <c r="E75" s="19" t="inlineStr">
        <is>
          <t>m</t>
        </is>
      </c>
      <c r="F75" s="20" t="n">
        <v>300</v>
      </c>
      <c r="G75" s="5" t="n">
        <v>200</v>
      </c>
      <c r="H75" s="5">
        <f>F75*G75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30.170.1602</t>
        </is>
      </c>
      <c r="D76" s="16" t="inlineStr">
        <is>
          <t>LED sıva üstü etanj armatür (polikarbon gövdeli), ışık akısı en az 2700 lm — kümes genel aydınlatması</t>
        </is>
      </c>
      <c r="E76" s="19" t="inlineStr">
        <is>
          <t>ad</t>
        </is>
      </c>
      <c r="F76" s="20" t="n">
        <v>30</v>
      </c>
      <c r="G76" s="5" t="n">
        <v>1996.08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30.170.1601</t>
        </is>
      </c>
      <c r="D77" s="16" t="inlineStr">
        <is>
          <t>LED sıva üstü etanj armatür (polikarbon gövdeli), ışık akısı en az 1800 lm — servis bölümü</t>
        </is>
      </c>
      <c r="E77" s="19" t="inlineStr">
        <is>
          <t>ad</t>
        </is>
      </c>
      <c r="F77" s="20" t="n">
        <v>2</v>
      </c>
      <c r="G77" s="5" t="n">
        <v>1370.96</v>
      </c>
      <c r="H77" s="5">
        <f>F77*G77</f>
        <v/>
      </c>
    </row>
    <row r="78" ht="14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30.160.6102</t>
        </is>
      </c>
      <c r="D78" s="16" t="inlineStr">
        <is>
          <t>Boş boru döşemesi — 25-32 mm PVC boru</t>
        </is>
      </c>
      <c r="E78" s="19" t="inlineStr">
        <is>
          <t>m</t>
        </is>
      </c>
      <c r="F78" s="20" t="n">
        <v>500</v>
      </c>
      <c r="G78" s="5" t="n">
        <v>29.06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30.150.1402</t>
        </is>
      </c>
      <c r="D79" s="16" t="inlineStr">
        <is>
          <t>Halojensiz H07Z tipi iletken 1x2,5 mm² ile tesisat</t>
        </is>
      </c>
      <c r="E79" s="19" t="inlineStr">
        <is>
          <t>m</t>
        </is>
      </c>
      <c r="F79" s="20" t="n">
        <v>2000</v>
      </c>
      <c r="G79" s="5" t="n">
        <v>19.5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30.150.1401</t>
        </is>
      </c>
      <c r="D80" s="16" t="inlineStr">
        <is>
          <t>Halojensiz H07Z tipi iletken 1x1,5 mm² ile kumanda tesisatı</t>
        </is>
      </c>
      <c r="E80" s="19" t="inlineStr">
        <is>
          <t>m</t>
        </is>
      </c>
      <c r="F80" s="20" t="n">
        <v>600</v>
      </c>
      <c r="G80" s="5" t="n">
        <v>12.22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30.140.1105</t>
        </is>
      </c>
      <c r="D81" s="16" t="inlineStr">
        <is>
          <t>Çıplak bakır tel 25 mm² — eşpotansiyel bara ve topraklama iletkeni</t>
        </is>
      </c>
      <c r="E81" s="19" t="inlineStr">
        <is>
          <t>m</t>
        </is>
      </c>
      <c r="F81" s="20" t="n">
        <v>100</v>
      </c>
      <c r="G81" s="5" t="n">
        <v>157.05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30.750.3002</t>
        </is>
      </c>
      <c r="D82" s="16" t="inlineStr">
        <is>
          <t>Bina ihata iletkeni tesisatı — 30x3,5 mm galvanizli çelik lama (temel topraklaması)</t>
        </is>
      </c>
      <c r="E82" s="19" t="inlineStr">
        <is>
          <t>m</t>
        </is>
      </c>
      <c r="F82" s="20" t="n">
        <v>186</v>
      </c>
      <c r="G82" s="5" t="n">
        <v>115.96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30.750.1502</t>
        </is>
      </c>
      <c r="D83" s="16" t="inlineStr">
        <is>
          <t>Aktif yakalama ucu, ortalama uyarım yolu DL = 30-40 m</t>
        </is>
      </c>
      <c r="E83" s="19" t="inlineStr">
        <is>
          <t>ad</t>
        </is>
      </c>
      <c r="F83" s="20" t="n">
        <v>1</v>
      </c>
      <c r="G83" s="5" t="n">
        <v>15595.61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30.750.2001</t>
        </is>
      </c>
      <c r="D84" s="16" t="inlineStr">
        <is>
          <t>Çatı ihata ve indirme iletkeni tesisatı — 50 mm² elektrolitik bakır tel</t>
        </is>
      </c>
      <c r="E84" s="19" t="inlineStr">
        <is>
          <t>m</t>
        </is>
      </c>
      <c r="F84" s="20" t="n">
        <v>16</v>
      </c>
      <c r="G84" s="5" t="n">
        <v>426.72</v>
      </c>
      <c r="H84" s="5">
        <f>F84*G84</f>
        <v/>
      </c>
    </row>
    <row r="85">
      <c r="A85" s="21" t="n"/>
      <c r="B85" s="21" t="n"/>
      <c r="C85" s="21" t="n"/>
      <c r="D85" s="22" t="inlineStr">
        <is>
          <t>A3.1.1 YAPIM İŞLERİ TOPLAMI (KDV hariç)</t>
        </is>
      </c>
      <c r="E85" s="21" t="n"/>
      <c r="F85" s="21" t="n"/>
      <c r="G85" s="21" t="n"/>
      <c r="H85" s="9">
        <f>SUM(H5:H84)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3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30.740.1106</t>
        </is>
      </c>
      <c r="D54" s="16" t="inlineStr">
        <is>
          <t>Dizel elektrojen grubu (jeneratör) 63 kVA / 50 kW — dizel motoru su veya hava ile soğuyan cinsten, 1500 d/dak (%25 müteahhit kârı dahil)</t>
        </is>
      </c>
      <c r="E54" s="19" t="inlineStr">
        <is>
          <t>ad</t>
        </is>
      </c>
      <c r="F54" s="20" t="n">
        <v>1</v>
      </c>
      <c r="G54" s="5" t="n">
        <v>467349.29</v>
      </c>
      <c r="H54" s="5">
        <f>F54*G54</f>
        <v/>
      </c>
    </row>
    <row r="55" ht="3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30.740.1106</t>
        </is>
      </c>
      <c r="D55" s="16" t="inlineStr">
        <is>
          <t>Dizel elektrojen grubu (jeneratör) 63 kVA / 50 kW — dizel motoru su veya hava ile soğuyan cinsten, 1500 d/dak (%25 müteahhit kârı dahil)</t>
        </is>
      </c>
      <c r="E55" s="19" t="inlineStr">
        <is>
          <t>ad</t>
        </is>
      </c>
      <c r="F55" s="20" t="n">
        <v>1</v>
      </c>
      <c r="G55" s="5" t="n">
        <v>467349.29</v>
      </c>
      <c r="H55" s="5">
        <f>F55*G55</f>
        <v/>
      </c>
    </row>
    <row r="56" ht="20" customHeight="1">
      <c r="A56" s="16" t="inlineStr">
        <is>
          <t>Elektrik tesisatı ve aydınlatma</t>
        </is>
      </c>
      <c r="B56" s="17" t="inlineStr">
        <is>
          <t>Kümes A Blok</t>
        </is>
      </c>
      <c r="C56" s="18" t="inlineStr">
        <is>
          <t>30.740.5406</t>
        </is>
      </c>
      <c r="D56" s="16" t="inlineStr">
        <is>
          <t>Jeneratör ses izolasyon kabini — 63 kVA (%25 müteahhit kârı dahil)</t>
        </is>
      </c>
      <c r="E56" s="19" t="inlineStr">
        <is>
          <t>ad</t>
        </is>
      </c>
      <c r="F56" s="20" t="n">
        <v>1</v>
      </c>
      <c r="G56" s="5" t="n">
        <v>79653.55</v>
      </c>
      <c r="H56" s="5">
        <f>F56*G56</f>
        <v/>
      </c>
    </row>
    <row r="57" ht="20" customHeight="1">
      <c r="A57" s="16" t="inlineStr">
        <is>
          <t>Elektrik tesisatı ve aydınlatma</t>
        </is>
      </c>
      <c r="B57" s="17" t="inlineStr">
        <is>
          <t>Kümes B Blok</t>
        </is>
      </c>
      <c r="C57" s="18" t="inlineStr">
        <is>
          <t>30.740.5406</t>
        </is>
      </c>
      <c r="D57" s="16" t="inlineStr">
        <is>
          <t>Jeneratör ses izolasyon kabini — 63 kVA (%25 müteahhit kârı dahil)</t>
        </is>
      </c>
      <c r="E57" s="19" t="inlineStr">
        <is>
          <t>ad</t>
        </is>
      </c>
      <c r="F57" s="20" t="n">
        <v>1</v>
      </c>
      <c r="G57" s="5" t="n">
        <v>79653.55</v>
      </c>
      <c r="H57" s="5">
        <f>F57*G57</f>
        <v/>
      </c>
    </row>
    <row r="58" ht="20" customHeight="1">
      <c r="A58" s="16" t="inlineStr">
        <is>
          <t>Elektrik tesisatı ve aydınlatma</t>
        </is>
      </c>
      <c r="B58" s="17" t="inlineStr">
        <is>
          <t>Kümes A Blok</t>
        </is>
      </c>
      <c r="C58" s="18" t="inlineStr">
        <is>
          <t>30.120.2016</t>
        </is>
      </c>
      <c r="D58" s="16" t="inlineStr">
        <is>
          <t>Otomatik transfer şalteri 4 x 200 A (%25 müteahhit kârı dahil)</t>
        </is>
      </c>
      <c r="E58" s="19" t="inlineStr">
        <is>
          <t>ad</t>
        </is>
      </c>
      <c r="F58" s="20" t="n">
        <v>1</v>
      </c>
      <c r="G58" s="5" t="n">
        <v>38544.21</v>
      </c>
      <c r="H58" s="5">
        <f>F58*G58</f>
        <v/>
      </c>
    </row>
    <row r="59" ht="20" customHeight="1">
      <c r="A59" s="16" t="inlineStr">
        <is>
          <t>Elektrik tesisatı ve aydınlatma</t>
        </is>
      </c>
      <c r="B59" s="17" t="inlineStr">
        <is>
          <t>Kümes B Blok</t>
        </is>
      </c>
      <c r="C59" s="18" t="inlineStr">
        <is>
          <t>30.120.2016</t>
        </is>
      </c>
      <c r="D59" s="16" t="inlineStr">
        <is>
          <t>Otomatik transfer şalteri 4 x 200 A (%25 müteahhit kârı dahil)</t>
        </is>
      </c>
      <c r="E59" s="19" t="inlineStr">
        <is>
          <t>ad</t>
        </is>
      </c>
      <c r="F59" s="20" t="n">
        <v>1</v>
      </c>
      <c r="G59" s="5" t="n">
        <v>38544.21</v>
      </c>
      <c r="H59" s="5">
        <f>F59*G59</f>
        <v/>
      </c>
    </row>
    <row r="60">
      <c r="A60" s="21" t="n"/>
      <c r="B60" s="21" t="n"/>
      <c r="C60" s="21" t="n"/>
      <c r="D60" s="22" t="inlineStr">
        <is>
          <t>HİBE DIŞI YAPIM İŞLERİ TOPLAMI (KDV hariç)</t>
        </is>
      </c>
      <c r="E60" s="21" t="n"/>
      <c r="F60" s="21" t="n"/>
      <c r="G60" s="21" t="n"/>
      <c r="H60" s="9">
        <f>SUM(H5:H59)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24545307.86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14251289.48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6712058.38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10294018.38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4909061.57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2026-08-29T08:50:30Z</dcterms:created>
  <dcterms:modified xmlns:dcterms="http://purl.org/dc/terms/" xmlns:xsi="http://www.w3.org/2001/XMLSchema-instance" xsi:type="dcterms:W3CDTF">2026-08-29T08:50:30Z</dcterms:modified>
</cp:coreProperties>
</file>