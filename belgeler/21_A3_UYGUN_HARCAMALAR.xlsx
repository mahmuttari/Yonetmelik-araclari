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Yapım'!H56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30.100.2105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30.110.1102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30.115.1003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30.140.3104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1684.385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Çelik yapım-imalat işleri</t>
        </is>
      </c>
      <c r="B56" s="17" t="inlineStr">
        <is>
          <t>Kümes B Blok</t>
        </is>
      </c>
      <c r="C56" s="18" t="inlineStr">
        <is>
          <t>15.550.1202</t>
        </is>
      </c>
      <c r="D56" s="16" t="inlineStr">
        <is>
          <t>Lama ve profil demirlerden çeşitli demir işleri yapılması ve yerine konulması</t>
        </is>
      </c>
      <c r="E56" s="19" t="inlineStr">
        <is>
          <t>kg</t>
        </is>
      </c>
      <c r="F56" s="20" t="n">
        <v>674</v>
      </c>
      <c r="G56" s="5" t="n">
        <v>147.67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15.225.1010</t>
        </is>
      </c>
      <c r="D57" s="16" t="inlineStr">
        <is>
          <t>20 cm kalınlığındaki teçhizatsız gazbeton duvar blokları ile duvar yapılması (gazbeton tutkalı ile)</t>
        </is>
      </c>
      <c r="E57" s="19" t="inlineStr">
        <is>
          <t>m²</t>
        </is>
      </c>
      <c r="F57" s="20" t="n">
        <v>507.91</v>
      </c>
      <c r="G57" s="5" t="n">
        <v>929.28</v>
      </c>
      <c r="H57" s="5">
        <f>ROUND(F57*G57,2)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15.225.1410</t>
        </is>
      </c>
      <c r="D58" s="16" t="inlineStr">
        <is>
          <t>20 cm kalınlığındaki teçhizatlı gazbeton lento temini ve yerine konulması</t>
        </is>
      </c>
      <c r="E58" s="19" t="inlineStr">
        <is>
          <t>m²</t>
        </is>
      </c>
      <c r="F58" s="20" t="n">
        <v>49.85</v>
      </c>
      <c r="G58" s="5" t="n">
        <v>1777.52</v>
      </c>
      <c r="H58" s="5">
        <f>ROUND(F58*G58,2)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15.225.1004</t>
        </is>
      </c>
      <c r="D59" s="16" t="inlineStr">
        <is>
          <t>10 cm kalınlığındaki teçhizatsız gazbeton duvar blokları ile duvar yapılması (gazbeton tutkalı ile)</t>
        </is>
      </c>
      <c r="E59" s="19" t="inlineStr">
        <is>
          <t>m²</t>
        </is>
      </c>
      <c r="F59" s="20" t="n">
        <v>45</v>
      </c>
      <c r="G59" s="5" t="n">
        <v>607.9299999999999</v>
      </c>
      <c r="H59" s="5">
        <f>ROUND(F59*G59,2)</f>
        <v/>
      </c>
    </row>
    <row r="60" ht="14" customHeight="1">
      <c r="A60" s="16" t="inlineStr">
        <is>
          <t>Çatı ve sundurma işleri</t>
        </is>
      </c>
      <c r="B60" s="17" t="inlineStr">
        <is>
          <t>Kümes B Blok</t>
        </is>
      </c>
      <c r="C60" s="18" t="inlineStr">
        <is>
          <t>TKDK-0115</t>
        </is>
      </c>
      <c r="D60" s="16" t="inlineStr">
        <is>
          <t>Galvanizli düz sacdan yağmur oluğu veya iniş borusu yapılması</t>
        </is>
      </c>
      <c r="E60" s="19" t="inlineStr">
        <is>
          <t>kg</t>
        </is>
      </c>
      <c r="F60" s="20" t="n">
        <v>319.2</v>
      </c>
      <c r="G60" s="5" t="n">
        <v>227.85</v>
      </c>
      <c r="H60" s="5">
        <f>ROUND(F60*G60,2)</f>
        <v/>
      </c>
    </row>
    <row r="61" ht="20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15.315.1001</t>
        </is>
      </c>
      <c r="D61" s="16" t="inlineStr">
        <is>
          <t>Ø 70 mm çapında bir ucu muflu sert PVC yağmur borusu temini ve yerine tesbiti</t>
        </is>
      </c>
      <c r="E61" s="19" t="inlineStr">
        <is>
          <t>m</t>
        </is>
      </c>
      <c r="F61" s="20" t="n">
        <v>51.2</v>
      </c>
      <c r="G61" s="5" t="n">
        <v>174.22</v>
      </c>
      <c r="H61" s="5">
        <f>ROUND(F61*G61,2)</f>
        <v/>
      </c>
    </row>
    <row r="62" ht="3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TKDK-0151</t>
        </is>
      </c>
      <c r="D62" s="16" t="inlineStr">
        <is>
          <t>5 cm poliüretan dolgulu (üst 0,50 mm düz, alt 0,40 mm düz) fabrikasyon rulo boyama sistemi ile boyanmış galvaniz levhalar ile ısı yalıtımlı kapı yapılması</t>
        </is>
      </c>
      <c r="E62" s="19" t="inlineStr">
        <is>
          <t>m²</t>
        </is>
      </c>
      <c r="F62" s="20" t="n">
        <v>13.4</v>
      </c>
      <c r="G62" s="5" t="n">
        <v>870.14</v>
      </c>
      <c r="H62" s="5">
        <f>ROUND(F62*G62,2)</f>
        <v/>
      </c>
    </row>
    <row r="63" ht="3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TKDK-0175</t>
        </is>
      </c>
      <c r="D63" s="16" t="inlineStr">
        <is>
          <t>PVC kaplamalı, iki yüzü odun lifinden yapılmış levhalarla (MDF) presli, kraft dolgulu iç kapı kanadı yapılması, yerinde takılması</t>
        </is>
      </c>
      <c r="E63" s="19" t="inlineStr">
        <is>
          <t>m²</t>
        </is>
      </c>
      <c r="F63" s="20" t="n">
        <v>5.67</v>
      </c>
      <c r="G63" s="5" t="n">
        <v>2687.73</v>
      </c>
      <c r="H63" s="5">
        <f>ROUND(F63*G63,2)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15.550.1002</t>
        </is>
      </c>
      <c r="D64" s="16" t="inlineStr">
        <is>
          <t>1,50 mm kalınlığında sıcak haddelenmiş sacdan bükme kapı kasası yapılması ve yerine konulması</t>
        </is>
      </c>
      <c r="E64" s="19" t="inlineStr">
        <is>
          <t>kg</t>
        </is>
      </c>
      <c r="F64" s="20" t="n">
        <v>54.315</v>
      </c>
      <c r="G64" s="5" t="n">
        <v>183.57</v>
      </c>
      <c r="H64" s="5">
        <f>ROUND(F64*G64,2)</f>
        <v/>
      </c>
    </row>
    <row r="65" ht="14" customHeight="1">
      <c r="A65" s="16" t="inlineStr">
        <is>
          <t>Sıva, alçı, derz ve şap işleri</t>
        </is>
      </c>
      <c r="B65" s="17" t="inlineStr">
        <is>
          <t>Kümes B Blok</t>
        </is>
      </c>
      <c r="C65" s="18" t="inlineStr">
        <is>
          <t>15.275.1116</t>
        </is>
      </c>
      <c r="D65" s="16" t="inlineStr">
        <is>
          <t>250 kg çimento dozlu harç ile kaba sıva yapılması</t>
        </is>
      </c>
      <c r="E65" s="19" t="inlineStr">
        <is>
          <t>m²</t>
        </is>
      </c>
      <c r="F65" s="20" t="n">
        <v>557.76</v>
      </c>
      <c r="G65" s="5" t="n">
        <v>372.55</v>
      </c>
      <c r="H65" s="5">
        <f>ROUND(F65*G65,2)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(iç cephe)</t>
        </is>
      </c>
      <c r="E66" s="19" t="inlineStr">
        <is>
          <t>m²</t>
        </is>
      </c>
      <c r="F66" s="20" t="n">
        <v>647.76</v>
      </c>
      <c r="G66" s="5" t="n">
        <v>381.49</v>
      </c>
      <c r="H66" s="5">
        <f>ROUND(F66*G66,2)</f>
        <v/>
      </c>
    </row>
    <row r="67" ht="20" customHeight="1">
      <c r="A67" s="16" t="inlineStr">
        <is>
          <t>Boya, badana ve cila işleri</t>
        </is>
      </c>
      <c r="B67" s="17" t="inlineStr">
        <is>
          <t>Kümes B Blok</t>
        </is>
      </c>
      <c r="C67" s="18" t="inlineStr">
        <is>
          <t>15.540.1606</t>
        </is>
      </c>
      <c r="D67" s="16" t="inlineStr">
        <is>
          <t>Brüt beton, sıvalı veya eski boyalı yüzeylere astar uygulanarak silikon esaslı su bazlı dış cephe boyası yapılması</t>
        </is>
      </c>
      <c r="E67" s="19" t="inlineStr">
        <is>
          <t>m²</t>
        </is>
      </c>
      <c r="F67" s="20" t="n">
        <v>557.76</v>
      </c>
      <c r="G67" s="5" t="n">
        <v>324.27</v>
      </c>
      <c r="H67" s="5">
        <f>ROUND(F67*G67,2)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iç cephe boyası yapılması</t>
        </is>
      </c>
      <c r="E68" s="19" t="inlineStr">
        <is>
          <t>m²</t>
        </is>
      </c>
      <c r="F68" s="20" t="n">
        <v>612.76</v>
      </c>
      <c r="G68" s="5" t="n">
        <v>248.75</v>
      </c>
      <c r="H68" s="5">
        <f>ROUND(F68*G68,2)</f>
        <v/>
      </c>
    </row>
    <row r="69" ht="4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30.100.2105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40 adet 26 x 56 cm izolasyonlu plastik klape, klape başına 1.750 m³/h,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>
      <c r="A56" s="21" t="n"/>
      <c r="B56" s="21" t="n"/>
      <c r="C56" s="21" t="n"/>
      <c r="D56" s="22" t="inlineStr">
        <is>
          <t>HİBE DIŞI YAPIM İŞLERİ TOPLAMI (KDV hariç)</t>
        </is>
      </c>
      <c r="E56" s="21" t="n"/>
      <c r="F56" s="21" t="n"/>
      <c r="G56" s="21" t="n"/>
      <c r="H56" s="9">
        <f>SUM(H5:H55)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24988354.46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5618052.75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9213899.960000001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4997670.89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2026-08-29T12:44:01Z</dcterms:created>
  <dcterms:modified xmlns:dcterms="http://purl.org/dc/terms/" xmlns:xsi="http://www.w3.org/2001/XMLSchema-instance" xsi:type="dcterms:W3CDTF">2026-08-29T12:44:01Z</dcterms:modified>
</cp:coreProperties>
</file>