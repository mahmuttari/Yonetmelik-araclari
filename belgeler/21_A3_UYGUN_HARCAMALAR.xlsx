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Makine-Ekipman'!G15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251748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145080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76980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 sistemi (açma-kapama ve petek panelleri dâhil)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269280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17,67 ton silo ve aktarma grubu — Kümes başına 1 adet galvaniz kaplama sac silo, helezonlu merdiven, 0,75 kW yem nakil motoru, 22 m PVC nakil hattı</t>
        </is>
      </c>
      <c r="E10" s="19" t="n">
        <v>2</v>
      </c>
      <c r="F10" s="5" t="n">
        <v>172995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HZC-LGHT-01</t>
        </is>
      </c>
      <c r="D11" s="16" t="inlineStr">
        <is>
          <t>Aydınlatma sistemi — Kümes başına 56 adet E27 / LED lamba (7-12 W), contalı duy, 266 m kablo</t>
        </is>
      </c>
      <c r="E11" s="19" t="n">
        <v>2</v>
      </c>
      <c r="F11" s="5" t="n">
        <v>29260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HZC-HEA-004</t>
        </is>
      </c>
      <c r="D12" s="16" t="inlineStr">
        <is>
          <t>Isıtma sistemi — 350.000 kcal/h — Kümes başına 1 adet; en az 1.700 m² ısıtma alanı, 350.000 kcal/h, 5,5 kW fan motoru, 21.000 m³/h basma, üç geçişli kazan, 10 mm cehennemlik</t>
        </is>
      </c>
      <c r="E12" s="19" t="n">
        <v>2</v>
      </c>
      <c r="F12" s="5" t="n">
        <v>472210</v>
      </c>
      <c r="G12" s="5">
        <f>ROUND(E12*F12,2)</f>
        <v/>
      </c>
    </row>
    <row r="13" ht="30" customHeight="1">
      <c r="A13" s="17" t="inlineStr">
        <is>
          <t>Makine ve ekipman alımı</t>
        </is>
      </c>
      <c r="B13" s="19" t="n">
        <v>9</v>
      </c>
      <c r="C13" s="19" t="inlineStr">
        <is>
          <t>HZC-COM-004</t>
        </is>
      </c>
      <c r="D13" s="16" t="inlineStr">
        <is>
          <t>Kümes otomasyonu ve bilgisayar sistemi — HZC-70 işlemcili; 5 sıcaklık, 1 nem, 1 basınç ve 1 CO2 sensörü, alarm sistemi, uzaktan erişim, PLC kontrol, raporlama ve analiz</t>
        </is>
      </c>
      <c r="E13" s="19" t="n">
        <v>2</v>
      </c>
      <c r="F13" s="5" t="n">
        <v>263300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9" t="inlineStr">
        <is>
          <t>—</t>
        </is>
      </c>
      <c r="D14" s="16" t="inlineStr">
        <is>
          <t>İşçilik ve nakliye — Kümes montajı ve nakliye bedelleri</t>
        </is>
      </c>
      <c r="E14" s="19" t="n">
        <v>2</v>
      </c>
      <c r="F14" s="5" t="n">
        <v>225000</v>
      </c>
      <c r="G14" s="5">
        <f>ROUND(E14*F14,2)</f>
        <v/>
      </c>
    </row>
    <row r="15">
      <c r="A15" s="21" t="n"/>
      <c r="B15" s="21" t="n"/>
      <c r="C15" s="22" t="inlineStr">
        <is>
          <t>MAKİNE-EKİPMAN TOPLAMI (KDV hariç)</t>
        </is>
      </c>
      <c r="D15" s="21" t="n"/>
      <c r="E15" s="21" t="n"/>
      <c r="F15" s="21" t="n"/>
      <c r="G15" s="9">
        <f>SUM(G5:G14)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25480113.85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3892868.6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9759921.35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5096022.77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2026-08-31T08:29:41Z</dcterms:created>
  <dcterms:modified xmlns:dcterms="http://purl.org/dc/terms/" xmlns:xsi="http://www.w3.org/2001/XMLSchema-instance" xsi:type="dcterms:W3CDTF">2026-08-31T08:29:41Z</dcterms:modified>
</cp:coreProperties>
</file>