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.5 İcmal" sheetId="1" state="visible" r:id="rId1"/>
    <sheet xmlns:r="http://schemas.openxmlformats.org/officeDocument/2006/relationships" name="A3.1.1 Yapım İşleri" sheetId="2" state="visible" r:id="rId2"/>
    <sheet xmlns:r="http://schemas.openxmlformats.org/officeDocument/2006/relationships" name="A3.1.2 Makine-Ekipman" sheetId="3" state="visible" r:id="rId3"/>
    <sheet xmlns:r="http://schemas.openxmlformats.org/officeDocument/2006/relationships" name="A3.4-EK Makine-Ekipman" sheetId="4" state="visible" r:id="rId4"/>
    <sheet xmlns:r="http://schemas.openxmlformats.org/officeDocument/2006/relationships" name="A3.4-EK Yapım" sheetId="5" state="visible" r:id="rId5"/>
    <sheet xmlns:r="http://schemas.openxmlformats.org/officeDocument/2006/relationships" name="A3.2 Hizmet Alımı" sheetId="6" state="visible" r:id="rId6"/>
    <sheet xmlns:r="http://schemas.openxmlformats.org/officeDocument/2006/relationships" name="A3.3 Görünürlük" sheetId="7" state="visible" r:id="rId7"/>
    <sheet xmlns:r="http://schemas.openxmlformats.org/officeDocument/2006/relationships" name="A3.4 Uygun Olmay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i val="1"/>
      <color rgb="00555555"/>
      <sz val="8"/>
    </font>
    <font>
      <b val="1"/>
      <color rgb="00000000"/>
      <sz val="10"/>
    </font>
    <font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4" fillId="0" borderId="1" applyAlignment="1" pivotButton="0" quotePrefix="0" xfId="0">
      <alignment wrapText="1"/>
    </xf>
    <xf numFmtId="0" fontId="5" fillId="3" borderId="1" pivotButton="0" quotePrefix="0" xfId="0"/>
    <xf numFmtId="4" fontId="5" fillId="3" borderId="1" pivotButton="0" quotePrefix="0" xfId="0"/>
    <xf numFmtId="3" fontId="0" fillId="3" borderId="1" pivotButton="0" quotePrefix="0" xfId="0"/>
    <xf numFmtId="0" fontId="4" fillId="3" borderId="1" applyAlignment="1" pivotButton="0" quotePrefix="0" xfId="0">
      <alignment wrapText="1"/>
    </xf>
    <xf numFmtId="0" fontId="5" fillId="2" borderId="1" pivotButton="0" quotePrefix="0" xfId="0"/>
    <xf numFmtId="4" fontId="5" fillId="2" borderId="1" pivotButton="0" quotePrefix="0" xfId="0"/>
    <xf numFmtId="3" fontId="0" fillId="2" borderId="1" pivotButton="0" quotePrefix="0" xfId="0"/>
    <xf numFmtId="0" fontId="4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3" borderId="1" pivotButton="0" quotePrefix="0" xfId="0"/>
    <xf numFmtId="0" fontId="5" fillId="3" borderId="1" applyAlignment="1" pivotButton="0" quotePrefix="0" xfId="0">
      <alignment horizontal="right"/>
    </xf>
    <xf numFmtId="0" fontId="1" fillId="3" borderId="0" pivotButton="0" quotePrefix="0" xfId="0"/>
    <xf numFmtId="0" fontId="5" fillId="3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52" customWidth="1" min="4" max="4"/>
  </cols>
  <sheetData>
    <row r="1" ht="18" customHeight="1">
      <c r="A1" s="1" t="inlineStr">
        <is>
          <t>A3.5 — HARCAMA İCMALİ</t>
        </is>
      </c>
    </row>
    <row r="2">
      <c r="A2" s="2" t="inlineStr">
        <is>
          <t>Tutarlar A3.1.1 ve A3.1.2 sayfalarındaki toplamlardan formülle gelir; o sayfalarda bir fiyat değişirse bu icmal de değişir.</t>
        </is>
      </c>
    </row>
    <row r="3"/>
    <row r="4" ht="30" customHeight="1">
      <c r="A4" s="3" t="inlineStr">
        <is>
          <t>Harcama alanı</t>
        </is>
      </c>
      <c r="B4" s="3" t="inlineStr">
        <is>
          <t>Tutar (TL)</t>
        </is>
      </c>
      <c r="C4" s="3" t="inlineStr">
        <is>
          <t>Avro</t>
        </is>
      </c>
      <c r="D4" s="3" t="inlineStr">
        <is>
          <t>Not</t>
        </is>
      </c>
    </row>
    <row r="5">
      <c r="A5" s="4" t="inlineStr">
        <is>
          <t>A3.1.1 Yapım işleri</t>
        </is>
      </c>
      <c r="B5" s="5">
        <f>'A3.1.1 Yapım İşleri'!H91</f>
        <v/>
      </c>
      <c r="C5" s="6">
        <f>B5/52.7585</f>
        <v/>
      </c>
      <c r="D5" s="7" t="inlineStr">
        <is>
          <t>Kümes A ve B blokları; her münferit yapı için ayrı teklif alınmıştır</t>
        </is>
      </c>
    </row>
    <row r="6">
      <c r="A6" s="4" t="inlineStr">
        <is>
          <t>A3.1.2 Makine ve ekipman alımı</t>
        </is>
      </c>
      <c r="B6" s="5">
        <f>'A3.1.2 Makine-Ekipman'!G13</f>
        <v/>
      </c>
      <c r="C6" s="6">
        <f>B6/52.7585</f>
        <v/>
      </c>
      <c r="D6" s="7" t="inlineStr">
        <is>
          <t>Hibe kapsamı dışında tutulmuştur; tablo boştur</t>
        </is>
      </c>
    </row>
    <row r="7">
      <c r="A7" s="4" t="inlineStr">
        <is>
          <t>A3.2 Hizmet alımı</t>
        </is>
      </c>
      <c r="B7" s="5">
        <f>'A3.2 Hizmet Alımı'!F13</f>
        <v/>
      </c>
      <c r="C7" s="6">
        <f>B7/52.7585</f>
        <v/>
      </c>
      <c r="D7" s="7" t="inlineStr">
        <is>
          <t>İş planı, mimarlık-mühendislik projeleri, fizibilite</t>
        </is>
      </c>
    </row>
    <row r="8">
      <c r="A8" s="4" t="inlineStr">
        <is>
          <t>A3.3 Görünürlük harcamaları</t>
        </is>
      </c>
      <c r="B8" s="5">
        <f>'A3.3 Görünürlük'!F13</f>
        <v/>
      </c>
      <c r="C8" s="6">
        <f>B8/52.7585</f>
        <v/>
      </c>
      <c r="D8" s="7" t="inlineStr">
        <is>
          <t>Yatırım tanıtım tabelası</t>
        </is>
      </c>
    </row>
    <row r="9">
      <c r="A9" s="8" t="inlineStr">
        <is>
          <t>UYGUN HARCAMA (A3.1.1 + A3.1.2 + A3.2 + A3.3)</t>
        </is>
      </c>
      <c r="B9" s="9">
        <f>SUM(B5:B8)</f>
        <v/>
      </c>
      <c r="C9" s="10">
        <f>B9/52.7585</f>
        <v/>
      </c>
      <c r="D9" s="11" t="inlineStr">
        <is>
          <t>Hibeye esas tutar; puanlama kriteri 1 bu tutara bakar</t>
        </is>
      </c>
    </row>
    <row r="10">
      <c r="A10" s="4" t="inlineStr">
        <is>
          <t>Uygun harcama üst limiti (375.000,00 Avro)</t>
        </is>
      </c>
      <c r="B10" s="5" t="n">
        <v>19784437.5</v>
      </c>
      <c r="C10" s="6">
        <f>B10/52.7585</f>
        <v/>
      </c>
      <c r="D10" s="7" t="inlineStr">
        <is>
          <t>Çağrı rehberi — uygun harcama limitin altındadır</t>
        </is>
      </c>
    </row>
    <row r="11">
      <c r="A11" s="4" t="inlineStr">
        <is>
          <t>Puanlama kriteri 1 eşiği (300.000 Avro)</t>
        </is>
      </c>
      <c r="B11" s="5" t="n">
        <v>15827550</v>
      </c>
      <c r="C11" s="6">
        <f>B11/52.7585</f>
        <v/>
      </c>
      <c r="D11" s="7" t="inlineStr">
        <is>
          <t>Uygun harcama bu eşiğin altında olduğundan 5 puan gelir</t>
        </is>
      </c>
    </row>
    <row r="12">
      <c r="A12" s="4" t="inlineStr">
        <is>
          <t>Hibe dışı yapım işleri (A3.4-EK Yapım)</t>
        </is>
      </c>
      <c r="B12" s="5">
        <f>'A3.4-EK Yapım'!H56</f>
        <v/>
      </c>
      <c r="C12" s="6">
        <f>B12/52.7585</f>
        <v/>
      </c>
      <c r="D12" s="7" t="inlineStr">
        <is>
          <t>Diğer 7 yapı ve iki bloktan çıkarılan pozlar — proforma ile beyan</t>
        </is>
      </c>
    </row>
    <row r="13">
      <c r="A13" s="4" t="inlineStr">
        <is>
          <t>Hibe dışı makine-ekipman (A3.4-EK Makine-Ekipman)</t>
        </is>
      </c>
      <c r="B13" s="5">
        <f>'A3.4-EK Makine-Ekipman'!G13</f>
        <v/>
      </c>
      <c r="C13" s="6">
        <f>B13/52.7585</f>
        <v/>
      </c>
      <c r="D13" s="7" t="inlineStr">
        <is>
          <t>Proforma ile beyan</t>
        </is>
      </c>
    </row>
    <row r="14">
      <c r="A14" s="4" t="inlineStr">
        <is>
          <t>Hibe dışı kümes ısıtma sistemi</t>
        </is>
      </c>
      <c r="B14" s="5" t="n">
        <v>710000</v>
      </c>
      <c r="C14" s="6">
        <f>B14/52.7585</f>
        <v/>
      </c>
      <c r="D14" s="7" t="inlineStr">
        <is>
          <t>Ayrı lot; proforma ile beyan</t>
        </is>
      </c>
    </row>
    <row r="15">
      <c r="A15" s="8" t="inlineStr">
        <is>
          <t>UYGUN OLMAYAN HARCAMA (öz kaynak)</t>
        </is>
      </c>
      <c r="B15" s="9">
        <f>B12+B13+B14</f>
        <v/>
      </c>
      <c r="C15" s="10">
        <f>B15/52.7585</f>
        <v/>
      </c>
      <c r="D15" s="11" t="inlineStr">
        <is>
          <t>Tamamı öz kaynaktan karşılanır</t>
        </is>
      </c>
    </row>
    <row r="16">
      <c r="A16" s="12" t="inlineStr">
        <is>
          <t>TOPLAM YATIRIM (KDV hariç)</t>
        </is>
      </c>
      <c r="B16" s="13">
        <f>B9+B15</f>
        <v/>
      </c>
      <c r="C16" s="14">
        <f>B16/52.7585</f>
        <v/>
      </c>
      <c r="D16" s="15" t="inlineStr">
        <is>
          <t>Uygun harcama + uygun olmayan harcama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56" customWidth="1" min="4" max="4"/>
    <col width="8" customWidth="1" min="5" max="5"/>
    <col width="13" customWidth="1" min="6" max="6"/>
    <col width="15" customWidth="1" min="7" max="7"/>
    <col width="17" customWidth="1" min="8" max="8"/>
  </cols>
  <sheetData>
    <row r="1" ht="18" customHeight="1">
      <c r="A1" s="1" t="inlineStr">
        <is>
          <t>A3.1.1 — YAPIM İŞLERİ UYGUN HARCAMALARI</t>
        </is>
      </c>
    </row>
    <row r="2">
      <c r="A2" s="2" t="inlineStr">
        <is>
          <t>Kalemler keşif özetleri ve yapım işleri teklifiyle birebir aynıdır. Hibe kapsamına yalnızca Kümes A ve B blokları girer; her yapı ayrı bölümdür.</t>
        </is>
      </c>
    </row>
    <row r="3"/>
    <row r="4" ht="30" customHeight="1">
      <c r="A4" s="3" t="inlineStr">
        <is>
          <t>EK-1 uygun harcama kalemi</t>
        </is>
      </c>
      <c r="B4" s="3" t="inlineStr">
        <is>
          <t>Yapı</t>
        </is>
      </c>
      <c r="C4" s="3" t="inlineStr">
        <is>
          <t>Poz No</t>
        </is>
      </c>
      <c r="D4" s="3" t="inlineStr">
        <is>
          <t>İşin adı</t>
        </is>
      </c>
      <c r="E4" s="3" t="inlineStr">
        <is>
          <t>Birim</t>
        </is>
      </c>
      <c r="F4" s="3" t="inlineStr">
        <is>
          <t>Miktar</t>
        </is>
      </c>
      <c r="G4" s="3" t="inlineStr">
        <is>
          <t>Birim fiyat (TL)</t>
        </is>
      </c>
      <c r="H4" s="3" t="inlineStr">
        <is>
          <t>Tutar (TL)</t>
        </is>
      </c>
    </row>
    <row r="5" ht="14" customHeight="1">
      <c r="A5" s="16" t="inlineStr">
        <is>
          <t>Kazı, dolgu ve reglaj işleri</t>
        </is>
      </c>
      <c r="B5" s="17" t="inlineStr">
        <is>
          <t>Kümes A Blok</t>
        </is>
      </c>
      <c r="C5" s="18" t="inlineStr">
        <is>
          <t>15.120.1001</t>
        </is>
      </c>
      <c r="D5" s="16" t="inlineStr">
        <is>
          <t>Makine ile yumuşak ve sert toprak kazılması</t>
        </is>
      </c>
      <c r="E5" s="19" t="inlineStr">
        <is>
          <t>m³</t>
        </is>
      </c>
      <c r="F5" s="20" t="n">
        <v>1684.385</v>
      </c>
      <c r="G5" s="5" t="n">
        <v>52.37</v>
      </c>
      <c r="H5" s="5">
        <f>ROUND(F5*G5,2)</f>
        <v/>
      </c>
    </row>
    <row r="6" ht="30" customHeight="1">
      <c r="A6" s="16" t="inlineStr">
        <is>
          <t>Beton işleri</t>
        </is>
      </c>
      <c r="B6" s="17" t="inlineStr">
        <is>
          <t>Kümes A Blok</t>
        </is>
      </c>
      <c r="C6" s="18" t="inlineStr">
        <is>
          <t>15.150.1003</t>
        </is>
      </c>
      <c r="D6" s="16" t="inlineStr">
        <is>
          <t>Beton santralinde üretilen veya satın alınan ve beton pompasıyla basılan, C 16/20 basınç dayanım sınıfında, gri renkte, normal hazır beton dökülmesi (beton nakli dahil)</t>
        </is>
      </c>
      <c r="E6" s="19" t="inlineStr">
        <is>
          <t>m³</t>
        </is>
      </c>
      <c r="F6" s="20" t="n">
        <v>31.429</v>
      </c>
      <c r="G6" s="5" t="n">
        <v>2750.45</v>
      </c>
      <c r="H6" s="5">
        <f>ROUND(F6*G6,2)</f>
        <v/>
      </c>
    </row>
    <row r="7" ht="30" customHeight="1">
      <c r="A7" s="16" t="inlineStr">
        <is>
          <t>Betonarme işleri</t>
        </is>
      </c>
      <c r="B7" s="17" t="inlineStr">
        <is>
          <t>Kümes A Blok</t>
        </is>
      </c>
      <c r="C7" s="18" t="inlineStr">
        <is>
          <t>15.150.1005</t>
        </is>
      </c>
      <c r="D7" s="16" t="inlineStr">
        <is>
          <t>Beton santralinde üretilen veya satın alınan ve beton pompasıyla basılan, C 25/30 basınç dayanım sınıfında, gri renkte, normal hazır beton dökülmesi (beton nakli dahil)</t>
        </is>
      </c>
      <c r="E7" s="19" t="inlineStr">
        <is>
          <t>m³</t>
        </is>
      </c>
      <c r="F7" s="20" t="n">
        <v>278.34</v>
      </c>
      <c r="G7" s="5" t="n">
        <v>2960.45</v>
      </c>
      <c r="H7" s="5">
        <f>ROUND(F7*G7,2)</f>
        <v/>
      </c>
    </row>
    <row r="8" ht="14" customHeight="1">
      <c r="A8" s="16" t="inlineStr">
        <is>
          <t>Kalıp, yapı iskelesi işleri</t>
        </is>
      </c>
      <c r="B8" s="17" t="inlineStr">
        <is>
          <t>Kümes A Blok</t>
        </is>
      </c>
      <c r="C8" s="18" t="inlineStr">
        <is>
          <t>15.180.1003</t>
        </is>
      </c>
      <c r="D8" s="16" t="inlineStr">
        <is>
          <t>Plywood ile düz yüzeyli betonarme kalıbı yapılması</t>
        </is>
      </c>
      <c r="E8" s="19" t="inlineStr">
        <is>
          <t>m²</t>
        </is>
      </c>
      <c r="F8" s="20" t="n">
        <v>551.26</v>
      </c>
      <c r="G8" s="5" t="n">
        <v>863.8</v>
      </c>
      <c r="H8" s="5">
        <f>ROUND(F8*G8,2)</f>
        <v/>
      </c>
    </row>
    <row r="9" ht="20" customHeight="1">
      <c r="A9" s="16" t="inlineStr">
        <is>
          <t>Demir-inşaat işleri</t>
        </is>
      </c>
      <c r="B9" s="17" t="inlineStr">
        <is>
          <t>Kümes A Blok</t>
        </is>
      </c>
      <c r="C9" s="18" t="inlineStr">
        <is>
          <t>15.160.1003</t>
        </is>
      </c>
      <c r="D9" s="16" t="inlineStr">
        <is>
          <t>Ø 8 - Ø 12 mm nervürlü beton çelik çubuğu, çubukların kesilmesi, bükülmesi ve yerine konulması</t>
        </is>
      </c>
      <c r="E9" s="19" t="inlineStr">
        <is>
          <t>ton</t>
        </is>
      </c>
      <c r="F9" s="20" t="n">
        <v>4.16</v>
      </c>
      <c r="G9" s="5" t="n">
        <v>39045.24</v>
      </c>
      <c r="H9" s="5">
        <f>ROUND(F9*G9,2)</f>
        <v/>
      </c>
    </row>
    <row r="10" ht="20" customHeight="1">
      <c r="A10" s="16" t="inlineStr">
        <is>
          <t>Demir-inşaat işleri</t>
        </is>
      </c>
      <c r="B10" s="17" t="inlineStr">
        <is>
          <t>Kümes A Blok</t>
        </is>
      </c>
      <c r="C10" s="18" t="inlineStr">
        <is>
          <t>15.160.1004</t>
        </is>
      </c>
      <c r="D10" s="16" t="inlineStr">
        <is>
          <t>Ø 14 - Ø 28 mm nervürlü beton çelik çubuğu, çubukların kesilmesi, bükülmesi ve yerine konulması</t>
        </is>
      </c>
      <c r="E10" s="19" t="inlineStr">
        <is>
          <t>ton</t>
        </is>
      </c>
      <c r="F10" s="20" t="n">
        <v>7.288</v>
      </c>
      <c r="G10" s="5" t="n">
        <v>37532.19</v>
      </c>
      <c r="H10" s="5">
        <f>ROUND(F10*G10,2)</f>
        <v/>
      </c>
    </row>
    <row r="11" ht="14" customHeight="1">
      <c r="A11" s="16" t="inlineStr">
        <is>
          <t>Demir-inşaat işleri</t>
        </is>
      </c>
      <c r="B11" s="17" t="inlineStr">
        <is>
          <t>Kümes A Blok</t>
        </is>
      </c>
      <c r="C11" s="18" t="inlineStr">
        <is>
          <t>15.160.1002</t>
        </is>
      </c>
      <c r="D11" s="16" t="inlineStr">
        <is>
          <t>Nervürlü çelik hasırın yerine konulması</t>
        </is>
      </c>
      <c r="E11" s="19" t="inlineStr">
        <is>
          <t>ton</t>
        </is>
      </c>
      <c r="F11" s="20" t="n">
        <v>3.637</v>
      </c>
      <c r="G11" s="5" t="n">
        <v>36949.5</v>
      </c>
      <c r="H11" s="5">
        <f>ROUND(F11*G11,2)</f>
        <v/>
      </c>
    </row>
    <row r="12" ht="20" customHeight="1">
      <c r="A12" s="16" t="inlineStr">
        <is>
          <t>Çelik yapım-imalat işleri</t>
        </is>
      </c>
      <c r="B12" s="17" t="inlineStr">
        <is>
          <t>Kümes A Blok</t>
        </is>
      </c>
      <c r="C12" s="18" t="inlineStr">
        <is>
          <t>15.165.1003</t>
        </is>
      </c>
      <c r="D12" s="16" t="inlineStr">
        <is>
          <t>Her çeşit profil, çelik çubuk ve çelik saclarla karkas (çerçeve) inşaat yapılması, yerine tespiti (boya bedeli hariç)</t>
        </is>
      </c>
      <c r="E12" s="19" t="inlineStr">
        <is>
          <t>ton</t>
        </is>
      </c>
      <c r="F12" s="20" t="n">
        <v>44.048</v>
      </c>
      <c r="G12" s="5" t="n">
        <v>72192.55</v>
      </c>
      <c r="H12" s="5">
        <f>ROUND(F12*G12,2)</f>
        <v/>
      </c>
    </row>
    <row r="13" ht="20" customHeight="1">
      <c r="A13" s="16" t="inlineStr">
        <is>
          <t>Çelik yapım-imalat işleri</t>
        </is>
      </c>
      <c r="B13" s="17" t="inlineStr">
        <is>
          <t>Kümes A Blok</t>
        </is>
      </c>
      <c r="C13" s="18" t="inlineStr">
        <is>
          <t>15.550.1202</t>
        </is>
      </c>
      <c r="D13" s="16" t="inlineStr">
        <is>
          <t>Lama ve profil demirlerden çeşitli demir işleri yapılması ve yerine konulması</t>
        </is>
      </c>
      <c r="E13" s="19" t="inlineStr">
        <is>
          <t>kg</t>
        </is>
      </c>
      <c r="F13" s="20" t="n">
        <v>674</v>
      </c>
      <c r="G13" s="5" t="n">
        <v>147.67</v>
      </c>
      <c r="H13" s="5">
        <f>ROUND(F13*G13,2)</f>
        <v/>
      </c>
    </row>
    <row r="14" ht="20" customHeight="1">
      <c r="A14" s="16" t="inlineStr">
        <is>
          <t>Tuğla ve duvar işleri</t>
        </is>
      </c>
      <c r="B14" s="17" t="inlineStr">
        <is>
          <t>Kümes A Blok</t>
        </is>
      </c>
      <c r="C14" s="18" t="inlineStr">
        <is>
          <t>15.225.1010</t>
        </is>
      </c>
      <c r="D14" s="16" t="inlineStr">
        <is>
          <t>20 cm kalınlığındaki teçhizatsız gazbeton duvar blokları ile duvar yapılması (gazbeton tutkalı ile)</t>
        </is>
      </c>
      <c r="E14" s="19" t="inlineStr">
        <is>
          <t>m²</t>
        </is>
      </c>
      <c r="F14" s="20" t="n">
        <v>507.91</v>
      </c>
      <c r="G14" s="5" t="n">
        <v>929.28</v>
      </c>
      <c r="H14" s="5">
        <f>ROUND(F14*G14,2)</f>
        <v/>
      </c>
    </row>
    <row r="15" ht="20" customHeight="1">
      <c r="A15" s="16" t="inlineStr">
        <is>
          <t>Tuğla ve duvar işleri</t>
        </is>
      </c>
      <c r="B15" s="17" t="inlineStr">
        <is>
          <t>Kümes A Blok</t>
        </is>
      </c>
      <c r="C15" s="18" t="inlineStr">
        <is>
          <t>15.225.1410</t>
        </is>
      </c>
      <c r="D15" s="16" t="inlineStr">
        <is>
          <t>20 cm kalınlığındaki teçhizatlı gazbeton lento temini ve yerine konulması</t>
        </is>
      </c>
      <c r="E15" s="19" t="inlineStr">
        <is>
          <t>m²</t>
        </is>
      </c>
      <c r="F15" s="20" t="n">
        <v>49.85</v>
      </c>
      <c r="G15" s="5" t="n">
        <v>1777.52</v>
      </c>
      <c r="H15" s="5">
        <f>ROUND(F15*G15,2)</f>
        <v/>
      </c>
    </row>
    <row r="16" ht="20" customHeight="1">
      <c r="A16" s="16" t="inlineStr">
        <is>
          <t>Tuğla ve duvar işleri</t>
        </is>
      </c>
      <c r="B16" s="17" t="inlineStr">
        <is>
          <t>Kümes A Blok</t>
        </is>
      </c>
      <c r="C16" s="18" t="inlineStr">
        <is>
          <t>15.225.1004</t>
        </is>
      </c>
      <c r="D16" s="16" t="inlineStr">
        <is>
          <t>10 cm kalınlığındaki teçhizatsız gazbeton duvar blokları ile duvar yapılması (gazbeton tutkalı ile)</t>
        </is>
      </c>
      <c r="E16" s="19" t="inlineStr">
        <is>
          <t>m²</t>
        </is>
      </c>
      <c r="F16" s="20" t="n">
        <v>45</v>
      </c>
      <c r="G16" s="5" t="n">
        <v>607.9299999999999</v>
      </c>
      <c r="H16" s="5">
        <f>ROUND(F16*G16,2)</f>
        <v/>
      </c>
    </row>
    <row r="17" ht="14" customHeight="1">
      <c r="A17" s="16" t="inlineStr">
        <is>
          <t>Çatı ve sundurma işleri</t>
        </is>
      </c>
      <c r="B17" s="17" t="inlineStr">
        <is>
          <t>Kümes A Blok</t>
        </is>
      </c>
      <c r="C17" s="18" t="inlineStr">
        <is>
          <t>TKDK-0115</t>
        </is>
      </c>
      <c r="D17" s="16" t="inlineStr">
        <is>
          <t>Galvanizli düz sacdan yağmur oluğu veya iniş borusu yapılması</t>
        </is>
      </c>
      <c r="E17" s="19" t="inlineStr">
        <is>
          <t>kg</t>
        </is>
      </c>
      <c r="F17" s="20" t="n">
        <v>319.2</v>
      </c>
      <c r="G17" s="5" t="n">
        <v>227.85</v>
      </c>
      <c r="H17" s="5">
        <f>ROUND(F17*G17,2)</f>
        <v/>
      </c>
    </row>
    <row r="18" ht="20" customHeight="1">
      <c r="A18" s="16" t="inlineStr">
        <is>
          <t>Çatı ve sundurma işleri</t>
        </is>
      </c>
      <c r="B18" s="17" t="inlineStr">
        <is>
          <t>Kümes A Blok</t>
        </is>
      </c>
      <c r="C18" s="18" t="inlineStr">
        <is>
          <t>15.315.1001</t>
        </is>
      </c>
      <c r="D18" s="16" t="inlineStr">
        <is>
          <t>Ø 70 mm çapında bir ucu muflu sert PVC yağmur borusu temini ve yerine tesbiti</t>
        </is>
      </c>
      <c r="E18" s="19" t="inlineStr">
        <is>
          <t>m</t>
        </is>
      </c>
      <c r="F18" s="20" t="n">
        <v>51.2</v>
      </c>
      <c r="G18" s="5" t="n">
        <v>174.22</v>
      </c>
      <c r="H18" s="5">
        <f>ROUND(F18*G18,2)</f>
        <v/>
      </c>
    </row>
    <row r="19" ht="30" customHeight="1">
      <c r="A19" s="16" t="inlineStr">
        <is>
          <t>Doğramacılık işleri (Demir, Alüminyum, PVC, Kompozit)</t>
        </is>
      </c>
      <c r="B19" s="17" t="inlineStr">
        <is>
          <t>Kümes A Blok</t>
        </is>
      </c>
      <c r="C19" s="18" t="inlineStr">
        <is>
          <t>TKDK-0151</t>
        </is>
      </c>
      <c r="D19" s="16" t="inlineStr">
        <is>
          <t>5 cm poliüretan dolgulu (üst 0,50 mm düz, alt 0,40 mm düz) fabrikasyon rulo boyama sistemi ile boyanmış galvaniz levhalar ile ısı yalıtımlı kapı yapılması</t>
        </is>
      </c>
      <c r="E19" s="19" t="inlineStr">
        <is>
          <t>m²</t>
        </is>
      </c>
      <c r="F19" s="20" t="n">
        <v>13.4</v>
      </c>
      <c r="G19" s="5" t="n">
        <v>870.14</v>
      </c>
      <c r="H19" s="5">
        <f>ROUND(F19*G19,2)</f>
        <v/>
      </c>
    </row>
    <row r="20" ht="30" customHeight="1">
      <c r="A20" s="16" t="inlineStr">
        <is>
          <t>Doğramacılık işleri (Demir, Alüminyum, PVC, Kompozit)</t>
        </is>
      </c>
      <c r="B20" s="17" t="inlineStr">
        <is>
          <t>Kümes A Blok</t>
        </is>
      </c>
      <c r="C20" s="18" t="inlineStr">
        <is>
          <t>TKDK-0175</t>
        </is>
      </c>
      <c r="D20" s="16" t="inlineStr">
        <is>
          <t>PVC kaplamalı, iki yüzü odun lifinden yapılmış levhalarla (MDF) presli, kraft dolgulu iç kapı kanadı yapılması, yerinde takılması</t>
        </is>
      </c>
      <c r="E20" s="19" t="inlineStr">
        <is>
          <t>m²</t>
        </is>
      </c>
      <c r="F20" s="20" t="n">
        <v>5.67</v>
      </c>
      <c r="G20" s="5" t="n">
        <v>2687.73</v>
      </c>
      <c r="H20" s="5">
        <f>ROUND(F20*G20,2)</f>
        <v/>
      </c>
    </row>
    <row r="21" ht="20" customHeight="1">
      <c r="A21" s="16" t="inlineStr">
        <is>
          <t>Doğramacılık işleri (Demir, Alüminyum, PVC, Kompozit)</t>
        </is>
      </c>
      <c r="B21" s="17" t="inlineStr">
        <is>
          <t>Kümes A Blok</t>
        </is>
      </c>
      <c r="C21" s="18" t="inlineStr">
        <is>
          <t>15.550.1002</t>
        </is>
      </c>
      <c r="D21" s="16" t="inlineStr">
        <is>
          <t>1,50 mm kalınlığında sıcak haddelenmiş sacdan bükme kapı kasası yapılması ve yerine konulması</t>
        </is>
      </c>
      <c r="E21" s="19" t="inlineStr">
        <is>
          <t>kg</t>
        </is>
      </c>
      <c r="F21" s="20" t="n">
        <v>54.315</v>
      </c>
      <c r="G21" s="5" t="n">
        <v>183.57</v>
      </c>
      <c r="H21" s="5">
        <f>ROUND(F21*G21,2)</f>
        <v/>
      </c>
    </row>
    <row r="22" ht="14" customHeight="1">
      <c r="A22" s="16" t="inlineStr">
        <is>
          <t>Sıva, alçı, derz ve şap işleri</t>
        </is>
      </c>
      <c r="B22" s="17" t="inlineStr">
        <is>
          <t>Kümes A Blok</t>
        </is>
      </c>
      <c r="C22" s="18" t="inlineStr">
        <is>
          <t>15.275.1116</t>
        </is>
      </c>
      <c r="D22" s="16" t="inlineStr">
        <is>
          <t>250 kg çimento dozlu harç ile kaba sıva yapılması</t>
        </is>
      </c>
      <c r="E22" s="19" t="inlineStr">
        <is>
          <t>m²</t>
        </is>
      </c>
      <c r="F22" s="20" t="n">
        <v>557.76</v>
      </c>
      <c r="G22" s="5" t="n">
        <v>372.55</v>
      </c>
      <c r="H22" s="5">
        <f>ROUND(F22*G22,2)</f>
        <v/>
      </c>
    </row>
    <row r="23" ht="20" customHeight="1">
      <c r="A23" s="16" t="inlineStr">
        <is>
          <t>Sıva, alçı, derz ve şap işleri</t>
        </is>
      </c>
      <c r="B23" s="17" t="inlineStr">
        <is>
          <t>Kümes A Blok</t>
        </is>
      </c>
      <c r="C23" s="18" t="inlineStr">
        <is>
          <t>15.275.1117</t>
        </is>
      </c>
      <c r="D23" s="16" t="inlineStr">
        <is>
          <t>200 kg çimento ve kireç karışımı harç ile kaba sıva yapılması (iç cephe)</t>
        </is>
      </c>
      <c r="E23" s="19" t="inlineStr">
        <is>
          <t>m²</t>
        </is>
      </c>
      <c r="F23" s="20" t="n">
        <v>647.76</v>
      </c>
      <c r="G23" s="5" t="n">
        <v>381.49</v>
      </c>
      <c r="H23" s="5">
        <f>ROUND(F23*G23,2)</f>
        <v/>
      </c>
    </row>
    <row r="24" ht="20" customHeight="1">
      <c r="A24" s="16" t="inlineStr">
        <is>
          <t>Boya, badana ve cila işleri</t>
        </is>
      </c>
      <c r="B24" s="17" t="inlineStr">
        <is>
          <t>Kümes A Blok</t>
        </is>
      </c>
      <c r="C24" s="18" t="inlineStr">
        <is>
          <t>15.540.1606</t>
        </is>
      </c>
      <c r="D24" s="16" t="inlineStr">
        <is>
          <t>Brüt beton, sıvalı veya eski boyalı yüzeylere astar uygulanarak silikon esaslı su bazlı dış cephe boyası yapılması</t>
        </is>
      </c>
      <c r="E24" s="19" t="inlineStr">
        <is>
          <t>m²</t>
        </is>
      </c>
      <c r="F24" s="20" t="n">
        <v>557.76</v>
      </c>
      <c r="G24" s="5" t="n">
        <v>324.27</v>
      </c>
      <c r="H24" s="5">
        <f>ROUND(F24*G24,2)</f>
        <v/>
      </c>
    </row>
    <row r="25" ht="20" customHeight="1">
      <c r="A25" s="16" t="inlineStr">
        <is>
          <t>Boya, badana ve cila işleri</t>
        </is>
      </c>
      <c r="B25" s="17" t="inlineStr">
        <is>
          <t>Kümes A Blok</t>
        </is>
      </c>
      <c r="C25" s="18" t="inlineStr">
        <is>
          <t>15.540.1537</t>
        </is>
      </c>
      <c r="D25" s="16" t="inlineStr">
        <is>
          <t>Yeni sıva yüzeylere astar uygulanarak iki kat su bazlı plastik antibakteriyel iç cephe boyası yapılması</t>
        </is>
      </c>
      <c r="E25" s="19" t="inlineStr">
        <is>
          <t>m²</t>
        </is>
      </c>
      <c r="F25" s="20" t="n">
        <v>612.76</v>
      </c>
      <c r="G25" s="5" t="n">
        <v>248.75</v>
      </c>
      <c r="H25" s="5">
        <f>ROUND(F25*G25,2)</f>
        <v/>
      </c>
    </row>
    <row r="26" ht="40" customHeight="1">
      <c r="A26" s="16" t="inlineStr">
        <is>
          <t>İnce yapı ve tamamlayıcı imalatlar</t>
        </is>
      </c>
      <c r="B26" s="17" t="inlineStr">
        <is>
          <t>Kümes A Blok</t>
        </is>
      </c>
      <c r="C26" s="18" t="inlineStr">
        <is>
          <t>TKDK-0177</t>
        </is>
      </c>
      <c r="D26" s="16" t="inlineStr">
        <is>
          <t>(25x70 - 25x75 - 40x80 cm) anma ebatlarında, her türlü desen ve yüzey özelliğinde, renkli duvar karosu ile 3 mm derz aralıklı döşeme, duvar ve cephe kaplaması yapılması (karo yapıştırıcısı ile)</t>
        </is>
      </c>
      <c r="E26" s="19" t="inlineStr">
        <is>
          <t>m²</t>
        </is>
      </c>
      <c r="F26" s="20" t="n">
        <v>60</v>
      </c>
      <c r="G26" s="5" t="n">
        <v>701.48</v>
      </c>
      <c r="H26" s="5">
        <f>ROUND(F26*G26,2)</f>
        <v/>
      </c>
    </row>
    <row r="27" ht="20" customHeight="1">
      <c r="A27" s="16" t="inlineStr">
        <is>
          <t>Kanalizasyon işleri</t>
        </is>
      </c>
      <c r="B27" s="17" t="inlineStr">
        <is>
          <t>Kümes A Blok</t>
        </is>
      </c>
      <c r="C27" s="18" t="inlineStr">
        <is>
          <t>43.527.1001</t>
        </is>
      </c>
      <c r="D27" s="16" t="inlineStr">
        <is>
          <t>Çapı 150 mm HDPE koruge boru döşenmesi (SN 8, lastik conta ve boru bedeli dahil)</t>
        </is>
      </c>
      <c r="E27" s="19" t="inlineStr">
        <is>
          <t>m</t>
        </is>
      </c>
      <c r="F27" s="20" t="n">
        <v>25</v>
      </c>
      <c r="G27" s="5" t="n">
        <v>330.7</v>
      </c>
      <c r="H27" s="5">
        <f>ROUND(F27*G27,2)</f>
        <v/>
      </c>
    </row>
    <row r="28" ht="20" customHeight="1">
      <c r="A28" s="16" t="inlineStr">
        <is>
          <t>Elektrik tesisatı ve aydınlatma</t>
        </is>
      </c>
      <c r="B28" s="17" t="inlineStr">
        <is>
          <t>Kümes A Blok</t>
        </is>
      </c>
      <c r="C28" s="18" t="inlineStr">
        <is>
          <t>30.100.2105</t>
        </is>
      </c>
      <c r="D28" s="16" t="inlineStr">
        <is>
          <t>Kümes dağıtım panosu (sıva üstü galvanizli sac tablo, 0,40-0,50 m²) (%25 müteahhit kârı dahil)</t>
        </is>
      </c>
      <c r="E28" s="19" t="inlineStr">
        <is>
          <t>ad</t>
        </is>
      </c>
      <c r="F28" s="20" t="n">
        <v>1</v>
      </c>
      <c r="G28" s="5" t="n">
        <v>7084.16</v>
      </c>
      <c r="H28" s="5">
        <f>ROUND(F28*G28,2)</f>
        <v/>
      </c>
    </row>
    <row r="29" ht="20" customHeight="1">
      <c r="A29" s="16" t="inlineStr">
        <is>
          <t>Elektrik tesisatı ve aydınlatma</t>
        </is>
      </c>
      <c r="B29" s="17" t="inlineStr">
        <is>
          <t>Kümes A Blok</t>
        </is>
      </c>
      <c r="C29" s="18" t="inlineStr">
        <is>
          <t>30.110.1102</t>
        </is>
      </c>
      <c r="D29" s="16" t="inlineStr">
        <is>
          <t>Termik-manyetik kompakt şalter 3x100 A, Icu 35 kA — kümes besleme (%25 müteahhit kârı dahil)</t>
        </is>
      </c>
      <c r="E29" s="19" t="inlineStr">
        <is>
          <t>ad</t>
        </is>
      </c>
      <c r="F29" s="20" t="n">
        <v>1</v>
      </c>
      <c r="G29" s="5" t="n">
        <v>3528.05</v>
      </c>
      <c r="H29" s="5">
        <f>ROUND(F29*G29,2)</f>
        <v/>
      </c>
    </row>
    <row r="30" ht="20" customHeight="1">
      <c r="A30" s="16" t="inlineStr">
        <is>
          <t>Elektrik tesisatı ve aydınlatma</t>
        </is>
      </c>
      <c r="B30" s="17" t="inlineStr">
        <is>
          <t>Kümes A Blok</t>
        </is>
      </c>
      <c r="C30" s="18" t="inlineStr">
        <is>
          <t>30.115.1003</t>
        </is>
      </c>
      <c r="D30" s="16" t="inlineStr">
        <is>
          <t>Kaçak akım koruma şalteri 2x63 A, 30 mA (%25 müteahhit kârı dahil)</t>
        </is>
      </c>
      <c r="E30" s="19" t="inlineStr">
        <is>
          <t>ad</t>
        </is>
      </c>
      <c r="F30" s="20" t="n">
        <v>2</v>
      </c>
      <c r="G30" s="5" t="n">
        <v>1079.2</v>
      </c>
      <c r="H30" s="5">
        <f>ROUND(F30*G30,2)</f>
        <v/>
      </c>
    </row>
    <row r="31" ht="20" customHeight="1">
      <c r="A31" s="16" t="inlineStr">
        <is>
          <t>Elektrik tesisatı ve aydınlatma</t>
        </is>
      </c>
      <c r="B31" s="17" t="inlineStr">
        <is>
          <t>Kümes A Blok</t>
        </is>
      </c>
      <c r="C31" s="18" t="inlineStr">
        <is>
          <t>30.140.3104</t>
        </is>
      </c>
      <c r="D31" s="16" t="inlineStr">
        <is>
          <t>YVV (NYY) 1 kV yeraltı kablosu ile kolon hattı tesisi — 1x25 mm² (%25 müteahhit kârı dahil)</t>
        </is>
      </c>
      <c r="E31" s="19" t="inlineStr">
        <is>
          <t>m</t>
        </is>
      </c>
      <c r="F31" s="20" t="n">
        <v>300</v>
      </c>
      <c r="G31" s="5" t="n">
        <v>200</v>
      </c>
      <c r="H31" s="5">
        <f>ROUND(F31*G31,2)</f>
        <v/>
      </c>
    </row>
    <row r="32" ht="30" customHeight="1">
      <c r="A32" s="16" t="inlineStr">
        <is>
          <t>Elektrik tesisatı ve aydınlatma</t>
        </is>
      </c>
      <c r="B32" s="17" t="inlineStr">
        <is>
          <t>Kümes A Blok</t>
        </is>
      </c>
      <c r="C32" s="18" t="inlineStr">
        <is>
          <t>30.170.1602</t>
        </is>
      </c>
      <c r="D32" s="16" t="inlineStr">
        <is>
          <t>LED sıva üstü etanj armatür (polikarbon gövdeli), ışık akısı en az 2700 lm — kümes genel aydınlatması (%25 müteahhit kârı dahil)</t>
        </is>
      </c>
      <c r="E32" s="19" t="inlineStr">
        <is>
          <t>ad</t>
        </is>
      </c>
      <c r="F32" s="20" t="n">
        <v>30</v>
      </c>
      <c r="G32" s="5" t="n">
        <v>1996.08</v>
      </c>
      <c r="H32" s="5">
        <f>ROUND(F32*G32,2)</f>
        <v/>
      </c>
    </row>
    <row r="33" ht="20" customHeight="1">
      <c r="A33" s="16" t="inlineStr">
        <is>
          <t>Elektrik tesisatı ve aydınlatma</t>
        </is>
      </c>
      <c r="B33" s="17" t="inlineStr">
        <is>
          <t>Kümes A Blok</t>
        </is>
      </c>
      <c r="C33" s="18" t="inlineStr">
        <is>
          <t>30.170.1601</t>
        </is>
      </c>
      <c r="D33" s="16" t="inlineStr">
        <is>
          <t>LED sıva üstü etanj armatür (polikarbon gövdeli), ışık akısı en az 1800 lm — servis bölümü (%25 müteahhit kârı dahil)</t>
        </is>
      </c>
      <c r="E33" s="19" t="inlineStr">
        <is>
          <t>ad</t>
        </is>
      </c>
      <c r="F33" s="20" t="n">
        <v>2</v>
      </c>
      <c r="G33" s="5" t="n">
        <v>1370.96</v>
      </c>
      <c r="H33" s="5">
        <f>ROUND(F33*G33,2)</f>
        <v/>
      </c>
    </row>
    <row r="34" ht="20" customHeight="1">
      <c r="A34" s="16" t="inlineStr">
        <is>
          <t>Elektrik tesisatı ve aydınlatma</t>
        </is>
      </c>
      <c r="B34" s="17" t="inlineStr">
        <is>
          <t>Kümes A Blok</t>
        </is>
      </c>
      <c r="C34" s="18" t="inlineStr">
        <is>
          <t>30.160.6102</t>
        </is>
      </c>
      <c r="D34" s="16" t="inlineStr">
        <is>
          <t>Boş boru döşemesi — 25-32 mm PVC boru (%25 müteahhit kârı dahil)</t>
        </is>
      </c>
      <c r="E34" s="19" t="inlineStr">
        <is>
          <t>m</t>
        </is>
      </c>
      <c r="F34" s="20" t="n">
        <v>500</v>
      </c>
      <c r="G34" s="5" t="n">
        <v>29.06</v>
      </c>
      <c r="H34" s="5">
        <f>ROUND(F34*G34,2)</f>
        <v/>
      </c>
    </row>
    <row r="35" ht="20" customHeight="1">
      <c r="A35" s="16" t="inlineStr">
        <is>
          <t>Elektrik tesisatı ve aydınlatma</t>
        </is>
      </c>
      <c r="B35" s="17" t="inlineStr">
        <is>
          <t>Kümes A Blok</t>
        </is>
      </c>
      <c r="C35" s="18" t="inlineStr">
        <is>
          <t>30.150.1402</t>
        </is>
      </c>
      <c r="D35" s="16" t="inlineStr">
        <is>
          <t>Halojensiz H07Z tipi iletken 1x2,5 mm² ile tesisat (%25 müteahhit kârı dahil)</t>
        </is>
      </c>
      <c r="E35" s="19" t="inlineStr">
        <is>
          <t>m</t>
        </is>
      </c>
      <c r="F35" s="20" t="n">
        <v>2000</v>
      </c>
      <c r="G35" s="5" t="n">
        <v>19.5</v>
      </c>
      <c r="H35" s="5">
        <f>ROUND(F35*G35,2)</f>
        <v/>
      </c>
    </row>
    <row r="36" ht="20" customHeight="1">
      <c r="A36" s="16" t="inlineStr">
        <is>
          <t>Elektrik tesisatı ve aydınlatma</t>
        </is>
      </c>
      <c r="B36" s="17" t="inlineStr">
        <is>
          <t>Kümes A Blok</t>
        </is>
      </c>
      <c r="C36" s="18" t="inlineStr">
        <is>
          <t>30.150.1401</t>
        </is>
      </c>
      <c r="D36" s="16" t="inlineStr">
        <is>
          <t>Halojensiz H07Z tipi iletken 1x1,5 mm² ile kumanda tesisatı (%25 müteahhit kârı dahil)</t>
        </is>
      </c>
      <c r="E36" s="19" t="inlineStr">
        <is>
          <t>m</t>
        </is>
      </c>
      <c r="F36" s="20" t="n">
        <v>600</v>
      </c>
      <c r="G36" s="5" t="n">
        <v>12.22</v>
      </c>
      <c r="H36" s="5">
        <f>ROUND(F36*G36,2)</f>
        <v/>
      </c>
    </row>
    <row r="37" ht="20" customHeight="1">
      <c r="A37" s="16" t="inlineStr">
        <is>
          <t>Elektrik tesisatı ve aydınlatma</t>
        </is>
      </c>
      <c r="B37" s="17" t="inlineStr">
        <is>
          <t>Kümes A Blok</t>
        </is>
      </c>
      <c r="C37" s="18" t="inlineStr">
        <is>
          <t>30.140.1105</t>
        </is>
      </c>
      <c r="D37" s="16" t="inlineStr">
        <is>
          <t>Çıplak bakır tel 25 mm² — eşpotansiyel bara ve topraklama iletkeni (%25 müteahhit kârı dahil)</t>
        </is>
      </c>
      <c r="E37" s="19" t="inlineStr">
        <is>
          <t>m</t>
        </is>
      </c>
      <c r="F37" s="20" t="n">
        <v>100</v>
      </c>
      <c r="G37" s="5" t="n">
        <v>157.05</v>
      </c>
      <c r="H37" s="5">
        <f>ROUND(F37*G37,2)</f>
        <v/>
      </c>
    </row>
    <row r="38" ht="20" customHeight="1">
      <c r="A38" s="16" t="inlineStr">
        <is>
          <t>Elektrik tesisatı ve aydınlatma</t>
        </is>
      </c>
      <c r="B38" s="17" t="inlineStr">
        <is>
          <t>Kümes A Blok</t>
        </is>
      </c>
      <c r="C38" s="18" t="inlineStr">
        <is>
          <t>30.750.3002</t>
        </is>
      </c>
      <c r="D38" s="16" t="inlineStr">
        <is>
          <t>Bina ihata iletkeni tesisatı — 30x3,5 mm galvanizli çelik lama (temel topraklaması) (%25 müteahhit kârı dahil)</t>
        </is>
      </c>
      <c r="E38" s="19" t="inlineStr">
        <is>
          <t>m</t>
        </is>
      </c>
      <c r="F38" s="20" t="n">
        <v>186</v>
      </c>
      <c r="G38" s="5" t="n">
        <v>115.96</v>
      </c>
      <c r="H38" s="5">
        <f>ROUND(F38*G38,2)</f>
        <v/>
      </c>
    </row>
    <row r="39" ht="20" customHeight="1">
      <c r="A39" s="16" t="inlineStr">
        <is>
          <t>Elektrik tesisatı ve aydınlatma</t>
        </is>
      </c>
      <c r="B39" s="17" t="inlineStr">
        <is>
          <t>Kümes A Blok</t>
        </is>
      </c>
      <c r="C39" s="18" t="inlineStr">
        <is>
          <t>30.750.1502</t>
        </is>
      </c>
      <c r="D39" s="16" t="inlineStr">
        <is>
          <t>Aktif yakalama ucu, ortalama uyarım yolu DL = 30-40 m (%25 müteahhit kârı dahil)</t>
        </is>
      </c>
      <c r="E39" s="19" t="inlineStr">
        <is>
          <t>ad</t>
        </is>
      </c>
      <c r="F39" s="20" t="n">
        <v>1</v>
      </c>
      <c r="G39" s="5" t="n">
        <v>15595.61</v>
      </c>
      <c r="H39" s="5">
        <f>ROUND(F39*G39,2)</f>
        <v/>
      </c>
    </row>
    <row r="40" ht="20" customHeight="1">
      <c r="A40" s="16" t="inlineStr">
        <is>
          <t>Elektrik tesisatı ve aydınlatma</t>
        </is>
      </c>
      <c r="B40" s="17" t="inlineStr">
        <is>
          <t>Kümes A Blok</t>
        </is>
      </c>
      <c r="C40" s="18" t="inlineStr">
        <is>
          <t>30.750.2001</t>
        </is>
      </c>
      <c r="D40" s="16" t="inlineStr">
        <is>
          <t>Çatı ihata ve indirme iletkeni tesisatı — 50 mm² elektrolitik bakır tel (%25 müteahhit kârı dahil)</t>
        </is>
      </c>
      <c r="E40" s="19" t="inlineStr">
        <is>
          <t>m</t>
        </is>
      </c>
      <c r="F40" s="20" t="n">
        <v>16</v>
      </c>
      <c r="G40" s="5" t="n">
        <v>426.72</v>
      </c>
      <c r="H40" s="5">
        <f>ROUND(F40*G40,2)</f>
        <v/>
      </c>
    </row>
    <row r="41" ht="30" customHeight="1">
      <c r="A41" s="16" t="inlineStr">
        <is>
          <t>Elektrik tesisatı ve aydınlatma</t>
        </is>
      </c>
      <c r="B41" s="17" t="inlineStr">
        <is>
          <t>Kümes A Blok</t>
        </is>
      </c>
      <c r="C41" s="18" t="inlineStr">
        <is>
          <t>30.740.1106</t>
        </is>
      </c>
      <c r="D41" s="16" t="inlineStr">
        <is>
          <t>Dizel elektrojen grubu (jeneratör) 63 kVA / 50 kW — dizel motoru su veya hava ile soğuyan cinsten, 1500 d/dak (%25 müteahhit kârı dahil)</t>
        </is>
      </c>
      <c r="E41" s="19" t="inlineStr">
        <is>
          <t>ad</t>
        </is>
      </c>
      <c r="F41" s="20" t="n">
        <v>1</v>
      </c>
      <c r="G41" s="5" t="n">
        <v>467349.29</v>
      </c>
      <c r="H41" s="5">
        <f>ROUND(F41*G41,2)</f>
        <v/>
      </c>
    </row>
    <row r="42" ht="20" customHeight="1">
      <c r="A42" s="16" t="inlineStr">
        <is>
          <t>Elektrik tesisatı ve aydınlatma</t>
        </is>
      </c>
      <c r="B42" s="17" t="inlineStr">
        <is>
          <t>Kümes A Blok</t>
        </is>
      </c>
      <c r="C42" s="18" t="inlineStr">
        <is>
          <t>30.740.5406</t>
        </is>
      </c>
      <c r="D42" s="16" t="inlineStr">
        <is>
          <t>Jeneratör ses izolasyon kabini — 63 kVA (%25 müteahhit kârı dahil)</t>
        </is>
      </c>
      <c r="E42" s="19" t="inlineStr">
        <is>
          <t>ad</t>
        </is>
      </c>
      <c r="F42" s="20" t="n">
        <v>1</v>
      </c>
      <c r="G42" s="5" t="n">
        <v>79653.55</v>
      </c>
      <c r="H42" s="5">
        <f>ROUND(F42*G42,2)</f>
        <v/>
      </c>
    </row>
    <row r="43" ht="20" customHeight="1">
      <c r="A43" s="16" t="inlineStr">
        <is>
          <t>Elektrik tesisatı ve aydınlatma</t>
        </is>
      </c>
      <c r="B43" s="17" t="inlineStr">
        <is>
          <t>Kümes A Blok</t>
        </is>
      </c>
      <c r="C43" s="18" t="inlineStr">
        <is>
          <t>35.190.1100</t>
        </is>
      </c>
      <c r="D43" s="16" t="inlineStr">
        <is>
          <t>Kablo tava sistemleri — 200x60x1,0 mm sıcak daldırma galvanizli perfore kablo tavası (malzeme) (%25 müteahhit kârı dahil)</t>
        </is>
      </c>
      <c r="E43" s="19" t="inlineStr">
        <is>
          <t>kg</t>
        </is>
      </c>
      <c r="F43" s="20" t="n">
        <v>502</v>
      </c>
      <c r="G43" s="5" t="n">
        <v>199.42</v>
      </c>
      <c r="H43" s="5">
        <f>ROUND(F43*G43,2)</f>
        <v/>
      </c>
    </row>
    <row r="44" ht="30" customHeight="1">
      <c r="A44" s="16" t="inlineStr">
        <is>
          <t>Elektrik tesisatı ve aydınlatma</t>
        </is>
      </c>
      <c r="B44" s="17" t="inlineStr">
        <is>
          <t>Kümes A Blok</t>
        </is>
      </c>
      <c r="C44" s="19" t="inlineStr">
        <is>
          <t>35.190.1100 (montaj)</t>
        </is>
      </c>
      <c r="D44" s="16" t="inlineStr">
        <is>
          <t>Kablo tava sistemlerinin montajı — askı ve konsollarla tavana veya duvara tespiti; ek parça, konsol, askı tiji, vida ve somun bedelleri dâhildir, ayrıca ödenmez</t>
        </is>
      </c>
      <c r="E44" s="19" t="inlineStr">
        <is>
          <t>kg</t>
        </is>
      </c>
      <c r="F44" s="20" t="n">
        <v>502</v>
      </c>
      <c r="G44" s="5" t="n">
        <v>38.72</v>
      </c>
      <c r="H44" s="5">
        <f>ROUND(F44*G44,2)</f>
        <v/>
      </c>
    </row>
    <row r="45" ht="30" customHeight="1">
      <c r="A45" s="16" t="inlineStr">
        <is>
          <t>Elektrik tesisatı ve aydınlatma</t>
        </is>
      </c>
      <c r="B45" s="17" t="inlineStr">
        <is>
          <t>Kümes A Blok</t>
        </is>
      </c>
      <c r="C45" s="18" t="inlineStr">
        <is>
          <t>35.190.1101</t>
        </is>
      </c>
      <c r="D45" s="16" t="inlineStr">
        <is>
          <t>Kablo tava sistemleri kapak sacı — 35.190.1100 pozuna uygun özellikte, 1,0 mm sıcak daldırma galvanizli (malzeme) (%25 müteahhit kârı dahil)</t>
        </is>
      </c>
      <c r="E45" s="19" t="inlineStr">
        <is>
          <t>kg</t>
        </is>
      </c>
      <c r="F45" s="20" t="n">
        <v>361.2</v>
      </c>
      <c r="G45" s="5" t="n">
        <v>162.37</v>
      </c>
      <c r="H45" s="5">
        <f>ROUND(F45*G45,2)</f>
        <v/>
      </c>
    </row>
    <row r="46" ht="30" customHeight="1">
      <c r="A46" s="16" t="inlineStr">
        <is>
          <t>Elektrik tesisatı ve aydınlatma</t>
        </is>
      </c>
      <c r="B46" s="17" t="inlineStr">
        <is>
          <t>Kümes A Blok</t>
        </is>
      </c>
      <c r="C46" s="19" t="inlineStr">
        <is>
          <t>35.190.1101 (montaj)</t>
        </is>
      </c>
      <c r="D46" s="16" t="inlineStr">
        <is>
          <t>Kablo tava sistemleri kapak sacının montajı — onaylı projesinde belirtilen kanalların kapatılması; her türlü işçilik ve malzeme dâhil, işler hâlde teslim</t>
        </is>
      </c>
      <c r="E46" s="19" t="inlineStr">
        <is>
          <t>kg</t>
        </is>
      </c>
      <c r="F46" s="20" t="n">
        <v>361.2</v>
      </c>
      <c r="G46" s="5" t="n">
        <v>21.3</v>
      </c>
      <c r="H46" s="5">
        <f>ROUND(F46*G46,2)</f>
        <v/>
      </c>
    </row>
    <row r="47" ht="20" customHeight="1">
      <c r="A47" s="16" t="inlineStr">
        <is>
          <t>Elektrik tesisatı ve aydınlatma</t>
        </is>
      </c>
      <c r="B47" s="17" t="inlineStr">
        <is>
          <t>Kümes A Blok</t>
        </is>
      </c>
      <c r="C47" s="18" t="inlineStr">
        <is>
          <t>30.190.1304</t>
        </is>
      </c>
      <c r="D47" s="16" t="inlineStr">
        <is>
          <t>Sıva üstü PVC kablo kanalı — en az 100 x 35 mm, üç bölmeli (%25 müteahhit kârı dahil)</t>
        </is>
      </c>
      <c r="E47" s="19" t="inlineStr">
        <is>
          <t>m</t>
        </is>
      </c>
      <c r="F47" s="20" t="n">
        <v>123</v>
      </c>
      <c r="G47" s="5" t="n">
        <v>233.28</v>
      </c>
      <c r="H47" s="5">
        <f>ROUND(F47*G47,2)</f>
        <v/>
      </c>
    </row>
    <row r="48" ht="14" customHeight="1">
      <c r="A48" s="16" t="inlineStr">
        <is>
          <t>Kazı, dolgu ve reglaj işleri</t>
        </is>
      </c>
      <c r="B48" s="17" t="inlineStr">
        <is>
          <t>Kümes B Blok</t>
        </is>
      </c>
      <c r="C48" s="18" t="inlineStr">
        <is>
          <t>15.120.1001</t>
        </is>
      </c>
      <c r="D48" s="16" t="inlineStr">
        <is>
          <t>Makine ile yumuşak ve sert toprak kazılması</t>
        </is>
      </c>
      <c r="E48" s="19" t="inlineStr">
        <is>
          <t>m³</t>
        </is>
      </c>
      <c r="F48" s="20" t="n">
        <v>1684.385</v>
      </c>
      <c r="G48" s="5" t="n">
        <v>52.37</v>
      </c>
      <c r="H48" s="5">
        <f>ROUND(F48*G48,2)</f>
        <v/>
      </c>
    </row>
    <row r="49" ht="30" customHeight="1">
      <c r="A49" s="16" t="inlineStr">
        <is>
          <t>Beton işleri</t>
        </is>
      </c>
      <c r="B49" s="17" t="inlineStr">
        <is>
          <t>Kümes B Blok</t>
        </is>
      </c>
      <c r="C49" s="18" t="inlineStr">
        <is>
          <t>15.150.1003</t>
        </is>
      </c>
      <c r="D49" s="16" t="inlineStr">
        <is>
          <t>Beton santralinde üretilen veya satın alınan ve beton pompasıyla basılan, C 16/20 basınç dayanım sınıfında, gri renkte, normal hazır beton dökülmesi (beton nakli dahil)</t>
        </is>
      </c>
      <c r="E49" s="19" t="inlineStr">
        <is>
          <t>m³</t>
        </is>
      </c>
      <c r="F49" s="20" t="n">
        <v>31.429</v>
      </c>
      <c r="G49" s="5" t="n">
        <v>2750.45</v>
      </c>
      <c r="H49" s="5">
        <f>ROUND(F49*G49,2)</f>
        <v/>
      </c>
    </row>
    <row r="50" ht="30" customHeight="1">
      <c r="A50" s="16" t="inlineStr">
        <is>
          <t>Betonarme işleri</t>
        </is>
      </c>
      <c r="B50" s="17" t="inlineStr">
        <is>
          <t>Kümes B Blok</t>
        </is>
      </c>
      <c r="C50" s="18" t="inlineStr">
        <is>
          <t>15.150.1005</t>
        </is>
      </c>
      <c r="D50" s="16" t="inlineStr">
        <is>
          <t>Beton santralinde üretilen veya satın alınan ve beton pompasıyla basılan, C 25/30 basınç dayanım sınıfında, gri renkte, normal hazır beton dökülmesi (beton nakli dahil)</t>
        </is>
      </c>
      <c r="E50" s="19" t="inlineStr">
        <is>
          <t>m³</t>
        </is>
      </c>
      <c r="F50" s="20" t="n">
        <v>278.34</v>
      </c>
      <c r="G50" s="5" t="n">
        <v>2960.45</v>
      </c>
      <c r="H50" s="5">
        <f>ROUND(F50*G50,2)</f>
        <v/>
      </c>
    </row>
    <row r="51" ht="14" customHeight="1">
      <c r="A51" s="16" t="inlineStr">
        <is>
          <t>Kalıp, yapı iskelesi işleri</t>
        </is>
      </c>
      <c r="B51" s="17" t="inlineStr">
        <is>
          <t>Kümes B Blok</t>
        </is>
      </c>
      <c r="C51" s="18" t="inlineStr">
        <is>
          <t>15.180.1003</t>
        </is>
      </c>
      <c r="D51" s="16" t="inlineStr">
        <is>
          <t>Plywood ile düz yüzeyli betonarme kalıbı yapılması</t>
        </is>
      </c>
      <c r="E51" s="19" t="inlineStr">
        <is>
          <t>m²</t>
        </is>
      </c>
      <c r="F51" s="20" t="n">
        <v>551.26</v>
      </c>
      <c r="G51" s="5" t="n">
        <v>863.8</v>
      </c>
      <c r="H51" s="5">
        <f>ROUND(F51*G51,2)</f>
        <v/>
      </c>
    </row>
    <row r="52" ht="20" customHeight="1">
      <c r="A52" s="16" t="inlineStr">
        <is>
          <t>Demir-inşaat işleri</t>
        </is>
      </c>
      <c r="B52" s="17" t="inlineStr">
        <is>
          <t>Kümes B Blok</t>
        </is>
      </c>
      <c r="C52" s="18" t="inlineStr">
        <is>
          <t>15.160.1003</t>
        </is>
      </c>
      <c r="D52" s="16" t="inlineStr">
        <is>
          <t>Ø 8 - Ø 12 mm nervürlü beton çelik çubuğu, çubukların kesilmesi, bükülmesi ve yerine konulması</t>
        </is>
      </c>
      <c r="E52" s="19" t="inlineStr">
        <is>
          <t>ton</t>
        </is>
      </c>
      <c r="F52" s="20" t="n">
        <v>4.16</v>
      </c>
      <c r="G52" s="5" t="n">
        <v>39045.24</v>
      </c>
      <c r="H52" s="5">
        <f>ROUND(F52*G52,2)</f>
        <v/>
      </c>
    </row>
    <row r="53" ht="20" customHeight="1">
      <c r="A53" s="16" t="inlineStr">
        <is>
          <t>Demir-inşaat işleri</t>
        </is>
      </c>
      <c r="B53" s="17" t="inlineStr">
        <is>
          <t>Kümes B Blok</t>
        </is>
      </c>
      <c r="C53" s="18" t="inlineStr">
        <is>
          <t>15.160.1004</t>
        </is>
      </c>
      <c r="D53" s="16" t="inlineStr">
        <is>
          <t>Ø 14 - Ø 28 mm nervürlü beton çelik çubuğu, çubukların kesilmesi, bükülmesi ve yerine konulması</t>
        </is>
      </c>
      <c r="E53" s="19" t="inlineStr">
        <is>
          <t>ton</t>
        </is>
      </c>
      <c r="F53" s="20" t="n">
        <v>7.288</v>
      </c>
      <c r="G53" s="5" t="n">
        <v>37532.19</v>
      </c>
      <c r="H53" s="5">
        <f>ROUND(F53*G53,2)</f>
        <v/>
      </c>
    </row>
    <row r="54" ht="14" customHeight="1">
      <c r="A54" s="16" t="inlineStr">
        <is>
          <t>Demir-inşaat işleri</t>
        </is>
      </c>
      <c r="B54" s="17" t="inlineStr">
        <is>
          <t>Kümes B Blok</t>
        </is>
      </c>
      <c r="C54" s="18" t="inlineStr">
        <is>
          <t>15.160.1002</t>
        </is>
      </c>
      <c r="D54" s="16" t="inlineStr">
        <is>
          <t>Nervürlü çelik hasırın yerine konulması</t>
        </is>
      </c>
      <c r="E54" s="19" t="inlineStr">
        <is>
          <t>ton</t>
        </is>
      </c>
      <c r="F54" s="20" t="n">
        <v>3.637</v>
      </c>
      <c r="G54" s="5" t="n">
        <v>36949.5</v>
      </c>
      <c r="H54" s="5">
        <f>ROUND(F54*G54,2)</f>
        <v/>
      </c>
    </row>
    <row r="55" ht="20" customHeight="1">
      <c r="A55" s="16" t="inlineStr">
        <is>
          <t>Çelik yapım-imalat işleri</t>
        </is>
      </c>
      <c r="B55" s="17" t="inlineStr">
        <is>
          <t>Kümes B Blok</t>
        </is>
      </c>
      <c r="C55" s="18" t="inlineStr">
        <is>
          <t>15.165.1003</t>
        </is>
      </c>
      <c r="D55" s="16" t="inlineStr">
        <is>
          <t>Her çeşit profil, çelik çubuk ve çelik saclarla karkas (çerçeve) inşaat yapılması, yerine tespiti (boya bedeli hariç)</t>
        </is>
      </c>
      <c r="E55" s="19" t="inlineStr">
        <is>
          <t>ton</t>
        </is>
      </c>
      <c r="F55" s="20" t="n">
        <v>44.048</v>
      </c>
      <c r="G55" s="5" t="n">
        <v>72192.55</v>
      </c>
      <c r="H55" s="5">
        <f>ROUND(F55*G55,2)</f>
        <v/>
      </c>
    </row>
    <row r="56" ht="20" customHeight="1">
      <c r="A56" s="16" t="inlineStr">
        <is>
          <t>Çelik yapım-imalat işleri</t>
        </is>
      </c>
      <c r="B56" s="17" t="inlineStr">
        <is>
          <t>Kümes B Blok</t>
        </is>
      </c>
      <c r="C56" s="18" t="inlineStr">
        <is>
          <t>15.550.1202</t>
        </is>
      </c>
      <c r="D56" s="16" t="inlineStr">
        <is>
          <t>Lama ve profil demirlerden çeşitli demir işleri yapılması ve yerine konulması</t>
        </is>
      </c>
      <c r="E56" s="19" t="inlineStr">
        <is>
          <t>kg</t>
        </is>
      </c>
      <c r="F56" s="20" t="n">
        <v>674</v>
      </c>
      <c r="G56" s="5" t="n">
        <v>147.67</v>
      </c>
      <c r="H56" s="5">
        <f>ROUND(F56*G56,2)</f>
        <v/>
      </c>
    </row>
    <row r="57" ht="20" customHeight="1">
      <c r="A57" s="16" t="inlineStr">
        <is>
          <t>Tuğla ve duvar işleri</t>
        </is>
      </c>
      <c r="B57" s="17" t="inlineStr">
        <is>
          <t>Kümes B Blok</t>
        </is>
      </c>
      <c r="C57" s="18" t="inlineStr">
        <is>
          <t>15.225.1010</t>
        </is>
      </c>
      <c r="D57" s="16" t="inlineStr">
        <is>
          <t>20 cm kalınlığındaki teçhizatsız gazbeton duvar blokları ile duvar yapılması (gazbeton tutkalı ile)</t>
        </is>
      </c>
      <c r="E57" s="19" t="inlineStr">
        <is>
          <t>m²</t>
        </is>
      </c>
      <c r="F57" s="20" t="n">
        <v>507.91</v>
      </c>
      <c r="G57" s="5" t="n">
        <v>929.28</v>
      </c>
      <c r="H57" s="5">
        <f>ROUND(F57*G57,2)</f>
        <v/>
      </c>
    </row>
    <row r="58" ht="20" customHeight="1">
      <c r="A58" s="16" t="inlineStr">
        <is>
          <t>Tuğla ve duvar işleri</t>
        </is>
      </c>
      <c r="B58" s="17" t="inlineStr">
        <is>
          <t>Kümes B Blok</t>
        </is>
      </c>
      <c r="C58" s="18" t="inlineStr">
        <is>
          <t>15.225.1410</t>
        </is>
      </c>
      <c r="D58" s="16" t="inlineStr">
        <is>
          <t>20 cm kalınlığındaki teçhizatlı gazbeton lento temini ve yerine konulması</t>
        </is>
      </c>
      <c r="E58" s="19" t="inlineStr">
        <is>
          <t>m²</t>
        </is>
      </c>
      <c r="F58" s="20" t="n">
        <v>49.85</v>
      </c>
      <c r="G58" s="5" t="n">
        <v>1777.52</v>
      </c>
      <c r="H58" s="5">
        <f>ROUND(F58*G58,2)</f>
        <v/>
      </c>
    </row>
    <row r="59" ht="20" customHeight="1">
      <c r="A59" s="16" t="inlineStr">
        <is>
          <t>Tuğla ve duvar işleri</t>
        </is>
      </c>
      <c r="B59" s="17" t="inlineStr">
        <is>
          <t>Kümes B Blok</t>
        </is>
      </c>
      <c r="C59" s="18" t="inlineStr">
        <is>
          <t>15.225.1004</t>
        </is>
      </c>
      <c r="D59" s="16" t="inlineStr">
        <is>
          <t>10 cm kalınlığındaki teçhizatsız gazbeton duvar blokları ile duvar yapılması (gazbeton tutkalı ile)</t>
        </is>
      </c>
      <c r="E59" s="19" t="inlineStr">
        <is>
          <t>m²</t>
        </is>
      </c>
      <c r="F59" s="20" t="n">
        <v>45</v>
      </c>
      <c r="G59" s="5" t="n">
        <v>607.9299999999999</v>
      </c>
      <c r="H59" s="5">
        <f>ROUND(F59*G59,2)</f>
        <v/>
      </c>
    </row>
    <row r="60" ht="14" customHeight="1">
      <c r="A60" s="16" t="inlineStr">
        <is>
          <t>Çatı ve sundurma işleri</t>
        </is>
      </c>
      <c r="B60" s="17" t="inlineStr">
        <is>
          <t>Kümes B Blok</t>
        </is>
      </c>
      <c r="C60" s="18" t="inlineStr">
        <is>
          <t>TKDK-0115</t>
        </is>
      </c>
      <c r="D60" s="16" t="inlineStr">
        <is>
          <t>Galvanizli düz sacdan yağmur oluğu veya iniş borusu yapılması</t>
        </is>
      </c>
      <c r="E60" s="19" t="inlineStr">
        <is>
          <t>kg</t>
        </is>
      </c>
      <c r="F60" s="20" t="n">
        <v>319.2</v>
      </c>
      <c r="G60" s="5" t="n">
        <v>227.85</v>
      </c>
      <c r="H60" s="5">
        <f>ROUND(F60*G60,2)</f>
        <v/>
      </c>
    </row>
    <row r="61" ht="20" customHeight="1">
      <c r="A61" s="16" t="inlineStr">
        <is>
          <t>Çatı ve sundurma işleri</t>
        </is>
      </c>
      <c r="B61" s="17" t="inlineStr">
        <is>
          <t>Kümes B Blok</t>
        </is>
      </c>
      <c r="C61" s="18" t="inlineStr">
        <is>
          <t>15.315.1001</t>
        </is>
      </c>
      <c r="D61" s="16" t="inlineStr">
        <is>
          <t>Ø 70 mm çapında bir ucu muflu sert PVC yağmur borusu temini ve yerine tesbiti</t>
        </is>
      </c>
      <c r="E61" s="19" t="inlineStr">
        <is>
          <t>m</t>
        </is>
      </c>
      <c r="F61" s="20" t="n">
        <v>51.2</v>
      </c>
      <c r="G61" s="5" t="n">
        <v>174.22</v>
      </c>
      <c r="H61" s="5">
        <f>ROUND(F61*G61,2)</f>
        <v/>
      </c>
    </row>
    <row r="62" ht="30" customHeight="1">
      <c r="A62" s="16" t="inlineStr">
        <is>
          <t>Doğramacılık işleri (Demir, Alüminyum, PVC, Kompozit)</t>
        </is>
      </c>
      <c r="B62" s="17" t="inlineStr">
        <is>
          <t>Kümes B Blok</t>
        </is>
      </c>
      <c r="C62" s="18" t="inlineStr">
        <is>
          <t>TKDK-0151</t>
        </is>
      </c>
      <c r="D62" s="16" t="inlineStr">
        <is>
          <t>5 cm poliüretan dolgulu (üst 0,50 mm düz, alt 0,40 mm düz) fabrikasyon rulo boyama sistemi ile boyanmış galvaniz levhalar ile ısı yalıtımlı kapı yapılması</t>
        </is>
      </c>
      <c r="E62" s="19" t="inlineStr">
        <is>
          <t>m²</t>
        </is>
      </c>
      <c r="F62" s="20" t="n">
        <v>13.4</v>
      </c>
      <c r="G62" s="5" t="n">
        <v>870.14</v>
      </c>
      <c r="H62" s="5">
        <f>ROUND(F62*G62,2)</f>
        <v/>
      </c>
    </row>
    <row r="63" ht="30" customHeight="1">
      <c r="A63" s="16" t="inlineStr">
        <is>
          <t>Doğramacılık işleri (Demir, Alüminyum, PVC, Kompozit)</t>
        </is>
      </c>
      <c r="B63" s="17" t="inlineStr">
        <is>
          <t>Kümes B Blok</t>
        </is>
      </c>
      <c r="C63" s="18" t="inlineStr">
        <is>
          <t>TKDK-0175</t>
        </is>
      </c>
      <c r="D63" s="16" t="inlineStr">
        <is>
          <t>PVC kaplamalı, iki yüzü odun lifinden yapılmış levhalarla (MDF) presli, kraft dolgulu iç kapı kanadı yapılması, yerinde takılması</t>
        </is>
      </c>
      <c r="E63" s="19" t="inlineStr">
        <is>
          <t>m²</t>
        </is>
      </c>
      <c r="F63" s="20" t="n">
        <v>5.67</v>
      </c>
      <c r="G63" s="5" t="n">
        <v>2687.73</v>
      </c>
      <c r="H63" s="5">
        <f>ROUND(F63*G63,2)</f>
        <v/>
      </c>
    </row>
    <row r="64" ht="20" customHeight="1">
      <c r="A64" s="16" t="inlineStr">
        <is>
          <t>Doğramacılık işleri (Demir, Alüminyum, PVC, Kompozit)</t>
        </is>
      </c>
      <c r="B64" s="17" t="inlineStr">
        <is>
          <t>Kümes B Blok</t>
        </is>
      </c>
      <c r="C64" s="18" t="inlineStr">
        <is>
          <t>15.550.1002</t>
        </is>
      </c>
      <c r="D64" s="16" t="inlineStr">
        <is>
          <t>1,50 mm kalınlığında sıcak haddelenmiş sacdan bükme kapı kasası yapılması ve yerine konulması</t>
        </is>
      </c>
      <c r="E64" s="19" t="inlineStr">
        <is>
          <t>kg</t>
        </is>
      </c>
      <c r="F64" s="20" t="n">
        <v>54.315</v>
      </c>
      <c r="G64" s="5" t="n">
        <v>183.57</v>
      </c>
      <c r="H64" s="5">
        <f>ROUND(F64*G64,2)</f>
        <v/>
      </c>
    </row>
    <row r="65" ht="14" customHeight="1">
      <c r="A65" s="16" t="inlineStr">
        <is>
          <t>Sıva, alçı, derz ve şap işleri</t>
        </is>
      </c>
      <c r="B65" s="17" t="inlineStr">
        <is>
          <t>Kümes B Blok</t>
        </is>
      </c>
      <c r="C65" s="18" t="inlineStr">
        <is>
          <t>15.275.1116</t>
        </is>
      </c>
      <c r="D65" s="16" t="inlineStr">
        <is>
          <t>250 kg çimento dozlu harç ile kaba sıva yapılması</t>
        </is>
      </c>
      <c r="E65" s="19" t="inlineStr">
        <is>
          <t>m²</t>
        </is>
      </c>
      <c r="F65" s="20" t="n">
        <v>557.76</v>
      </c>
      <c r="G65" s="5" t="n">
        <v>372.55</v>
      </c>
      <c r="H65" s="5">
        <f>ROUND(F65*G65,2)</f>
        <v/>
      </c>
    </row>
    <row r="66" ht="20" customHeight="1">
      <c r="A66" s="16" t="inlineStr">
        <is>
          <t>Sıva, alçı, derz ve şap işleri</t>
        </is>
      </c>
      <c r="B66" s="17" t="inlineStr">
        <is>
          <t>Kümes B Blok</t>
        </is>
      </c>
      <c r="C66" s="18" t="inlineStr">
        <is>
          <t>15.275.1117</t>
        </is>
      </c>
      <c r="D66" s="16" t="inlineStr">
        <is>
          <t>200 kg çimento ve kireç karışımı harç ile kaba sıva yapılması (iç cephe)</t>
        </is>
      </c>
      <c r="E66" s="19" t="inlineStr">
        <is>
          <t>m²</t>
        </is>
      </c>
      <c r="F66" s="20" t="n">
        <v>647.76</v>
      </c>
      <c r="G66" s="5" t="n">
        <v>381.49</v>
      </c>
      <c r="H66" s="5">
        <f>ROUND(F66*G66,2)</f>
        <v/>
      </c>
    </row>
    <row r="67" ht="20" customHeight="1">
      <c r="A67" s="16" t="inlineStr">
        <is>
          <t>Boya, badana ve cila işleri</t>
        </is>
      </c>
      <c r="B67" s="17" t="inlineStr">
        <is>
          <t>Kümes B Blok</t>
        </is>
      </c>
      <c r="C67" s="18" t="inlineStr">
        <is>
          <t>15.540.1606</t>
        </is>
      </c>
      <c r="D67" s="16" t="inlineStr">
        <is>
          <t>Brüt beton, sıvalı veya eski boyalı yüzeylere astar uygulanarak silikon esaslı su bazlı dış cephe boyası yapılması</t>
        </is>
      </c>
      <c r="E67" s="19" t="inlineStr">
        <is>
          <t>m²</t>
        </is>
      </c>
      <c r="F67" s="20" t="n">
        <v>557.76</v>
      </c>
      <c r="G67" s="5" t="n">
        <v>324.27</v>
      </c>
      <c r="H67" s="5">
        <f>ROUND(F67*G67,2)</f>
        <v/>
      </c>
    </row>
    <row r="68" ht="20" customHeight="1">
      <c r="A68" s="16" t="inlineStr">
        <is>
          <t>Boya, badana ve cila işleri</t>
        </is>
      </c>
      <c r="B68" s="17" t="inlineStr">
        <is>
          <t>Kümes B Blok</t>
        </is>
      </c>
      <c r="C68" s="18" t="inlineStr">
        <is>
          <t>15.540.1537</t>
        </is>
      </c>
      <c r="D68" s="16" t="inlineStr">
        <is>
          <t>Yeni sıva yüzeylere astar uygulanarak iki kat su bazlı plastik antibakteriyel iç cephe boyası yapılması</t>
        </is>
      </c>
      <c r="E68" s="19" t="inlineStr">
        <is>
          <t>m²</t>
        </is>
      </c>
      <c r="F68" s="20" t="n">
        <v>612.76</v>
      </c>
      <c r="G68" s="5" t="n">
        <v>248.75</v>
      </c>
      <c r="H68" s="5">
        <f>ROUND(F68*G68,2)</f>
        <v/>
      </c>
    </row>
    <row r="69" ht="40" customHeight="1">
      <c r="A69" s="16" t="inlineStr">
        <is>
          <t>İnce yapı ve tamamlayıcı imalatlar</t>
        </is>
      </c>
      <c r="B69" s="17" t="inlineStr">
        <is>
          <t>Kümes B Blok</t>
        </is>
      </c>
      <c r="C69" s="18" t="inlineStr">
        <is>
          <t>TKDK-0177</t>
        </is>
      </c>
      <c r="D69" s="16" t="inlineStr">
        <is>
          <t>(25x70 - 25x75 - 40x80 cm) anma ebatlarında, her türlü desen ve yüzey özelliğinde, renkli duvar karosu ile 3 mm derz aralıklı döşeme, duvar ve cephe kaplaması yapılması (karo yapıştırıcısı ile)</t>
        </is>
      </c>
      <c r="E69" s="19" t="inlineStr">
        <is>
          <t>m²</t>
        </is>
      </c>
      <c r="F69" s="20" t="n">
        <v>60</v>
      </c>
      <c r="G69" s="5" t="n">
        <v>701.48</v>
      </c>
      <c r="H69" s="5">
        <f>ROUND(F69*G69,2)</f>
        <v/>
      </c>
    </row>
    <row r="70" ht="20" customHeight="1">
      <c r="A70" s="16" t="inlineStr">
        <is>
          <t>Kanalizasyon işleri</t>
        </is>
      </c>
      <c r="B70" s="17" t="inlineStr">
        <is>
          <t>Kümes B Blok</t>
        </is>
      </c>
      <c r="C70" s="18" t="inlineStr">
        <is>
          <t>43.527.1001</t>
        </is>
      </c>
      <c r="D70" s="16" t="inlineStr">
        <is>
          <t>Çapı 150 mm HDPE koruge boru döşenmesi (SN 8, lastik conta ve boru bedeli dahil)</t>
        </is>
      </c>
      <c r="E70" s="19" t="inlineStr">
        <is>
          <t>m</t>
        </is>
      </c>
      <c r="F70" s="20" t="n">
        <v>25</v>
      </c>
      <c r="G70" s="5" t="n">
        <v>330.7</v>
      </c>
      <c r="H70" s="5">
        <f>ROUND(F70*G70,2)</f>
        <v/>
      </c>
    </row>
    <row r="71" ht="20" customHeight="1">
      <c r="A71" s="16" t="inlineStr">
        <is>
          <t>Elektrik tesisatı ve aydınlatma</t>
        </is>
      </c>
      <c r="B71" s="17" t="inlineStr">
        <is>
          <t>Kümes B Blok</t>
        </is>
      </c>
      <c r="C71" s="18" t="inlineStr">
        <is>
          <t>30.100.2105</t>
        </is>
      </c>
      <c r="D71" s="16" t="inlineStr">
        <is>
          <t>Kümes dağıtım panosu (sıva üstü galvanizli sac tablo, 0,40-0,50 m²) (%25 müteahhit kârı dahil)</t>
        </is>
      </c>
      <c r="E71" s="19" t="inlineStr">
        <is>
          <t>ad</t>
        </is>
      </c>
      <c r="F71" s="20" t="n">
        <v>1</v>
      </c>
      <c r="G71" s="5" t="n">
        <v>7084.16</v>
      </c>
      <c r="H71" s="5">
        <f>ROUND(F71*G71,2)</f>
        <v/>
      </c>
    </row>
    <row r="72" ht="20" customHeight="1">
      <c r="A72" s="16" t="inlineStr">
        <is>
          <t>Elektrik tesisatı ve aydınlatma</t>
        </is>
      </c>
      <c r="B72" s="17" t="inlineStr">
        <is>
          <t>Kümes B Blok</t>
        </is>
      </c>
      <c r="C72" s="18" t="inlineStr">
        <is>
          <t>30.110.1102</t>
        </is>
      </c>
      <c r="D72" s="16" t="inlineStr">
        <is>
          <t>Termik-manyetik kompakt şalter 3x100 A, Icu 35 kA — kümes besleme (%25 müteahhit kârı dahil)</t>
        </is>
      </c>
      <c r="E72" s="19" t="inlineStr">
        <is>
          <t>ad</t>
        </is>
      </c>
      <c r="F72" s="20" t="n">
        <v>1</v>
      </c>
      <c r="G72" s="5" t="n">
        <v>3528.05</v>
      </c>
      <c r="H72" s="5">
        <f>ROUND(F72*G72,2)</f>
        <v/>
      </c>
    </row>
    <row r="73" ht="20" customHeight="1">
      <c r="A73" s="16" t="inlineStr">
        <is>
          <t>Elektrik tesisatı ve aydınlatma</t>
        </is>
      </c>
      <c r="B73" s="17" t="inlineStr">
        <is>
          <t>Kümes B Blok</t>
        </is>
      </c>
      <c r="C73" s="18" t="inlineStr">
        <is>
          <t>30.115.1003</t>
        </is>
      </c>
      <c r="D73" s="16" t="inlineStr">
        <is>
          <t>Kaçak akım koruma şalteri 2x63 A, 30 mA (%25 müteahhit kârı dahil)</t>
        </is>
      </c>
      <c r="E73" s="19" t="inlineStr">
        <is>
          <t>ad</t>
        </is>
      </c>
      <c r="F73" s="20" t="n">
        <v>2</v>
      </c>
      <c r="G73" s="5" t="n">
        <v>1079.2</v>
      </c>
      <c r="H73" s="5">
        <f>ROUND(F73*G73,2)</f>
        <v/>
      </c>
    </row>
    <row r="74" ht="20" customHeight="1">
      <c r="A74" s="16" t="inlineStr">
        <is>
          <t>Elektrik tesisatı ve aydınlatma</t>
        </is>
      </c>
      <c r="B74" s="17" t="inlineStr">
        <is>
          <t>Kümes B Blok</t>
        </is>
      </c>
      <c r="C74" s="18" t="inlineStr">
        <is>
          <t>30.140.3104</t>
        </is>
      </c>
      <c r="D74" s="16" t="inlineStr">
        <is>
          <t>YVV (NYY) 1 kV yeraltı kablosu ile kolon hattı tesisi — 1x25 mm² (%25 müteahhit kârı dahil)</t>
        </is>
      </c>
      <c r="E74" s="19" t="inlineStr">
        <is>
          <t>m</t>
        </is>
      </c>
      <c r="F74" s="20" t="n">
        <v>300</v>
      </c>
      <c r="G74" s="5" t="n">
        <v>200</v>
      </c>
      <c r="H74" s="5">
        <f>ROUND(F74*G74,2)</f>
        <v/>
      </c>
    </row>
    <row r="75" ht="30" customHeight="1">
      <c r="A75" s="16" t="inlineStr">
        <is>
          <t>Elektrik tesisatı ve aydınlatma</t>
        </is>
      </c>
      <c r="B75" s="17" t="inlineStr">
        <is>
          <t>Kümes B Blok</t>
        </is>
      </c>
      <c r="C75" s="18" t="inlineStr">
        <is>
          <t>30.170.1602</t>
        </is>
      </c>
      <c r="D75" s="16" t="inlineStr">
        <is>
          <t>LED sıva üstü etanj armatür (polikarbon gövdeli), ışık akısı en az 2700 lm — kümes genel aydınlatması (%25 müteahhit kârı dahil)</t>
        </is>
      </c>
      <c r="E75" s="19" t="inlineStr">
        <is>
          <t>ad</t>
        </is>
      </c>
      <c r="F75" s="20" t="n">
        <v>30</v>
      </c>
      <c r="G75" s="5" t="n">
        <v>1996.08</v>
      </c>
      <c r="H75" s="5">
        <f>ROUND(F75*G75,2)</f>
        <v/>
      </c>
    </row>
    <row r="76" ht="20" customHeight="1">
      <c r="A76" s="16" t="inlineStr">
        <is>
          <t>Elektrik tesisatı ve aydınlatma</t>
        </is>
      </c>
      <c r="B76" s="17" t="inlineStr">
        <is>
          <t>Kümes B Blok</t>
        </is>
      </c>
      <c r="C76" s="18" t="inlineStr">
        <is>
          <t>30.170.1601</t>
        </is>
      </c>
      <c r="D76" s="16" t="inlineStr">
        <is>
          <t>LED sıva üstü etanj armatür (polikarbon gövdeli), ışık akısı en az 1800 lm — servis bölümü (%25 müteahhit kârı dahil)</t>
        </is>
      </c>
      <c r="E76" s="19" t="inlineStr">
        <is>
          <t>ad</t>
        </is>
      </c>
      <c r="F76" s="20" t="n">
        <v>2</v>
      </c>
      <c r="G76" s="5" t="n">
        <v>1370.96</v>
      </c>
      <c r="H76" s="5">
        <f>ROUND(F76*G76,2)</f>
        <v/>
      </c>
    </row>
    <row r="77" ht="20" customHeight="1">
      <c r="A77" s="16" t="inlineStr">
        <is>
          <t>Elektrik tesisatı ve aydınlatma</t>
        </is>
      </c>
      <c r="B77" s="17" t="inlineStr">
        <is>
          <t>Kümes B Blok</t>
        </is>
      </c>
      <c r="C77" s="18" t="inlineStr">
        <is>
          <t>30.160.6102</t>
        </is>
      </c>
      <c r="D77" s="16" t="inlineStr">
        <is>
          <t>Boş boru döşemesi — 25-32 mm PVC boru (%25 müteahhit kârı dahil)</t>
        </is>
      </c>
      <c r="E77" s="19" t="inlineStr">
        <is>
          <t>m</t>
        </is>
      </c>
      <c r="F77" s="20" t="n">
        <v>500</v>
      </c>
      <c r="G77" s="5" t="n">
        <v>29.06</v>
      </c>
      <c r="H77" s="5">
        <f>ROUND(F77*G77,2)</f>
        <v/>
      </c>
    </row>
    <row r="78" ht="20" customHeight="1">
      <c r="A78" s="16" t="inlineStr">
        <is>
          <t>Elektrik tesisatı ve aydınlatma</t>
        </is>
      </c>
      <c r="B78" s="17" t="inlineStr">
        <is>
          <t>Kümes B Blok</t>
        </is>
      </c>
      <c r="C78" s="18" t="inlineStr">
        <is>
          <t>30.150.1402</t>
        </is>
      </c>
      <c r="D78" s="16" t="inlineStr">
        <is>
          <t>Halojensiz H07Z tipi iletken 1x2,5 mm² ile tesisat (%25 müteahhit kârı dahil)</t>
        </is>
      </c>
      <c r="E78" s="19" t="inlineStr">
        <is>
          <t>m</t>
        </is>
      </c>
      <c r="F78" s="20" t="n">
        <v>2000</v>
      </c>
      <c r="G78" s="5" t="n">
        <v>19.5</v>
      </c>
      <c r="H78" s="5">
        <f>ROUND(F78*G78,2)</f>
        <v/>
      </c>
    </row>
    <row r="79" ht="20" customHeight="1">
      <c r="A79" s="16" t="inlineStr">
        <is>
          <t>Elektrik tesisatı ve aydınlatma</t>
        </is>
      </c>
      <c r="B79" s="17" t="inlineStr">
        <is>
          <t>Kümes B Blok</t>
        </is>
      </c>
      <c r="C79" s="18" t="inlineStr">
        <is>
          <t>30.150.1401</t>
        </is>
      </c>
      <c r="D79" s="16" t="inlineStr">
        <is>
          <t>Halojensiz H07Z tipi iletken 1x1,5 mm² ile kumanda tesisatı (%25 müteahhit kârı dahil)</t>
        </is>
      </c>
      <c r="E79" s="19" t="inlineStr">
        <is>
          <t>m</t>
        </is>
      </c>
      <c r="F79" s="20" t="n">
        <v>600</v>
      </c>
      <c r="G79" s="5" t="n">
        <v>12.22</v>
      </c>
      <c r="H79" s="5">
        <f>ROUND(F79*G79,2)</f>
        <v/>
      </c>
    </row>
    <row r="80" ht="20" customHeight="1">
      <c r="A80" s="16" t="inlineStr">
        <is>
          <t>Elektrik tesisatı ve aydınlatma</t>
        </is>
      </c>
      <c r="B80" s="17" t="inlineStr">
        <is>
          <t>Kümes B Blok</t>
        </is>
      </c>
      <c r="C80" s="18" t="inlineStr">
        <is>
          <t>30.140.1105</t>
        </is>
      </c>
      <c r="D80" s="16" t="inlineStr">
        <is>
          <t>Çıplak bakır tel 25 mm² — eşpotansiyel bara ve topraklama iletkeni (%25 müteahhit kârı dahil)</t>
        </is>
      </c>
      <c r="E80" s="19" t="inlineStr">
        <is>
          <t>m</t>
        </is>
      </c>
      <c r="F80" s="20" t="n">
        <v>100</v>
      </c>
      <c r="G80" s="5" t="n">
        <v>157.05</v>
      </c>
      <c r="H80" s="5">
        <f>ROUND(F80*G80,2)</f>
        <v/>
      </c>
    </row>
    <row r="81" ht="20" customHeight="1">
      <c r="A81" s="16" t="inlineStr">
        <is>
          <t>Elektrik tesisatı ve aydınlatma</t>
        </is>
      </c>
      <c r="B81" s="17" t="inlineStr">
        <is>
          <t>Kümes B Blok</t>
        </is>
      </c>
      <c r="C81" s="18" t="inlineStr">
        <is>
          <t>30.750.3002</t>
        </is>
      </c>
      <c r="D81" s="16" t="inlineStr">
        <is>
          <t>Bina ihata iletkeni tesisatı — 30x3,5 mm galvanizli çelik lama (temel topraklaması) (%25 müteahhit kârı dahil)</t>
        </is>
      </c>
      <c r="E81" s="19" t="inlineStr">
        <is>
          <t>m</t>
        </is>
      </c>
      <c r="F81" s="20" t="n">
        <v>186</v>
      </c>
      <c r="G81" s="5" t="n">
        <v>115.96</v>
      </c>
      <c r="H81" s="5">
        <f>ROUND(F81*G81,2)</f>
        <v/>
      </c>
    </row>
    <row r="82" ht="20" customHeight="1">
      <c r="A82" s="16" t="inlineStr">
        <is>
          <t>Elektrik tesisatı ve aydınlatma</t>
        </is>
      </c>
      <c r="B82" s="17" t="inlineStr">
        <is>
          <t>Kümes B Blok</t>
        </is>
      </c>
      <c r="C82" s="18" t="inlineStr">
        <is>
          <t>30.750.1502</t>
        </is>
      </c>
      <c r="D82" s="16" t="inlineStr">
        <is>
          <t>Aktif yakalama ucu, ortalama uyarım yolu DL = 30-40 m (%25 müteahhit kârı dahil)</t>
        </is>
      </c>
      <c r="E82" s="19" t="inlineStr">
        <is>
          <t>ad</t>
        </is>
      </c>
      <c r="F82" s="20" t="n">
        <v>1</v>
      </c>
      <c r="G82" s="5" t="n">
        <v>15595.61</v>
      </c>
      <c r="H82" s="5">
        <f>ROUND(F82*G82,2)</f>
        <v/>
      </c>
    </row>
    <row r="83" ht="20" customHeight="1">
      <c r="A83" s="16" t="inlineStr">
        <is>
          <t>Elektrik tesisatı ve aydınlatma</t>
        </is>
      </c>
      <c r="B83" s="17" t="inlineStr">
        <is>
          <t>Kümes B Blok</t>
        </is>
      </c>
      <c r="C83" s="18" t="inlineStr">
        <is>
          <t>30.750.2001</t>
        </is>
      </c>
      <c r="D83" s="16" t="inlineStr">
        <is>
          <t>Çatı ihata ve indirme iletkeni tesisatı — 50 mm² elektrolitik bakır tel (%25 müteahhit kârı dahil)</t>
        </is>
      </c>
      <c r="E83" s="19" t="inlineStr">
        <is>
          <t>m</t>
        </is>
      </c>
      <c r="F83" s="20" t="n">
        <v>16</v>
      </c>
      <c r="G83" s="5" t="n">
        <v>426.72</v>
      </c>
      <c r="H83" s="5">
        <f>ROUND(F83*G83,2)</f>
        <v/>
      </c>
    </row>
    <row r="84" ht="30" customHeight="1">
      <c r="A84" s="16" t="inlineStr">
        <is>
          <t>Elektrik tesisatı ve aydınlatma</t>
        </is>
      </c>
      <c r="B84" s="17" t="inlineStr">
        <is>
          <t>Kümes B Blok</t>
        </is>
      </c>
      <c r="C84" s="18" t="inlineStr">
        <is>
          <t>30.740.1106</t>
        </is>
      </c>
      <c r="D84" s="16" t="inlineStr">
        <is>
          <t>Dizel elektrojen grubu (jeneratör) 63 kVA / 50 kW — dizel motoru su veya hava ile soğuyan cinsten, 1500 d/dak (%25 müteahhit kârı dahil)</t>
        </is>
      </c>
      <c r="E84" s="19" t="inlineStr">
        <is>
          <t>ad</t>
        </is>
      </c>
      <c r="F84" s="20" t="n">
        <v>1</v>
      </c>
      <c r="G84" s="5" t="n">
        <v>467349.29</v>
      </c>
      <c r="H84" s="5">
        <f>ROUND(F84*G84,2)</f>
        <v/>
      </c>
    </row>
    <row r="85" ht="20" customHeight="1">
      <c r="A85" s="16" t="inlineStr">
        <is>
          <t>Elektrik tesisatı ve aydınlatma</t>
        </is>
      </c>
      <c r="B85" s="17" t="inlineStr">
        <is>
          <t>Kümes B Blok</t>
        </is>
      </c>
      <c r="C85" s="18" t="inlineStr">
        <is>
          <t>30.740.5406</t>
        </is>
      </c>
      <c r="D85" s="16" t="inlineStr">
        <is>
          <t>Jeneratör ses izolasyon kabini — 63 kVA (%25 müteahhit kârı dahil)</t>
        </is>
      </c>
      <c r="E85" s="19" t="inlineStr">
        <is>
          <t>ad</t>
        </is>
      </c>
      <c r="F85" s="20" t="n">
        <v>1</v>
      </c>
      <c r="G85" s="5" t="n">
        <v>79653.55</v>
      </c>
      <c r="H85" s="5">
        <f>ROUND(F85*G85,2)</f>
        <v/>
      </c>
    </row>
    <row r="86" ht="20" customHeight="1">
      <c r="A86" s="16" t="inlineStr">
        <is>
          <t>Elektrik tesisatı ve aydınlatma</t>
        </is>
      </c>
      <c r="B86" s="17" t="inlineStr">
        <is>
          <t>Kümes B Blok</t>
        </is>
      </c>
      <c r="C86" s="18" t="inlineStr">
        <is>
          <t>35.190.1100</t>
        </is>
      </c>
      <c r="D86" s="16" t="inlineStr">
        <is>
          <t>Kablo tava sistemleri — 200x60x1,0 mm sıcak daldırma galvanizli perfore kablo tavası (malzeme) (%25 müteahhit kârı dahil)</t>
        </is>
      </c>
      <c r="E86" s="19" t="inlineStr">
        <is>
          <t>kg</t>
        </is>
      </c>
      <c r="F86" s="20" t="n">
        <v>502</v>
      </c>
      <c r="G86" s="5" t="n">
        <v>199.42</v>
      </c>
      <c r="H86" s="5">
        <f>ROUND(F86*G86,2)</f>
        <v/>
      </c>
    </row>
    <row r="87" ht="30" customHeight="1">
      <c r="A87" s="16" t="inlineStr">
        <is>
          <t>Elektrik tesisatı ve aydınlatma</t>
        </is>
      </c>
      <c r="B87" s="17" t="inlineStr">
        <is>
          <t>Kümes B Blok</t>
        </is>
      </c>
      <c r="C87" s="19" t="inlineStr">
        <is>
          <t>35.190.1100 (montaj)</t>
        </is>
      </c>
      <c r="D87" s="16" t="inlineStr">
        <is>
          <t>Kablo tava sistemlerinin montajı — askı ve konsollarla tavana veya duvara tespiti; ek parça, konsol, askı tiji, vida ve somun bedelleri dâhildir, ayrıca ödenmez</t>
        </is>
      </c>
      <c r="E87" s="19" t="inlineStr">
        <is>
          <t>kg</t>
        </is>
      </c>
      <c r="F87" s="20" t="n">
        <v>502</v>
      </c>
      <c r="G87" s="5" t="n">
        <v>38.72</v>
      </c>
      <c r="H87" s="5">
        <f>ROUND(F87*G87,2)</f>
        <v/>
      </c>
    </row>
    <row r="88" ht="30" customHeight="1">
      <c r="A88" s="16" t="inlineStr">
        <is>
          <t>Elektrik tesisatı ve aydınlatma</t>
        </is>
      </c>
      <c r="B88" s="17" t="inlineStr">
        <is>
          <t>Kümes B Blok</t>
        </is>
      </c>
      <c r="C88" s="18" t="inlineStr">
        <is>
          <t>35.190.1101</t>
        </is>
      </c>
      <c r="D88" s="16" t="inlineStr">
        <is>
          <t>Kablo tava sistemleri kapak sacı — 35.190.1100 pozuna uygun özellikte, 1,0 mm sıcak daldırma galvanizli (malzeme) (%25 müteahhit kârı dahil)</t>
        </is>
      </c>
      <c r="E88" s="19" t="inlineStr">
        <is>
          <t>kg</t>
        </is>
      </c>
      <c r="F88" s="20" t="n">
        <v>361.2</v>
      </c>
      <c r="G88" s="5" t="n">
        <v>162.37</v>
      </c>
      <c r="H88" s="5">
        <f>ROUND(F88*G88,2)</f>
        <v/>
      </c>
    </row>
    <row r="89" ht="30" customHeight="1">
      <c r="A89" s="16" t="inlineStr">
        <is>
          <t>Elektrik tesisatı ve aydınlatma</t>
        </is>
      </c>
      <c r="B89" s="17" t="inlineStr">
        <is>
          <t>Kümes B Blok</t>
        </is>
      </c>
      <c r="C89" s="19" t="inlineStr">
        <is>
          <t>35.190.1101 (montaj)</t>
        </is>
      </c>
      <c r="D89" s="16" t="inlineStr">
        <is>
          <t>Kablo tava sistemleri kapak sacının montajı — onaylı projesinde belirtilen kanalların kapatılması; her türlü işçilik ve malzeme dâhil, işler hâlde teslim</t>
        </is>
      </c>
      <c r="E89" s="19" t="inlineStr">
        <is>
          <t>kg</t>
        </is>
      </c>
      <c r="F89" s="20" t="n">
        <v>361.2</v>
      </c>
      <c r="G89" s="5" t="n">
        <v>21.3</v>
      </c>
      <c r="H89" s="5">
        <f>ROUND(F89*G89,2)</f>
        <v/>
      </c>
    </row>
    <row r="90" ht="20" customHeight="1">
      <c r="A90" s="16" t="inlineStr">
        <is>
          <t>Elektrik tesisatı ve aydınlatma</t>
        </is>
      </c>
      <c r="B90" s="17" t="inlineStr">
        <is>
          <t>Kümes B Blok</t>
        </is>
      </c>
      <c r="C90" s="18" t="inlineStr">
        <is>
          <t>30.190.1304</t>
        </is>
      </c>
      <c r="D90" s="16" t="inlineStr">
        <is>
          <t>Sıva üstü PVC kablo kanalı — en az 100 x 35 mm, üç bölmeli (%25 müteahhit kârı dahil)</t>
        </is>
      </c>
      <c r="E90" s="19" t="inlineStr">
        <is>
          <t>m</t>
        </is>
      </c>
      <c r="F90" s="20" t="n">
        <v>123</v>
      </c>
      <c r="G90" s="5" t="n">
        <v>233.28</v>
      </c>
      <c r="H90" s="5">
        <f>ROUND(F90*G90,2)</f>
        <v/>
      </c>
    </row>
    <row r="91">
      <c r="A91" s="21" t="n"/>
      <c r="B91" s="21" t="n"/>
      <c r="C91" s="21" t="n"/>
      <c r="D91" s="22" t="inlineStr">
        <is>
          <t>A3.1.1 YAPIM İŞLERİ TOPLAMI (KDV hariç)</t>
        </is>
      </c>
      <c r="E91" s="21" t="n"/>
      <c r="F91" s="21" t="n"/>
      <c r="G91" s="21" t="n"/>
      <c r="H91" s="9">
        <f>SUM(H5:H90)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0" customWidth="1" min="3" max="3"/>
    <col width="8" customWidth="1" min="4" max="4"/>
    <col width="12" customWidth="1" min="5" max="5"/>
    <col width="16" customWidth="1" min="6" max="6"/>
    <col width="18" customWidth="1" min="7" max="7"/>
  </cols>
  <sheetData>
    <row r="1" ht="18" customHeight="1">
      <c r="A1" s="1" t="inlineStr">
        <is>
          <t>A3.1.2 — MAKİNE VE EKİPMAN UYGUN HARCAMALARI</t>
        </is>
      </c>
    </row>
    <row r="2">
      <c r="A2" s="2" t="inlineStr">
        <is>
          <t>Bu yatırımda makine-ekipman alımı hibe kapsamı dışında tutulmuştur; kalemler A3.4-EK sayfasında proforma esaslı beyan edilir. Bu tablo boş sunulur.</t>
        </is>
      </c>
    </row>
    <row r="3"/>
    <row r="4" ht="30" customHeight="1">
      <c r="A4" s="3" t="inlineStr">
        <is>
          <t>EK-1 uygun harcama kalemi</t>
        </is>
      </c>
      <c r="B4" s="3" t="inlineStr">
        <is>
          <t>No</t>
        </is>
      </c>
      <c r="C4" s="3" t="inlineStr">
        <is>
          <t>Ürün adı</t>
        </is>
      </c>
      <c r="D4" s="3" t="inlineStr">
        <is>
          <t>Birim</t>
        </is>
      </c>
      <c r="E4" s="3" t="inlineStr">
        <is>
          <t>Miktar</t>
        </is>
      </c>
      <c r="F4" s="3" t="inlineStr">
        <is>
          <t>Birim fiyat (TL)</t>
        </is>
      </c>
      <c r="G4" s="3" t="inlineStr">
        <is>
          <t>Tutar (TL)</t>
        </is>
      </c>
    </row>
    <row r="5">
      <c r="A5" s="4" t="n"/>
      <c r="B5" s="4" t="n"/>
      <c r="C5" s="4" t="n"/>
      <c r="D5" s="4" t="n"/>
      <c r="E5" s="4" t="n"/>
      <c r="F5" s="4" t="n"/>
      <c r="G5" s="5" t="n"/>
    </row>
    <row r="6">
      <c r="A6" s="4" t="n"/>
      <c r="B6" s="4" t="n"/>
      <c r="C6" s="4" t="n"/>
      <c r="D6" s="4" t="n"/>
      <c r="E6" s="4" t="n"/>
      <c r="F6" s="4" t="n"/>
      <c r="G6" s="5" t="n"/>
    </row>
    <row r="7">
      <c r="A7" s="4" t="n"/>
      <c r="B7" s="4" t="n"/>
      <c r="C7" s="4" t="n"/>
      <c r="D7" s="4" t="n"/>
      <c r="E7" s="4" t="n"/>
      <c r="F7" s="4" t="n"/>
      <c r="G7" s="5" t="n"/>
    </row>
    <row r="8">
      <c r="A8" s="4" t="n"/>
      <c r="B8" s="4" t="n"/>
      <c r="C8" s="4" t="n"/>
      <c r="D8" s="4" t="n"/>
      <c r="E8" s="4" t="n"/>
      <c r="F8" s="4" t="n"/>
      <c r="G8" s="5" t="n"/>
    </row>
    <row r="9">
      <c r="A9" s="4" t="n"/>
      <c r="B9" s="4" t="n"/>
      <c r="C9" s="4" t="n"/>
      <c r="D9" s="4" t="n"/>
      <c r="E9" s="4" t="n"/>
      <c r="F9" s="4" t="n"/>
      <c r="G9" s="5" t="n"/>
    </row>
    <row r="10">
      <c r="A10" s="4" t="n"/>
      <c r="B10" s="4" t="n"/>
      <c r="C10" s="4" t="n"/>
      <c r="D10" s="4" t="n"/>
      <c r="E10" s="4" t="n"/>
      <c r="F10" s="4" t="n"/>
      <c r="G10" s="5" t="n"/>
    </row>
    <row r="11">
      <c r="A11" s="4" t="n"/>
      <c r="B11" s="4" t="n"/>
      <c r="C11" s="4" t="n"/>
      <c r="D11" s="4" t="n"/>
      <c r="E11" s="4" t="n"/>
      <c r="F11" s="4" t="n"/>
      <c r="G11" s="5" t="n"/>
    </row>
    <row r="12">
      <c r="A12" s="4" t="n"/>
      <c r="B12" s="4" t="n"/>
      <c r="C12" s="4" t="n"/>
      <c r="D12" s="4" t="n"/>
      <c r="E12" s="4" t="n"/>
      <c r="F12" s="4" t="n"/>
      <c r="G12" s="5" t="n"/>
    </row>
    <row r="13">
      <c r="A13" s="21" t="n"/>
      <c r="B13" s="21" t="n"/>
      <c r="C13" s="22" t="inlineStr">
        <is>
          <t>A3.1.2 MAKİNE-EKİPMAN TOPLAMI (KDV hariç)</t>
        </is>
      </c>
      <c r="D13" s="21" t="n"/>
      <c r="E13" s="21" t="n"/>
      <c r="F13" s="21" t="n"/>
      <c r="G13" s="9">
        <f>SUM(G5:G12)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8" customWidth="1" min="3" max="3"/>
    <col width="62" customWidth="1" min="4" max="4"/>
    <col width="8" customWidth="1" min="5" max="5"/>
    <col width="18" customWidth="1" min="6" max="6"/>
    <col width="18" customWidth="1" min="7" max="7"/>
  </cols>
  <sheetData>
    <row r="1" ht="18" customHeight="1">
      <c r="A1" s="23" t="inlineStr">
        <is>
          <t>A3.4-EK — MAKİNE VE EKİPMAN (UYGUN OLMAYAN HARCAMA)</t>
        </is>
      </c>
    </row>
    <row r="2">
      <c r="A2" s="2" t="inlineStr">
        <is>
          <t>Miktarlar kümes mekanik projesinden; birim fiyatlar piyasa araştırmasına dayanan tahmindir — proforma 37 numaralı istek listesiyle alındığında yerine yazılır. Hibe kapsamı dışında olduğundan teklif alma usulüne tabi değildir, proforma fatura ile beyan edilir; iki kümes bloğu için.</t>
        </is>
      </c>
    </row>
    <row r="3"/>
    <row r="4" ht="30" customHeight="1">
      <c r="A4" s="3" t="inlineStr">
        <is>
          <t>EK-1 uygun harcama kalemi</t>
        </is>
      </c>
      <c r="B4" s="3" t="inlineStr">
        <is>
          <t>No</t>
        </is>
      </c>
      <c r="C4" s="3" t="inlineStr">
        <is>
          <t>Ürün kodu</t>
        </is>
      </c>
      <c r="D4" s="3" t="inlineStr">
        <is>
          <t>Makine-ekipmanın adı ve teknik özeti</t>
        </is>
      </c>
      <c r="E4" s="3" t="inlineStr">
        <is>
          <t>Set</t>
        </is>
      </c>
      <c r="F4" s="3" t="inlineStr">
        <is>
          <t>Bina başına (TL)</t>
        </is>
      </c>
      <c r="G4" s="3" t="inlineStr">
        <is>
          <t>Tutar (TL)</t>
        </is>
      </c>
    </row>
    <row r="5" ht="30" customHeight="1">
      <c r="A5" s="17" t="inlineStr">
        <is>
          <t>Makine ve ekipman alımı</t>
        </is>
      </c>
      <c r="B5" s="19" t="n">
        <v>1</v>
      </c>
      <c r="C5" s="19" t="inlineStr">
        <is>
          <t>HZC-FD-01</t>
        </is>
      </c>
      <c r="D5" s="16" t="inlineStr">
        <is>
          <t>Yemleme sistemi — 3 hat, 243 m hat uzunluğu, 150 kg galvanizli yem deposu x 3, 0,55 kW yemlik motoru x 3, 35 cm çapında 324 plastik yemlik, 1,1 kW çift redüktörlü frenli otomatik kaldırma</t>
        </is>
      </c>
      <c r="E5" s="19" t="n">
        <v>2</v>
      </c>
      <c r="F5" s="5" t="n">
        <v>250062.04</v>
      </c>
      <c r="G5" s="5">
        <f>ROUND(E5*F5,2)</f>
        <v/>
      </c>
    </row>
    <row r="6" ht="30" customHeight="1">
      <c r="A6" s="17" t="inlineStr">
        <is>
          <t>Makine ve ekipman alımı</t>
        </is>
      </c>
      <c r="B6" s="19" t="n">
        <v>2</v>
      </c>
      <c r="C6" s="19" t="inlineStr">
        <is>
          <t>HZC-COM-004</t>
        </is>
      </c>
      <c r="D6" s="16" t="inlineStr">
        <is>
          <t>Kümes kontrol panosu — HZC-70 işlemcili; 5 sıcaklık, 1 nem, 1 basınç ve 1 CO2 sensörü, alarm sistemi, uzaktan erişim, PLC kontrol, raporlama ve analiz</t>
        </is>
      </c>
      <c r="E6" s="19" t="n">
        <v>2</v>
      </c>
      <c r="F6" s="5" t="n">
        <v>262674.92</v>
      </c>
      <c r="G6" s="5">
        <f>ROUND(E6*F6,2)</f>
        <v/>
      </c>
    </row>
    <row r="7" ht="20" customHeight="1">
      <c r="A7" s="17" t="inlineStr">
        <is>
          <t>Makine ve ekipman alımı</t>
        </is>
      </c>
      <c r="B7" s="19" t="n">
        <v>3</v>
      </c>
      <c r="C7" s="19" t="inlineStr">
        <is>
          <t>HZC-WNT-012</t>
        </is>
      </c>
      <c r="D7" s="16" t="inlineStr">
        <is>
          <t>Tünel havalandırma fanı — 4 adet, 138 x 138 x 42 cm, 40.000 m³/h, 1,5 kW, galvanizli çelik kanat, ahtapot sistemli otomatik panjur</t>
        </is>
      </c>
      <c r="E7" s="19" t="n">
        <v>2</v>
      </c>
      <c r="F7" s="5" t="n">
        <v>76982.48</v>
      </c>
      <c r="G7" s="5">
        <f>ROUND(E7*F7,2)</f>
        <v/>
      </c>
    </row>
    <row r="8" ht="30" customHeight="1">
      <c r="A8" s="17" t="inlineStr">
        <is>
          <t>Makine ve ekipman alımı</t>
        </is>
      </c>
      <c r="B8" s="19" t="n">
        <v>4</v>
      </c>
      <c r="C8" s="19" t="inlineStr">
        <is>
          <t>HZC-WTR-005</t>
        </is>
      </c>
      <c r="D8" s="16" t="inlineStr">
        <is>
          <t>Sulama sistemi — 4 hat, hat başına 312 m, 22 x 22 mm hat çapı, 1.560 metal 360° nipel suluk, 4 regülatör, 0,75 kW çift redüktörlü frenli otomatik kaldırma</t>
        </is>
      </c>
      <c r="E8" s="19" t="n">
        <v>2</v>
      </c>
      <c r="F8" s="5" t="n">
        <v>145353.3</v>
      </c>
      <c r="G8" s="5">
        <f>ROUND(E8*F8,2)</f>
        <v/>
      </c>
    </row>
    <row r="9" ht="30" customHeight="1">
      <c r="A9" s="17" t="inlineStr">
        <is>
          <t>Makine ve ekipman alımı</t>
        </is>
      </c>
      <c r="B9" s="19" t="n">
        <v>5</v>
      </c>
      <c r="C9" s="19" t="inlineStr">
        <is>
          <t>HZC-WNT-024</t>
        </is>
      </c>
      <c r="D9" s="16" t="inlineStr">
        <is>
          <t>Soğutma pedi sistemi — Tüplü, dahili devridaimli; 15 cm kalınlık, 150 cm yükseklik, 2 x 15 m uzunluk (45 m² ped alanı), PVC çerçeve, XPS petek kapakları, 2 aktüatör, 2 adet 0,50 kW su pompası</t>
        </is>
      </c>
      <c r="E9" s="19" t="n">
        <v>2</v>
      </c>
      <c r="F9" s="5" t="n">
        <v>269272.63</v>
      </c>
      <c r="G9" s="5">
        <f>ROUND(E9*F9,2)</f>
        <v/>
      </c>
    </row>
    <row r="10" ht="30" customHeight="1">
      <c r="A10" s="17" t="inlineStr">
        <is>
          <t>Makine ve ekipman alımı</t>
        </is>
      </c>
      <c r="B10" s="19" t="n">
        <v>6</v>
      </c>
      <c r="C10" s="19" t="inlineStr">
        <is>
          <t>HZC-WNT-001</t>
        </is>
      </c>
      <c r="D10" s="16" t="inlineStr">
        <is>
          <t>Klape sistemi — 30 adet 26 x 56 cm izolasyonlu plastik klape, klape başına 1.750 m³/h (30 x 1.750 = 52.500 m³/h, mekanik projedeki 46.717 m³/h ihtiyacının üzerinde), 2 aktüatörlü açma-kapama, 161 m hat</t>
        </is>
      </c>
      <c r="E10" s="19" t="n">
        <v>2</v>
      </c>
      <c r="F10" s="5" t="n">
        <v>40581.31</v>
      </c>
      <c r="G10" s="5">
        <f>ROUND(E10*F10,2)</f>
        <v/>
      </c>
    </row>
    <row r="11" ht="20" customHeight="1">
      <c r="A11" s="17" t="inlineStr">
        <is>
          <t>Makine ve ekipman alımı</t>
        </is>
      </c>
      <c r="B11" s="19" t="n">
        <v>7</v>
      </c>
      <c r="C11" s="19" t="inlineStr">
        <is>
          <t>HZC-SLO-004</t>
        </is>
      </c>
      <c r="D11" s="16" t="inlineStr">
        <is>
          <t>Yem silosu ve nakil sistemi — En az 17,77 ton galvaniz kaplama sac silo, helezonlu merdiven, 0,75 kW yem nakil motoru, 22 m PVC nakil hattı</t>
        </is>
      </c>
      <c r="E11" s="19" t="n">
        <v>2</v>
      </c>
      <c r="F11" s="5" t="n">
        <v>172996.93</v>
      </c>
      <c r="G11" s="5">
        <f>ROUND(E11*F11,2)</f>
        <v/>
      </c>
    </row>
    <row r="12" ht="14" customHeight="1">
      <c r="A12" s="17" t="inlineStr">
        <is>
          <t>Makine ve ekipman alımı</t>
        </is>
      </c>
      <c r="B12" s="19" t="n">
        <v>9</v>
      </c>
      <c r="C12" s="19" t="inlineStr">
        <is>
          <t>—</t>
        </is>
      </c>
      <c r="D12" s="16" t="inlineStr">
        <is>
          <t>Montaj ve nakliye — Kümes montajı ve nakliye bedelleri</t>
        </is>
      </c>
      <c r="E12" s="19" t="n">
        <v>2</v>
      </c>
      <c r="F12" s="5" t="n">
        <v>225000</v>
      </c>
      <c r="G12" s="5">
        <f>ROUND(E12*F12,2)</f>
        <v/>
      </c>
    </row>
    <row r="13">
      <c r="A13" s="21" t="n"/>
      <c r="B13" s="21" t="n"/>
      <c r="C13" s="22" t="inlineStr">
        <is>
          <t>MAKİNE-EKİPMAN TOPLAMI (KDV hariç)</t>
        </is>
      </c>
      <c r="D13" s="21" t="n"/>
      <c r="E13" s="21" t="n"/>
      <c r="F13" s="21" t="n"/>
      <c r="G13" s="9">
        <f>SUM(G5:G12)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5" customWidth="1" min="3" max="3"/>
    <col width="56" customWidth="1" min="4" max="4"/>
    <col width="8" customWidth="1" min="5" max="5"/>
    <col width="13" customWidth="1" min="6" max="6"/>
    <col width="15" customWidth="1" min="7" max="7"/>
    <col width="17" customWidth="1" min="8" max="8"/>
  </cols>
  <sheetData>
    <row r="1" ht="18" customHeight="1">
      <c r="A1" s="23" t="inlineStr">
        <is>
          <t>A3.4-EK — HİBE DIŞI YAPIM İŞLERİ (UYGUN OLMAYAN HARCAMA)</t>
        </is>
      </c>
    </row>
    <row r="2">
      <c r="A2" s="2" t="inlineStr">
        <is>
          <t>Kümes A ve B blokları dışındaki yapılar ile bu iki bloktan hibe kapsamı dışına çıkarılan pozlar. Bu imalatlar yapılmaya devam eder; teklif alma usulüne tabi değildir, proforma fatura ile beyan edilir ve tamamı öz kaynaktan karşılanır. Birim fiyatlar, hibe kapsamındaki işlerle aynı esasa göre kurulmuştur: ÇŞB 2026 ve TKDK 17.02.2026 kitap fiyatlarına %16 tenzilat uygulanmıştır.</t>
        </is>
      </c>
    </row>
    <row r="3"/>
    <row r="4" ht="30" customHeight="1">
      <c r="A4" s="3" t="inlineStr">
        <is>
          <t>EK-1 kalemi</t>
        </is>
      </c>
      <c r="B4" s="3" t="inlineStr">
        <is>
          <t>Yapı</t>
        </is>
      </c>
      <c r="C4" s="3" t="inlineStr">
        <is>
          <t>Poz No</t>
        </is>
      </c>
      <c r="D4" s="3" t="inlineStr">
        <is>
          <t>İşin adı</t>
        </is>
      </c>
      <c r="E4" s="3" t="inlineStr">
        <is>
          <t>Birim</t>
        </is>
      </c>
      <c r="F4" s="3" t="inlineStr">
        <is>
          <t>Miktar</t>
        </is>
      </c>
      <c r="G4" s="3" t="inlineStr">
        <is>
          <t>Birim fiyat (TL)</t>
        </is>
      </c>
      <c r="H4" s="3" t="inlineStr">
        <is>
          <t>Tutar (TL)</t>
        </is>
      </c>
    </row>
    <row r="5" ht="14" customHeight="1">
      <c r="A5" s="16" t="inlineStr">
        <is>
          <t>Kazı, dolgu ve reglaj işleri</t>
        </is>
      </c>
      <c r="B5" s="17" t="inlineStr">
        <is>
          <t>Çevre Düzenlemesi ve Saha Altyapısı</t>
        </is>
      </c>
      <c r="C5" s="18" t="inlineStr">
        <is>
          <t>15.120.1001</t>
        </is>
      </c>
      <c r="D5" s="16" t="inlineStr">
        <is>
          <t>Makine ile yumuşak ve sert toprak kazılması</t>
        </is>
      </c>
      <c r="E5" s="19" t="inlineStr">
        <is>
          <t>m³</t>
        </is>
      </c>
      <c r="F5" s="20" t="n">
        <v>260.943</v>
      </c>
      <c r="G5" s="5" t="n">
        <v>52.37</v>
      </c>
      <c r="H5" s="5">
        <f>ROUND(F5*G5,2)</f>
        <v/>
      </c>
    </row>
    <row r="6" ht="20" customHeight="1">
      <c r="A6" s="16" t="inlineStr">
        <is>
          <t>Kazı, dolgu ve reglaj işleri</t>
        </is>
      </c>
      <c r="B6" s="17" t="inlineStr">
        <is>
          <t>Gübre Çukuru</t>
        </is>
      </c>
      <c r="C6" s="18" t="inlineStr">
        <is>
          <t>15.120.1101</t>
        </is>
      </c>
      <c r="D6" s="16" t="inlineStr">
        <is>
          <t>Makine ile her derinlik ve her genişlikte yumuşak ve sert toprak kazılması</t>
        </is>
      </c>
      <c r="E6" s="19" t="inlineStr">
        <is>
          <t>m³</t>
        </is>
      </c>
      <c r="F6" s="20" t="n">
        <v>542.7</v>
      </c>
      <c r="G6" s="5" t="n">
        <v>60.35</v>
      </c>
      <c r="H6" s="5">
        <f>ROUND(F6*G6,2)</f>
        <v/>
      </c>
    </row>
    <row r="7" ht="20" customHeight="1">
      <c r="A7" s="16" t="inlineStr">
        <is>
          <t>Kazı, dolgu ve reglaj işleri</t>
        </is>
      </c>
      <c r="B7" s="17" t="inlineStr">
        <is>
          <t>Ölü Atma Çukuru</t>
        </is>
      </c>
      <c r="C7" s="18" t="inlineStr">
        <is>
          <t>15.120.1101</t>
        </is>
      </c>
      <c r="D7" s="16" t="inlineStr">
        <is>
          <t>Makine ile her derinlik ve her genişlikte yumuşak ve sert toprak kazılması</t>
        </is>
      </c>
      <c r="E7" s="19" t="inlineStr">
        <is>
          <t>m³</t>
        </is>
      </c>
      <c r="F7" s="20" t="n">
        <v>142</v>
      </c>
      <c r="G7" s="5" t="n">
        <v>60.35</v>
      </c>
      <c r="H7" s="5">
        <f>ROUND(F7*G7,2)</f>
        <v/>
      </c>
    </row>
    <row r="8" ht="20" customHeight="1">
      <c r="A8" s="16" t="inlineStr">
        <is>
          <t>Kazı, dolgu ve reglaj işleri</t>
        </is>
      </c>
      <c r="B8" s="17" t="inlineStr">
        <is>
          <t>Foseptik</t>
        </is>
      </c>
      <c r="C8" s="18" t="inlineStr">
        <is>
          <t>15.120.1101</t>
        </is>
      </c>
      <c r="D8" s="16" t="inlineStr">
        <is>
          <t>Makine ile her derinlik ve her genişlikte yumuşak ve sert toprak kazılması</t>
        </is>
      </c>
      <c r="E8" s="19" t="inlineStr">
        <is>
          <t>m³</t>
        </is>
      </c>
      <c r="F8" s="20" t="n">
        <v>48.8</v>
      </c>
      <c r="G8" s="5" t="n">
        <v>60.35</v>
      </c>
      <c r="H8" s="5">
        <f>ROUND(F8*G8,2)</f>
        <v/>
      </c>
    </row>
    <row r="9" ht="20" customHeight="1">
      <c r="A9" s="16" t="inlineStr">
        <is>
          <t>Kazı, dolgu ve reglaj işleri</t>
        </is>
      </c>
      <c r="B9" s="17" t="inlineStr">
        <is>
          <t>Yem Silosu Betonarme Kaideleri</t>
        </is>
      </c>
      <c r="C9" s="18" t="inlineStr">
        <is>
          <t>15.120.1101</t>
        </is>
      </c>
      <c r="D9" s="16" t="inlineStr">
        <is>
          <t>Makine ile her derinlik ve her genişlikte yumuşak ve sert toprak kazılması</t>
        </is>
      </c>
      <c r="E9" s="19" t="inlineStr">
        <is>
          <t>m³</t>
        </is>
      </c>
      <c r="F9" s="20" t="n">
        <v>48.02</v>
      </c>
      <c r="G9" s="5" t="n">
        <v>60.35</v>
      </c>
      <c r="H9" s="5">
        <f>ROUND(F9*G9,2)</f>
        <v/>
      </c>
    </row>
    <row r="10" ht="20" customHeight="1">
      <c r="A10" s="16" t="inlineStr">
        <is>
          <t>Kazı, dolgu ve reglaj işleri</t>
        </is>
      </c>
      <c r="B10" s="17" t="inlineStr">
        <is>
          <t>Su Deposu</t>
        </is>
      </c>
      <c r="C10" s="18" t="inlineStr">
        <is>
          <t>15.120.1101</t>
        </is>
      </c>
      <c r="D10" s="16" t="inlineStr">
        <is>
          <t>Makine ile her derinlik ve her genişlikte yumuşak ve sert toprak kazılması</t>
        </is>
      </c>
      <c r="E10" s="19" t="inlineStr">
        <is>
          <t>m³</t>
        </is>
      </c>
      <c r="F10" s="20" t="n">
        <v>106.5</v>
      </c>
      <c r="G10" s="5" t="n">
        <v>60.35</v>
      </c>
      <c r="H10" s="5">
        <f>ROUND(F10*G10,2)</f>
        <v/>
      </c>
    </row>
    <row r="11" ht="20" customHeight="1">
      <c r="A11" s="16" t="inlineStr">
        <is>
          <t>Kazı, dolgu ve reglaj işleri</t>
        </is>
      </c>
      <c r="B11" s="17" t="inlineStr">
        <is>
          <t>Yağmur Suyu Deposu</t>
        </is>
      </c>
      <c r="C11" s="18" t="inlineStr">
        <is>
          <t>15.120.1101</t>
        </is>
      </c>
      <c r="D11" s="16" t="inlineStr">
        <is>
          <t>Makine ile her derinlik ve her genişlikte yumuşak ve sert toprak kazılması</t>
        </is>
      </c>
      <c r="E11" s="19" t="inlineStr">
        <is>
          <t>m³</t>
        </is>
      </c>
      <c r="F11" s="20" t="n">
        <v>88.75</v>
      </c>
      <c r="G11" s="5" t="n">
        <v>60.35</v>
      </c>
      <c r="H11" s="5">
        <f>ROUND(F11*G11,2)</f>
        <v/>
      </c>
    </row>
    <row r="12" ht="30" customHeight="1">
      <c r="A12" s="16" t="inlineStr">
        <is>
          <t>Beton işleri</t>
        </is>
      </c>
      <c r="B12" s="17" t="inlineStr">
        <is>
          <t>Gübre Çukuru</t>
        </is>
      </c>
      <c r="C12" s="18" t="inlineStr">
        <is>
          <t>15.150.1003</t>
        </is>
      </c>
      <c r="D12" s="16" t="inlineStr">
        <is>
          <t>Beton santralinde üretilen veya satın alınan ve beton pompasıyla basılan, C 16/20 basınç dayanım sınıfında, gri renkte, normal hazır beton dökülmesi (beton nakli dahil)</t>
        </is>
      </c>
      <c r="E12" s="19" t="inlineStr">
        <is>
          <t>m³</t>
        </is>
      </c>
      <c r="F12" s="20" t="n">
        <v>11.934</v>
      </c>
      <c r="G12" s="5" t="n">
        <v>2750.45</v>
      </c>
      <c r="H12" s="5">
        <f>ROUND(F12*G12,2)</f>
        <v/>
      </c>
    </row>
    <row r="13" ht="30" customHeight="1">
      <c r="A13" s="16" t="inlineStr">
        <is>
          <t>Beton işleri</t>
        </is>
      </c>
      <c r="B13" s="17" t="inlineStr">
        <is>
          <t>Ölü Atma Çukuru</t>
        </is>
      </c>
      <c r="C13" s="18" t="inlineStr">
        <is>
          <t>15.150.1003</t>
        </is>
      </c>
      <c r="D13" s="16" t="inlineStr">
        <is>
          <t>Beton santralinde üretilen veya satın alınan ve beton pompasıyla basılan, C 16/20 basınç dayanım sınıfında, gri renkte, normal hazır beton dökülmesi (beton nakli dahil)</t>
        </is>
      </c>
      <c r="E13" s="19" t="inlineStr">
        <is>
          <t>m³</t>
        </is>
      </c>
      <c r="F13" s="20" t="n">
        <v>1.984</v>
      </c>
      <c r="G13" s="5" t="n">
        <v>2750.45</v>
      </c>
      <c r="H13" s="5">
        <f>ROUND(F13*G13,2)</f>
        <v/>
      </c>
    </row>
    <row r="14" ht="30" customHeight="1">
      <c r="A14" s="16" t="inlineStr">
        <is>
          <t>Beton işleri</t>
        </is>
      </c>
      <c r="B14" s="17" t="inlineStr">
        <is>
          <t>Foseptik</t>
        </is>
      </c>
      <c r="C14" s="18" t="inlineStr">
        <is>
          <t>15.150.1003</t>
        </is>
      </c>
      <c r="D14" s="16" t="inlineStr">
        <is>
          <t>Beton santralinde üretilen veya satın alınan ve beton pompasıyla basılan, C 16/20 basınç dayanım sınıfında, gri renkte, normal hazır beton dökülmesi (beton nakli dahil)</t>
        </is>
      </c>
      <c r="E14" s="19" t="inlineStr">
        <is>
          <t>m³</t>
        </is>
      </c>
      <c r="F14" s="20" t="n">
        <v>0.484</v>
      </c>
      <c r="G14" s="5" t="n">
        <v>2750.45</v>
      </c>
      <c r="H14" s="5">
        <f>ROUND(F14*G14,2)</f>
        <v/>
      </c>
    </row>
    <row r="15" ht="30" customHeight="1">
      <c r="A15" s="16" t="inlineStr">
        <is>
          <t>Beton işleri</t>
        </is>
      </c>
      <c r="B15" s="17" t="inlineStr">
        <is>
          <t>Yem Silosu Betonarme Kaideleri</t>
        </is>
      </c>
      <c r="C15" s="18" t="inlineStr">
        <is>
          <t>15.150.1003</t>
        </is>
      </c>
      <c r="D15" s="16" t="inlineStr">
        <is>
          <t>Beton santralinde üretilen veya satın alınan ve beton pompasıyla basılan, C 16/20 basınç dayanım sınıfında, gri renkte, normal hazır beton dökülmesi (beton nakli dahil)</t>
        </is>
      </c>
      <c r="E15" s="19" t="inlineStr">
        <is>
          <t>m³</t>
        </is>
      </c>
      <c r="F15" s="20" t="n">
        <v>1.922</v>
      </c>
      <c r="G15" s="5" t="n">
        <v>2750.45</v>
      </c>
      <c r="H15" s="5">
        <f>ROUND(F15*G15,2)</f>
        <v/>
      </c>
    </row>
    <row r="16" ht="30" customHeight="1">
      <c r="A16" s="16" t="inlineStr">
        <is>
          <t>Beton işleri</t>
        </is>
      </c>
      <c r="B16" s="17" t="inlineStr">
        <is>
          <t>Su Deposu</t>
        </is>
      </c>
      <c r="C16" s="18" t="inlineStr">
        <is>
          <t>15.150.1003</t>
        </is>
      </c>
      <c r="D16" s="16" t="inlineStr">
        <is>
          <t>Beton santralinde üretilen veya satın alınan ve beton pompasıyla basılan, C 16/20 basınç dayanım sınıfında, gri renkte, normal hazır beton dökülmesi (beton nakli dahil)</t>
        </is>
      </c>
      <c r="E16" s="19" t="inlineStr">
        <is>
          <t>m³</t>
        </is>
      </c>
      <c r="F16" s="20" t="n">
        <v>1.344</v>
      </c>
      <c r="G16" s="5" t="n">
        <v>2750.45</v>
      </c>
      <c r="H16" s="5">
        <f>ROUND(F16*G16,2)</f>
        <v/>
      </c>
    </row>
    <row r="17" ht="30" customHeight="1">
      <c r="A17" s="16" t="inlineStr">
        <is>
          <t>Beton işleri</t>
        </is>
      </c>
      <c r="B17" s="17" t="inlineStr">
        <is>
          <t>Yağmur Suyu Deposu</t>
        </is>
      </c>
      <c r="C17" s="18" t="inlineStr">
        <is>
          <t>15.150.1003</t>
        </is>
      </c>
      <c r="D17" s="16" t="inlineStr">
        <is>
          <t>Beton santralinde üretilen veya satın alınan ve beton pompasıyla basılan, C 16/20 basınç dayanım sınıfında, gri renkte, normal hazır beton dökülmesi (beton nakli dahil)</t>
        </is>
      </c>
      <c r="E17" s="19" t="inlineStr">
        <is>
          <t>m³</t>
        </is>
      </c>
      <c r="F17" s="20" t="n">
        <v>1.024</v>
      </c>
      <c r="G17" s="5" t="n">
        <v>2750.45</v>
      </c>
      <c r="H17" s="5">
        <f>ROUND(F17*G17,2)</f>
        <v/>
      </c>
    </row>
    <row r="18" ht="30" customHeight="1">
      <c r="A18" s="16" t="inlineStr">
        <is>
          <t>Betonarme işleri</t>
        </is>
      </c>
      <c r="B18" s="17" t="inlineStr">
        <is>
          <t>Gübre Çukuru</t>
        </is>
      </c>
      <c r="C18" s="18" t="inlineStr">
        <is>
          <t>15.150.1005</t>
        </is>
      </c>
      <c r="D18" s="16" t="inlineStr">
        <is>
          <t>Beton santralinde üretilen veya satın alınan ve beton pompasıyla basılan, C 25/30 basınç dayanım sınıfında, gri renkte, normal hazır beton dökülmesi (beton nakli dahil)</t>
        </is>
      </c>
      <c r="E18" s="19" t="inlineStr">
        <is>
          <t>m³</t>
        </is>
      </c>
      <c r="F18" s="20" t="n">
        <v>93.19</v>
      </c>
      <c r="G18" s="5" t="n">
        <v>2960.45</v>
      </c>
      <c r="H18" s="5">
        <f>ROUND(F18*G18,2)</f>
        <v/>
      </c>
    </row>
    <row r="19" ht="30" customHeight="1">
      <c r="A19" s="16" t="inlineStr">
        <is>
          <t>Betonarme işleri</t>
        </is>
      </c>
      <c r="B19" s="17" t="inlineStr">
        <is>
          <t>Ölü Atma Çukuru</t>
        </is>
      </c>
      <c r="C19" s="18" t="inlineStr">
        <is>
          <t>15.150.1005</t>
        </is>
      </c>
      <c r="D19" s="16" t="inlineStr">
        <is>
          <t>Beton santralinde üretilen veya satın alınan ve beton pompasıyla basılan, C 25/30 basınç dayanım sınıfında, gri renkte, normal hazır beton dökülmesi (beton nakli dahil)</t>
        </is>
      </c>
      <c r="E19" s="19" t="inlineStr">
        <is>
          <t>m³</t>
        </is>
      </c>
      <c r="F19" s="20" t="n">
        <v>20.85</v>
      </c>
      <c r="G19" s="5" t="n">
        <v>2960.45</v>
      </c>
      <c r="H19" s="5">
        <f>ROUND(F19*G19,2)</f>
        <v/>
      </c>
    </row>
    <row r="20" ht="30" customHeight="1">
      <c r="A20" s="16" t="inlineStr">
        <is>
          <t>Betonarme işleri</t>
        </is>
      </c>
      <c r="B20" s="17" t="inlineStr">
        <is>
          <t>Su Deposu</t>
        </is>
      </c>
      <c r="C20" s="18" t="inlineStr">
        <is>
          <t>15.150.1005</t>
        </is>
      </c>
      <c r="D20" s="16" t="inlineStr">
        <is>
          <t>Beton santralinde üretilen veya satın alınan ve beton pompasıyla basılan, C 25/30 basınç dayanım sınıfında, gri renkte, normal hazır beton dökülmesi (beton nakli dahil)</t>
        </is>
      </c>
      <c r="E20" s="19" t="inlineStr">
        <is>
          <t>m³</t>
        </is>
      </c>
      <c r="F20" s="20" t="n">
        <v>15.15</v>
      </c>
      <c r="G20" s="5" t="n">
        <v>2960.45</v>
      </c>
      <c r="H20" s="5">
        <f>ROUND(F20*G20,2)</f>
        <v/>
      </c>
    </row>
    <row r="21" ht="30" customHeight="1">
      <c r="A21" s="16" t="inlineStr">
        <is>
          <t>Betonarme işleri</t>
        </is>
      </c>
      <c r="B21" s="17" t="inlineStr">
        <is>
          <t>Yağmur Suyu Deposu</t>
        </is>
      </c>
      <c r="C21" s="18" t="inlineStr">
        <is>
          <t>15.150.1005</t>
        </is>
      </c>
      <c r="D21" s="16" t="inlineStr">
        <is>
          <t>Beton santralinde üretilen veya satın alınan ve beton pompasıyla basılan, C 25/30 basınç dayanım sınıfında, gri renkte, normal hazır beton dökülmesi (beton nakli dahil)</t>
        </is>
      </c>
      <c r="E21" s="19" t="inlineStr">
        <is>
          <t>m³</t>
        </is>
      </c>
      <c r="F21" s="20" t="n">
        <v>12.3</v>
      </c>
      <c r="G21" s="5" t="n">
        <v>2960.45</v>
      </c>
      <c r="H21" s="5">
        <f>ROUND(F21*G21,2)</f>
        <v/>
      </c>
    </row>
    <row r="22" ht="30" customHeight="1">
      <c r="A22" s="16" t="inlineStr">
        <is>
          <t>Betonarme işleri</t>
        </is>
      </c>
      <c r="B22" s="17" t="inlineStr">
        <is>
          <t>Foseptik</t>
        </is>
      </c>
      <c r="C22" s="18" t="inlineStr">
        <is>
          <t>15.150.1005</t>
        </is>
      </c>
      <c r="D22" s="16" t="inlineStr">
        <is>
          <t>Beton santralinde üretilen veya satın alınan ve beton pompasıyla basılan, C 25/30 basınç dayanım sınıfında, gri renkte, normal hazır beton dökülmesi (beton nakli dahil)</t>
        </is>
      </c>
      <c r="E22" s="19" t="inlineStr">
        <is>
          <t>m³</t>
        </is>
      </c>
      <c r="F22" s="20" t="n">
        <v>6.175</v>
      </c>
      <c r="G22" s="5" t="n">
        <v>2960.45</v>
      </c>
      <c r="H22" s="5">
        <f>ROUND(F22*G22,2)</f>
        <v/>
      </c>
    </row>
    <row r="23" ht="30" customHeight="1">
      <c r="A23" s="16" t="inlineStr">
        <is>
          <t>Betonarme işleri</t>
        </is>
      </c>
      <c r="B23" s="17" t="inlineStr">
        <is>
          <t>Yem Silosu Betonarme Kaideleri</t>
        </is>
      </c>
      <c r="C23" s="18" t="inlineStr">
        <is>
          <t>15.150.1005</t>
        </is>
      </c>
      <c r="D23" s="16" t="inlineStr">
        <is>
          <t>Beton santralinde üretilen veya satın alınan ve beton pompasıyla basılan, C 25/30 basınç dayanım sınıfında, gri renkte, normal hazır beton dökülmesi (beton nakli dahil)</t>
        </is>
      </c>
      <c r="E23" s="19" t="inlineStr">
        <is>
          <t>m³</t>
        </is>
      </c>
      <c r="F23" s="20" t="n">
        <v>8.41</v>
      </c>
      <c r="G23" s="5" t="n">
        <v>2960.45</v>
      </c>
      <c r="H23" s="5">
        <f>ROUND(F23*G23,2)</f>
        <v/>
      </c>
    </row>
    <row r="24" ht="14" customHeight="1">
      <c r="A24" s="16" t="inlineStr">
        <is>
          <t>Kalıp, yapı iskelesi işleri</t>
        </is>
      </c>
      <c r="B24" s="17" t="inlineStr">
        <is>
          <t>Gübre Çukuru</t>
        </is>
      </c>
      <c r="C24" s="18" t="inlineStr">
        <is>
          <t>15.180.1003</t>
        </is>
      </c>
      <c r="D24" s="16" t="inlineStr">
        <is>
          <t>Plywood ile düz yüzeyli betonarme kalıbı yapılması</t>
        </is>
      </c>
      <c r="E24" s="19" t="inlineStr">
        <is>
          <t>m²</t>
        </is>
      </c>
      <c r="F24" s="20" t="n">
        <v>363.26</v>
      </c>
      <c r="G24" s="5" t="n">
        <v>863.8</v>
      </c>
      <c r="H24" s="5">
        <f>ROUND(F24*G24,2)</f>
        <v/>
      </c>
    </row>
    <row r="25" ht="14" customHeight="1">
      <c r="A25" s="16" t="inlineStr">
        <is>
          <t>Kalıp, yapı iskelesi işleri</t>
        </is>
      </c>
      <c r="B25" s="17" t="inlineStr">
        <is>
          <t>Ölü Atma Çukuru</t>
        </is>
      </c>
      <c r="C25" s="18" t="inlineStr">
        <is>
          <t>15.180.1003</t>
        </is>
      </c>
      <c r="D25" s="16" t="inlineStr">
        <is>
          <t>Plywood ile düz yüzeyli betonarme kalıbı yapılması</t>
        </is>
      </c>
      <c r="E25" s="19" t="inlineStr">
        <is>
          <t>m²</t>
        </is>
      </c>
      <c r="F25" s="20" t="n">
        <v>127.2</v>
      </c>
      <c r="G25" s="5" t="n">
        <v>863.8</v>
      </c>
      <c r="H25" s="5">
        <f>ROUND(F25*G25,2)</f>
        <v/>
      </c>
    </row>
    <row r="26" ht="14" customHeight="1">
      <c r="A26" s="16" t="inlineStr">
        <is>
          <t>Kalıp, yapı iskelesi işleri</t>
        </is>
      </c>
      <c r="B26" s="17" t="inlineStr">
        <is>
          <t>Su Deposu</t>
        </is>
      </c>
      <c r="C26" s="18" t="inlineStr">
        <is>
          <t>15.180.1003</t>
        </is>
      </c>
      <c r="D26" s="16" t="inlineStr">
        <is>
          <t>Plywood ile düz yüzeyli betonarme kalıbı yapılması</t>
        </is>
      </c>
      <c r="E26" s="19" t="inlineStr">
        <is>
          <t>m²</t>
        </is>
      </c>
      <c r="F26" s="20" t="n">
        <v>95.59999999999999</v>
      </c>
      <c r="G26" s="5" t="n">
        <v>863.8</v>
      </c>
      <c r="H26" s="5">
        <f>ROUND(F26*G26,2)</f>
        <v/>
      </c>
    </row>
    <row r="27" ht="14" customHeight="1">
      <c r="A27" s="16" t="inlineStr">
        <is>
          <t>Kalıp, yapı iskelesi işleri</t>
        </is>
      </c>
      <c r="B27" s="17" t="inlineStr">
        <is>
          <t>Yağmur Suyu Deposu</t>
        </is>
      </c>
      <c r="C27" s="18" t="inlineStr">
        <is>
          <t>15.180.1003</t>
        </is>
      </c>
      <c r="D27" s="16" t="inlineStr">
        <is>
          <t>Plywood ile düz yüzeyli betonarme kalıbı yapılması</t>
        </is>
      </c>
      <c r="E27" s="19" t="inlineStr">
        <is>
          <t>m²</t>
        </is>
      </c>
      <c r="F27" s="20" t="n">
        <v>79.8</v>
      </c>
      <c r="G27" s="5" t="n">
        <v>863.8</v>
      </c>
      <c r="H27" s="5">
        <f>ROUND(F27*G27,2)</f>
        <v/>
      </c>
    </row>
    <row r="28" ht="14" customHeight="1">
      <c r="A28" s="16" t="inlineStr">
        <is>
          <t>Kalıp, yapı iskelesi işleri</t>
        </is>
      </c>
      <c r="B28" s="17" t="inlineStr">
        <is>
          <t>Foseptik</t>
        </is>
      </c>
      <c r="C28" s="18" t="inlineStr">
        <is>
          <t>15.180.1003</t>
        </is>
      </c>
      <c r="D28" s="16" t="inlineStr">
        <is>
          <t>Plywood ile düz yüzeyli betonarme kalıbı yapılması</t>
        </is>
      </c>
      <c r="E28" s="19" t="inlineStr">
        <is>
          <t>m²</t>
        </is>
      </c>
      <c r="F28" s="20" t="n">
        <v>41.4</v>
      </c>
      <c r="G28" s="5" t="n">
        <v>863.8</v>
      </c>
      <c r="H28" s="5">
        <f>ROUND(F28*G28,2)</f>
        <v/>
      </c>
    </row>
    <row r="29" ht="14" customHeight="1">
      <c r="A29" s="16" t="inlineStr">
        <is>
          <t>Kalıp, yapı iskelesi işleri</t>
        </is>
      </c>
      <c r="B29" s="17" t="inlineStr">
        <is>
          <t>Yem Silosu Betonarme Kaideleri</t>
        </is>
      </c>
      <c r="C29" s="18" t="inlineStr">
        <is>
          <t>15.180.1003</t>
        </is>
      </c>
      <c r="D29" s="16" t="inlineStr">
        <is>
          <t>Plywood ile düz yüzeyli betonarme kalıbı yapılması</t>
        </is>
      </c>
      <c r="E29" s="19" t="inlineStr">
        <is>
          <t>m²</t>
        </is>
      </c>
      <c r="F29" s="20" t="n">
        <v>11.6</v>
      </c>
      <c r="G29" s="5" t="n">
        <v>863.8</v>
      </c>
      <c r="H29" s="5">
        <f>ROUND(F29*G29,2)</f>
        <v/>
      </c>
    </row>
    <row r="30" ht="20" customHeight="1">
      <c r="A30" s="16" t="inlineStr">
        <is>
          <t>Demir-inşaat işleri</t>
        </is>
      </c>
      <c r="B30" s="17" t="inlineStr">
        <is>
          <t>Gübre Çukuru</t>
        </is>
      </c>
      <c r="C30" s="18" t="inlineStr">
        <is>
          <t>15.160.1003</t>
        </is>
      </c>
      <c r="D30" s="16" t="inlineStr">
        <is>
          <t>Ø 8 - Ø 12 mm nervürlü beton çelik çubuğu, çubukların kesilmesi, bükülmesi ve yerine konulması</t>
        </is>
      </c>
      <c r="E30" s="19" t="inlineStr">
        <is>
          <t>ton</t>
        </is>
      </c>
      <c r="F30" s="20" t="n">
        <v>7.599</v>
      </c>
      <c r="G30" s="5" t="n">
        <v>39045.24</v>
      </c>
      <c r="H30" s="5">
        <f>ROUND(F30*G30,2)</f>
        <v/>
      </c>
    </row>
    <row r="31" ht="20" customHeight="1">
      <c r="A31" s="16" t="inlineStr">
        <is>
          <t>Demir-inşaat işleri</t>
        </is>
      </c>
      <c r="B31" s="17" t="inlineStr">
        <is>
          <t>Gübre Çukuru</t>
        </is>
      </c>
      <c r="C31" s="18" t="inlineStr">
        <is>
          <t>15.160.1004</t>
        </is>
      </c>
      <c r="D31" s="16" t="inlineStr">
        <is>
          <t>Ø 14 - Ø 28 mm nervürlü beton çelik çubuğu, çubukların kesilmesi, bükülmesi ve yerine konulması</t>
        </is>
      </c>
      <c r="E31" s="19" t="inlineStr">
        <is>
          <t>ton</t>
        </is>
      </c>
      <c r="F31" s="20" t="n">
        <v>0.5639999999999999</v>
      </c>
      <c r="G31" s="5" t="n">
        <v>37532.19</v>
      </c>
      <c r="H31" s="5">
        <f>ROUND(F31*G31,2)</f>
        <v/>
      </c>
    </row>
    <row r="32" ht="20" customHeight="1">
      <c r="A32" s="16" t="inlineStr">
        <is>
          <t>Demir-inşaat işleri</t>
        </is>
      </c>
      <c r="B32" s="17" t="inlineStr">
        <is>
          <t>Ölü Atma Çukuru</t>
        </is>
      </c>
      <c r="C32" s="18" t="inlineStr">
        <is>
          <t>15.160.1003</t>
        </is>
      </c>
      <c r="D32" s="16" t="inlineStr">
        <is>
          <t>Ø 8 - Ø 12 mm nervürlü beton çelik çubuğu, çubukların kesilmesi, bükülmesi ve yerine konulması</t>
        </is>
      </c>
      <c r="E32" s="19" t="inlineStr">
        <is>
          <t>ton</t>
        </is>
      </c>
      <c r="F32" s="20" t="n">
        <v>1.657</v>
      </c>
      <c r="G32" s="5" t="n">
        <v>39045.24</v>
      </c>
      <c r="H32" s="5">
        <f>ROUND(F32*G32,2)</f>
        <v/>
      </c>
    </row>
    <row r="33" ht="20" customHeight="1">
      <c r="A33" s="16" t="inlineStr">
        <is>
          <t>Demir-inşaat işleri</t>
        </is>
      </c>
      <c r="B33" s="17" t="inlineStr">
        <is>
          <t>Foseptik</t>
        </is>
      </c>
      <c r="C33" s="18" t="inlineStr">
        <is>
          <t>15.160.1003</t>
        </is>
      </c>
      <c r="D33" s="16" t="inlineStr">
        <is>
          <t>Ø 8 - Ø 12 mm nervürlü beton çelik çubuğu, çubukların kesilmesi, bükülmesi ve yerine konulması</t>
        </is>
      </c>
      <c r="E33" s="19" t="inlineStr">
        <is>
          <t>ton</t>
        </is>
      </c>
      <c r="F33" s="20" t="n">
        <v>0.587</v>
      </c>
      <c r="G33" s="5" t="n">
        <v>39045.24</v>
      </c>
      <c r="H33" s="5">
        <f>ROUND(F33*G33,2)</f>
        <v/>
      </c>
    </row>
    <row r="34" ht="20" customHeight="1">
      <c r="A34" s="16" t="inlineStr">
        <is>
          <t>Demir-inşaat işleri</t>
        </is>
      </c>
      <c r="B34" s="17" t="inlineStr">
        <is>
          <t>Yem Silosu Betonarme Kaideleri</t>
        </is>
      </c>
      <c r="C34" s="18" t="inlineStr">
        <is>
          <t>15.160.1003</t>
        </is>
      </c>
      <c r="D34" s="16" t="inlineStr">
        <is>
          <t>Ø 8 - Ø 12 mm nervürlü beton çelik çubuğu, çubukların kesilmesi, bükülmesi ve yerine konulması</t>
        </is>
      </c>
      <c r="E34" s="19" t="inlineStr">
        <is>
          <t>ton</t>
        </is>
      </c>
      <c r="F34" s="20" t="n">
        <v>0.757</v>
      </c>
      <c r="G34" s="5" t="n">
        <v>39045.24</v>
      </c>
      <c r="H34" s="5">
        <f>ROUND(F34*G34,2)</f>
        <v/>
      </c>
    </row>
    <row r="35" ht="20" customHeight="1">
      <c r="A35" s="16" t="inlineStr">
        <is>
          <t>Demir-inşaat işleri</t>
        </is>
      </c>
      <c r="B35" s="17" t="inlineStr">
        <is>
          <t>Su Deposu</t>
        </is>
      </c>
      <c r="C35" s="18" t="inlineStr">
        <is>
          <t>15.160.1003</t>
        </is>
      </c>
      <c r="D35" s="16" t="inlineStr">
        <is>
          <t>Ø 8 - Ø 12 mm nervürlü beton çelik çubuğu, çubukların kesilmesi, bükülmesi ve yerine konulması</t>
        </is>
      </c>
      <c r="E35" s="19" t="inlineStr">
        <is>
          <t>ton</t>
        </is>
      </c>
      <c r="F35" s="20" t="n">
        <v>1.232</v>
      </c>
      <c r="G35" s="5" t="n">
        <v>39045.24</v>
      </c>
      <c r="H35" s="5">
        <f>ROUND(F35*G35,2)</f>
        <v/>
      </c>
    </row>
    <row r="36" ht="20" customHeight="1">
      <c r="A36" s="16" t="inlineStr">
        <is>
          <t>Demir-inşaat işleri</t>
        </is>
      </c>
      <c r="B36" s="17" t="inlineStr">
        <is>
          <t>Yağmur Suyu Deposu</t>
        </is>
      </c>
      <c r="C36" s="18" t="inlineStr">
        <is>
          <t>15.160.1003</t>
        </is>
      </c>
      <c r="D36" s="16" t="inlineStr">
        <is>
          <t>Ø 8 - Ø 12 mm nervürlü beton çelik çubuğu, çubukların kesilmesi, bükülmesi ve yerine konulması</t>
        </is>
      </c>
      <c r="E36" s="19" t="inlineStr">
        <is>
          <t>ton</t>
        </is>
      </c>
      <c r="F36" s="20" t="n">
        <v>1.23</v>
      </c>
      <c r="G36" s="5" t="n">
        <v>39045.24</v>
      </c>
      <c r="H36" s="5">
        <f>ROUND(F36*G36,2)</f>
        <v/>
      </c>
    </row>
    <row r="37" ht="30" customHeight="1">
      <c r="A37" s="16" t="inlineStr">
        <is>
          <t>Çatı ve sundurma işleri</t>
        </is>
      </c>
      <c r="B37" s="17" t="inlineStr">
        <is>
          <t>Kümes A Blok</t>
        </is>
      </c>
      <c r="C37" s="18" t="inlineStr">
        <is>
          <t>TKDK-0042</t>
        </is>
      </c>
      <c r="D37" s="16" t="inlineStr">
        <is>
          <t>6 cm poliüretan dolgulu (üst min. 0,40 mm, alt min. 0,30 mm) boyalı galvanizli sac levhalar ile ısı yalıtımlı çatı kaplaması yapılması</t>
        </is>
      </c>
      <c r="E37" s="19" t="inlineStr">
        <is>
          <t>m²</t>
        </is>
      </c>
      <c r="F37" s="20" t="n">
        <v>1204.98</v>
      </c>
      <c r="G37" s="5" t="n">
        <v>1364.72</v>
      </c>
      <c r="H37" s="5">
        <f>ROUND(F37*G37,2)</f>
        <v/>
      </c>
    </row>
    <row r="38" ht="30" customHeight="1">
      <c r="A38" s="16" t="inlineStr">
        <is>
          <t>Çatı ve sundurma işleri</t>
        </is>
      </c>
      <c r="B38" s="17" t="inlineStr">
        <is>
          <t>Kümes B Blok</t>
        </is>
      </c>
      <c r="C38" s="18" t="inlineStr">
        <is>
          <t>TKDK-0042</t>
        </is>
      </c>
      <c r="D38" s="16" t="inlineStr">
        <is>
          <t>6 cm poliüretan dolgulu (üst min. 0,40 mm, alt min. 0,30 mm) boyalı galvanizli sac levhalar ile ısı yalıtımlı çatı kaplaması yapılması</t>
        </is>
      </c>
      <c r="E38" s="19" t="inlineStr">
        <is>
          <t>m²</t>
        </is>
      </c>
      <c r="F38" s="20" t="n">
        <v>1204.98</v>
      </c>
      <c r="G38" s="5" t="n">
        <v>1364.72</v>
      </c>
      <c r="H38" s="5">
        <f>ROUND(F38*G38,2)</f>
        <v/>
      </c>
    </row>
    <row r="39" ht="14" customHeight="1">
      <c r="A39" s="16" t="inlineStr">
        <is>
          <t>Çevre düzenlemesi ve çit işleri</t>
        </is>
      </c>
      <c r="B39" s="17" t="inlineStr">
        <is>
          <t>Çevre Düzenlemesi ve Saha Altyapısı</t>
        </is>
      </c>
      <c r="C39" s="18" t="inlineStr">
        <is>
          <t>TKDK-0091</t>
        </is>
      </c>
      <c r="D39" s="16" t="inlineStr">
        <is>
          <t>Betonarme direkli galvanizli tel örgü çit yapılması (Tip-1)</t>
        </is>
      </c>
      <c r="E39" s="19" t="inlineStr">
        <is>
          <t>m</t>
        </is>
      </c>
      <c r="F39" s="20" t="n">
        <v>361.04</v>
      </c>
      <c r="G39" s="5" t="n">
        <v>940.84</v>
      </c>
      <c r="H39" s="5">
        <f>ROUND(F39*G39,2)</f>
        <v/>
      </c>
    </row>
    <row r="40" ht="20" customHeight="1">
      <c r="A40" s="16" t="inlineStr">
        <is>
          <t>Kanalizasyon işleri</t>
        </is>
      </c>
      <c r="B40" s="17" t="inlineStr">
        <is>
          <t>Çevre Düzenlemesi ve Saha Altyapısı</t>
        </is>
      </c>
      <c r="C40" s="18" t="inlineStr">
        <is>
          <t>43.527.1001</t>
        </is>
      </c>
      <c r="D40" s="16" t="inlineStr">
        <is>
          <t>Çapı 150 mm HDPE koruge boru döşenmesi (SN 8, lastik conta ve boru bedeli dahil)</t>
        </is>
      </c>
      <c r="E40" s="19" t="inlineStr">
        <is>
          <t>m</t>
        </is>
      </c>
      <c r="F40" s="20" t="n">
        <v>50</v>
      </c>
      <c r="G40" s="5" t="n">
        <v>330.7</v>
      </c>
      <c r="H40" s="5">
        <f>ROUND(F40*G40,2)</f>
        <v/>
      </c>
    </row>
    <row r="41" ht="30" customHeight="1">
      <c r="A41" s="16" t="inlineStr">
        <is>
          <t>Betonarme işleri</t>
        </is>
      </c>
      <c r="B41" s="17" t="inlineStr">
        <is>
          <t>Çevre Düzenlemesi ve Saha Altyapısı</t>
        </is>
      </c>
      <c r="C41" s="18" t="inlineStr">
        <is>
          <t>15.150.1005</t>
        </is>
      </c>
      <c r="D41" s="16" t="inlineStr">
        <is>
          <t>Beton santralinde üretilen veya satın alınan ve beton pompasıyla basılan, C 25/30 basınç dayanım sınıfında, gri renkte, normal hazır beton dökülmesi (beton nakli dahil)</t>
        </is>
      </c>
      <c r="E41" s="19" t="inlineStr">
        <is>
          <t>m³</t>
        </is>
      </c>
      <c r="F41" s="20" t="n">
        <v>1.566</v>
      </c>
      <c r="G41" s="5" t="n">
        <v>2960.45</v>
      </c>
      <c r="H41" s="5">
        <f>ROUND(F41*G41,2)</f>
        <v/>
      </c>
    </row>
    <row r="42" ht="14" customHeight="1">
      <c r="A42" s="16" t="inlineStr">
        <is>
          <t>Kalıp, yapı iskelesi işleri</t>
        </is>
      </c>
      <c r="B42" s="17" t="inlineStr">
        <is>
          <t>Çevre Düzenlemesi ve Saha Altyapısı</t>
        </is>
      </c>
      <c r="C42" s="18" t="inlineStr">
        <is>
          <t>15.180.1003</t>
        </is>
      </c>
      <c r="D42" s="16" t="inlineStr">
        <is>
          <t>Plywood ile düz yüzeyli betonarme kalıbı yapılması</t>
        </is>
      </c>
      <c r="E42" s="19" t="inlineStr">
        <is>
          <t>m²</t>
        </is>
      </c>
      <c r="F42" s="20" t="n">
        <v>14.4</v>
      </c>
      <c r="G42" s="5" t="n">
        <v>863.8</v>
      </c>
      <c r="H42" s="5">
        <f>ROUND(F42*G42,2)</f>
        <v/>
      </c>
    </row>
    <row r="43" ht="20" customHeight="1">
      <c r="A43" s="16" t="inlineStr">
        <is>
          <t>Demir-inşaat işleri</t>
        </is>
      </c>
      <c r="B43" s="17" t="inlineStr">
        <is>
          <t>Çevre Düzenlemesi ve Saha Altyapısı</t>
        </is>
      </c>
      <c r="C43" s="18" t="inlineStr">
        <is>
          <t>15.160.1003</t>
        </is>
      </c>
      <c r="D43" s="16" t="inlineStr">
        <is>
          <t>Ø 8 - Ø 12 mm nervürlü beton çelik çubuğu, çubukların kesilmesi, bükülmesi ve yerine konulması</t>
        </is>
      </c>
      <c r="E43" s="19" t="inlineStr">
        <is>
          <t>ton</t>
        </is>
      </c>
      <c r="F43" s="20" t="n">
        <v>0.141</v>
      </c>
      <c r="G43" s="5" t="n">
        <v>39045.24</v>
      </c>
      <c r="H43" s="5">
        <f>ROUND(F43*G43,2)</f>
        <v/>
      </c>
    </row>
    <row r="44" ht="14" customHeight="1">
      <c r="A44" s="16" t="inlineStr">
        <is>
          <t>Kanalizasyon işleri</t>
        </is>
      </c>
      <c r="B44" s="17" t="inlineStr">
        <is>
          <t>Çevre Düzenlemesi ve Saha Altyapısı</t>
        </is>
      </c>
      <c r="C44" s="18" t="inlineStr">
        <is>
          <t>15.560.1003</t>
        </is>
      </c>
      <c r="D44" s="16" t="inlineStr">
        <is>
          <t>Betonarme kompozit rögar kapağı temini ve yerine konulması</t>
        </is>
      </c>
      <c r="E44" s="19" t="inlineStr">
        <is>
          <t>ad</t>
        </is>
      </c>
      <c r="F44" s="20" t="n">
        <v>4</v>
      </c>
      <c r="G44" s="5" t="n">
        <v>3744.3</v>
      </c>
      <c r="H44" s="5">
        <f>ROUND(F44*G44,2)</f>
        <v/>
      </c>
    </row>
    <row r="45" ht="20" customHeight="1">
      <c r="A45" s="16" t="inlineStr">
        <is>
          <t>Elektrik tesisatı ve aydınlatma</t>
        </is>
      </c>
      <c r="B45" s="17" t="inlineStr">
        <is>
          <t>Çevre Düzenlemesi ve Saha Altyapısı</t>
        </is>
      </c>
      <c r="C45" s="18" t="inlineStr">
        <is>
          <t>30.100.1104</t>
        </is>
      </c>
      <c r="D45" s="16" t="inlineStr">
        <is>
          <t>Ana dağıtım panosu (dikili tip galvanizli sac, en az 700 mm en, 400 mm derinlik) (%25 müteahhit kârı dahil)</t>
        </is>
      </c>
      <c r="E45" s="19" t="inlineStr">
        <is>
          <t>ad</t>
        </is>
      </c>
      <c r="F45" s="20" t="n">
        <v>1</v>
      </c>
      <c r="G45" s="5" t="n">
        <v>31602.33</v>
      </c>
      <c r="H45" s="5">
        <f>ROUND(F45*G45,2)</f>
        <v/>
      </c>
    </row>
    <row r="46" ht="20" customHeight="1">
      <c r="A46" s="16" t="inlineStr">
        <is>
          <t>Elektrik tesisatı ve aydınlatma</t>
        </is>
      </c>
      <c r="B46" s="17" t="inlineStr">
        <is>
          <t>Çevre Düzenlemesi ve Saha Altyapısı</t>
        </is>
      </c>
      <c r="C46" s="18" t="inlineStr">
        <is>
          <t>30.100.2106</t>
        </is>
      </c>
      <c r="D46" s="16" t="inlineStr">
        <is>
          <t>Sayaç panosu (sıva üstü galvanizli sac tablo, 0,50-0,60 m²) (%25 müteahhit kârı dahil)</t>
        </is>
      </c>
      <c r="E46" s="19" t="inlineStr">
        <is>
          <t>ad</t>
        </is>
      </c>
      <c r="F46" s="20" t="n">
        <v>1</v>
      </c>
      <c r="G46" s="5" t="n">
        <v>8179.25</v>
      </c>
      <c r="H46" s="5">
        <f>ROUND(F46*G46,2)</f>
        <v/>
      </c>
    </row>
    <row r="47" ht="20" customHeight="1">
      <c r="A47" s="16" t="inlineStr">
        <is>
          <t>Elektrik tesisatı ve aydınlatma</t>
        </is>
      </c>
      <c r="B47" s="17" t="inlineStr">
        <is>
          <t>Çevre Düzenlemesi ve Saha Altyapısı</t>
        </is>
      </c>
      <c r="C47" s="18" t="inlineStr">
        <is>
          <t>30.135.3201</t>
        </is>
      </c>
      <c r="D47" s="16" t="inlineStr">
        <is>
          <t>Üç fazlı zaman tarifeli elektronik aktif sayaç, en az 5(100) A, 3x230/400 V (%25 müteahhit kârı dahil)</t>
        </is>
      </c>
      <c r="E47" s="19" t="inlineStr">
        <is>
          <t>ad</t>
        </is>
      </c>
      <c r="F47" s="20" t="n">
        <v>1</v>
      </c>
      <c r="G47" s="5" t="n">
        <v>1504.15</v>
      </c>
      <c r="H47" s="5">
        <f>ROUND(F47*G47,2)</f>
        <v/>
      </c>
    </row>
    <row r="48" ht="20" customHeight="1">
      <c r="A48" s="16" t="inlineStr">
        <is>
          <t>Elektrik tesisatı ve aydınlatma</t>
        </is>
      </c>
      <c r="B48" s="17" t="inlineStr">
        <is>
          <t>Çevre Düzenlemesi ve Saha Altyapısı</t>
        </is>
      </c>
      <c r="C48" s="18" t="inlineStr">
        <is>
          <t>30.110.1104</t>
        </is>
      </c>
      <c r="D48" s="16" t="inlineStr">
        <is>
          <t>Termik-manyetik kompakt şalter 3x160 A, Icu 35 kA — ana giriş (%25 müteahhit kârı dahil)</t>
        </is>
      </c>
      <c r="E48" s="19" t="inlineStr">
        <is>
          <t>ad</t>
        </is>
      </c>
      <c r="F48" s="20" t="n">
        <v>1</v>
      </c>
      <c r="G48" s="5" t="n">
        <v>4753.16</v>
      </c>
      <c r="H48" s="5">
        <f>ROUND(F48*G48,2)</f>
        <v/>
      </c>
    </row>
    <row r="49" ht="20" customHeight="1">
      <c r="A49" s="16" t="inlineStr">
        <is>
          <t>Elektrik tesisatı ve aydınlatma</t>
        </is>
      </c>
      <c r="B49" s="17" t="inlineStr">
        <is>
          <t>Çevre Düzenlemesi ve Saha Altyapısı</t>
        </is>
      </c>
      <c r="C49" s="18" t="inlineStr">
        <is>
          <t>30.115.1003</t>
        </is>
      </c>
      <c r="D49" s="16" t="inlineStr">
        <is>
          <t>Kaçak akım koruma şalteri 2x63 A, 30 mA (%25 müteahhit kârı dahil)</t>
        </is>
      </c>
      <c r="E49" s="19" t="inlineStr">
        <is>
          <t>ad</t>
        </is>
      </c>
      <c r="F49" s="20" t="n">
        <v>2</v>
      </c>
      <c r="G49" s="5" t="n">
        <v>1079.2</v>
      </c>
      <c r="H49" s="5">
        <f>ROUND(F49*G49,2)</f>
        <v/>
      </c>
    </row>
    <row r="50" ht="20" customHeight="1">
      <c r="A50" s="16" t="inlineStr">
        <is>
          <t>Elektrik tesisatı ve aydınlatma</t>
        </is>
      </c>
      <c r="B50" s="17" t="inlineStr">
        <is>
          <t>Çevre Düzenlemesi ve Saha Altyapısı</t>
        </is>
      </c>
      <c r="C50" s="18" t="inlineStr">
        <is>
          <t>30.140.3105</t>
        </is>
      </c>
      <c r="D50" s="16" t="inlineStr">
        <is>
          <t>YVV (NYY) 1 kV yeraltı kablosu ile besleme hattı tesisi — 1x35 mm² (%25 müteahhit kârı dahil)</t>
        </is>
      </c>
      <c r="E50" s="19" t="inlineStr">
        <is>
          <t>m</t>
        </is>
      </c>
      <c r="F50" s="20" t="n">
        <v>50</v>
      </c>
      <c r="G50" s="5" t="n">
        <v>277.15</v>
      </c>
      <c r="H50" s="5">
        <f>ROUND(F50*G50,2)</f>
        <v/>
      </c>
    </row>
    <row r="51" ht="20" customHeight="1">
      <c r="A51" s="16" t="inlineStr">
        <is>
          <t>Elektrik tesisatı ve aydınlatma</t>
        </is>
      </c>
      <c r="B51" s="17" t="inlineStr">
        <is>
          <t>Çevre Düzenlemesi ve Saha Altyapısı</t>
        </is>
      </c>
      <c r="C51" s="18" t="inlineStr">
        <is>
          <t>30.140.3101</t>
        </is>
      </c>
      <c r="D51" s="16" t="inlineStr">
        <is>
          <t>YVV (NYY) 1 kV yeraltı kablosu ile besleme hattı tesisi — 1x6 mm² (%25 müteahhit kârı dahil)</t>
        </is>
      </c>
      <c r="E51" s="19" t="inlineStr">
        <is>
          <t>m</t>
        </is>
      </c>
      <c r="F51" s="20" t="n">
        <v>50</v>
      </c>
      <c r="G51" s="5" t="n">
        <v>51.25</v>
      </c>
      <c r="H51" s="5">
        <f>ROUND(F51*G51,2)</f>
        <v/>
      </c>
    </row>
    <row r="52" ht="20" customHeight="1">
      <c r="A52" s="16" t="inlineStr">
        <is>
          <t>Elektrik tesisatı ve aydınlatma</t>
        </is>
      </c>
      <c r="B52" s="17" t="inlineStr">
        <is>
          <t>Çevre Düzenlemesi ve Saha Altyapısı</t>
        </is>
      </c>
      <c r="C52" s="18" t="inlineStr">
        <is>
          <t>30.172.1706</t>
        </is>
      </c>
      <c r="D52" s="16" t="inlineStr">
        <is>
          <t>Aydınlatma direği — taban çapı en az 80 mm, yükseklik en az 4,00 m (%25 müteahhit kârı dahil)</t>
        </is>
      </c>
      <c r="E52" s="19" t="inlineStr">
        <is>
          <t>ad</t>
        </is>
      </c>
      <c r="F52" s="20" t="n">
        <v>4</v>
      </c>
      <c r="G52" s="5" t="n">
        <v>6229.12</v>
      </c>
      <c r="H52" s="5">
        <f>ROUND(F52*G52,2)</f>
        <v/>
      </c>
    </row>
    <row r="53" ht="20" customHeight="1">
      <c r="A53" s="16" t="inlineStr">
        <is>
          <t>Elektrik tesisatı ve aydınlatma</t>
        </is>
      </c>
      <c r="B53" s="17" t="inlineStr">
        <is>
          <t>Çevre Düzenlemesi ve Saha Altyapısı</t>
        </is>
      </c>
      <c r="C53" s="18" t="inlineStr">
        <is>
          <t>30.170.4002</t>
        </is>
      </c>
      <c r="D53" s="16" t="inlineStr">
        <is>
          <t>LED projektör, ışık akısı en az 5100 lm (%25 müteahhit kârı dahil)</t>
        </is>
      </c>
      <c r="E53" s="19" t="inlineStr">
        <is>
          <t>ad</t>
        </is>
      </c>
      <c r="F53" s="20" t="n">
        <v>4</v>
      </c>
      <c r="G53" s="5" t="n">
        <v>7632.76</v>
      </c>
      <c r="H53" s="5">
        <f>ROUND(F53*G53,2)</f>
        <v/>
      </c>
    </row>
    <row r="54" ht="20" customHeight="1">
      <c r="A54" s="16" t="inlineStr">
        <is>
          <t>Elektrik tesisatı ve aydınlatma</t>
        </is>
      </c>
      <c r="B54" s="17" t="inlineStr">
        <is>
          <t>Kümes A Blok</t>
        </is>
      </c>
      <c r="C54" s="18" t="inlineStr">
        <is>
          <t>30.120.2016</t>
        </is>
      </c>
      <c r="D54" s="16" t="inlineStr">
        <is>
          <t>Otomatik transfer şalteri 4 x 200 A (%25 müteahhit kârı dahil)</t>
        </is>
      </c>
      <c r="E54" s="19" t="inlineStr">
        <is>
          <t>ad</t>
        </is>
      </c>
      <c r="F54" s="20" t="n">
        <v>1</v>
      </c>
      <c r="G54" s="5" t="n">
        <v>38544.21</v>
      </c>
      <c r="H54" s="5">
        <f>ROUND(F54*G54,2)</f>
        <v/>
      </c>
    </row>
    <row r="55" ht="20" customHeight="1">
      <c r="A55" s="16" t="inlineStr">
        <is>
          <t>Elektrik tesisatı ve aydınlatma</t>
        </is>
      </c>
      <c r="B55" s="17" t="inlineStr">
        <is>
          <t>Kümes B Blok</t>
        </is>
      </c>
      <c r="C55" s="18" t="inlineStr">
        <is>
          <t>30.120.2016</t>
        </is>
      </c>
      <c r="D55" s="16" t="inlineStr">
        <is>
          <t>Otomatik transfer şalteri 4 x 200 A (%25 müteahhit kârı dahil)</t>
        </is>
      </c>
      <c r="E55" s="19" t="inlineStr">
        <is>
          <t>ad</t>
        </is>
      </c>
      <c r="F55" s="20" t="n">
        <v>1</v>
      </c>
      <c r="G55" s="5" t="n">
        <v>38544.21</v>
      </c>
      <c r="H55" s="5">
        <f>ROUND(F55*G55,2)</f>
        <v/>
      </c>
    </row>
    <row r="56">
      <c r="A56" s="21" t="n"/>
      <c r="B56" s="21" t="n"/>
      <c r="C56" s="21" t="n"/>
      <c r="D56" s="22" t="inlineStr">
        <is>
          <t>HİBE DIŞI YAPIM İŞLERİ TOPLAMI (KDV hariç)</t>
        </is>
      </c>
      <c r="E56" s="21" t="n"/>
      <c r="F56" s="21" t="n"/>
      <c r="G56" s="21" t="n"/>
      <c r="H56" s="9">
        <f>SUM(H5:H55)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9" customWidth="1" min="3" max="3"/>
    <col width="13" customWidth="1" min="4" max="4"/>
    <col width="17" customWidth="1" min="5" max="5"/>
    <col width="19" customWidth="1" min="6" max="6"/>
  </cols>
  <sheetData>
    <row r="1" ht="18" customHeight="1">
      <c r="A1" s="1" t="inlineStr">
        <is>
          <t>A3.2 — HİZMET ALIMI UYGUN HARCAMALARI</t>
        </is>
      </c>
    </row>
    <row r="2">
      <c r="A2" s="2" t="inlineStr">
        <is>
          <t>İş planı hazırlığı, mimarlık ve mühendislik projeleri, fizibilite çalışması. Seçilen teklif kesinleştiğinde doldurulacaktır.</t>
        </is>
      </c>
    </row>
    <row r="3"/>
    <row r="4" ht="30" customHeight="1">
      <c r="A4" s="3" t="inlineStr">
        <is>
          <t>EK-1 uygun harcama kalemi</t>
        </is>
      </c>
      <c r="B4" s="3" t="inlineStr">
        <is>
          <t>Harcamanın adı</t>
        </is>
      </c>
      <c r="C4" s="3" t="inlineStr">
        <is>
          <t>Birim</t>
        </is>
      </c>
      <c r="D4" s="3" t="inlineStr">
        <is>
          <t>Miktar</t>
        </is>
      </c>
      <c r="E4" s="3" t="inlineStr">
        <is>
          <t>Birim fiyat (TL)</t>
        </is>
      </c>
      <c r="F4" s="3" t="inlineStr">
        <is>
          <t>Tutar (TL)</t>
        </is>
      </c>
    </row>
    <row r="5">
      <c r="A5" s="4" t="n"/>
      <c r="B5" s="4" t="n"/>
      <c r="C5" s="4" t="n"/>
      <c r="D5" s="4" t="n"/>
      <c r="E5" s="4" t="n"/>
      <c r="F5" s="5" t="n"/>
    </row>
    <row r="6">
      <c r="A6" s="4" t="n"/>
      <c r="B6" s="4" t="n"/>
      <c r="C6" s="4" t="n"/>
      <c r="D6" s="4" t="n"/>
      <c r="E6" s="4" t="n"/>
      <c r="F6" s="5" t="n"/>
    </row>
    <row r="7">
      <c r="A7" s="4" t="n"/>
      <c r="B7" s="4" t="n"/>
      <c r="C7" s="4" t="n"/>
      <c r="D7" s="4" t="n"/>
      <c r="E7" s="4" t="n"/>
      <c r="F7" s="5" t="n"/>
    </row>
    <row r="8">
      <c r="A8" s="4" t="n"/>
      <c r="B8" s="4" t="n"/>
      <c r="C8" s="4" t="n"/>
      <c r="D8" s="4" t="n"/>
      <c r="E8" s="4" t="n"/>
      <c r="F8" s="5" t="n"/>
    </row>
    <row r="9">
      <c r="A9" s="4" t="n"/>
      <c r="B9" s="4" t="n"/>
      <c r="C9" s="4" t="n"/>
      <c r="D9" s="4" t="n"/>
      <c r="E9" s="4" t="n"/>
      <c r="F9" s="5" t="n"/>
    </row>
    <row r="10">
      <c r="A10" s="4" t="n"/>
      <c r="B10" s="4" t="n"/>
      <c r="C10" s="4" t="n"/>
      <c r="D10" s="4" t="n"/>
      <c r="E10" s="4" t="n"/>
      <c r="F10" s="5" t="n"/>
    </row>
    <row r="11">
      <c r="A11" s="4" t="n"/>
      <c r="B11" s="4" t="n"/>
      <c r="C11" s="4" t="n"/>
      <c r="D11" s="4" t="n"/>
      <c r="E11" s="4" t="n"/>
      <c r="F11" s="5" t="n"/>
    </row>
    <row r="12">
      <c r="A12" s="4" t="n"/>
      <c r="B12" s="4" t="n"/>
      <c r="C12" s="4" t="n"/>
      <c r="D12" s="4" t="n"/>
      <c r="E12" s="4" t="n"/>
      <c r="F12" s="5" t="n"/>
    </row>
    <row r="13">
      <c r="A13" s="21" t="n"/>
      <c r="B13" s="22" t="inlineStr">
        <is>
          <t>TOPLAM (KDV hariç)</t>
        </is>
      </c>
      <c r="C13" s="21" t="n"/>
      <c r="D13" s="21" t="n"/>
      <c r="E13" s="21" t="n"/>
      <c r="F13" s="9">
        <f>SUM(F5:F12)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9" customWidth="1" min="3" max="3"/>
    <col width="13" customWidth="1" min="4" max="4"/>
    <col width="17" customWidth="1" min="5" max="5"/>
    <col width="19" customWidth="1" min="6" max="6"/>
  </cols>
  <sheetData>
    <row r="1" ht="18" customHeight="1">
      <c r="A1" s="1" t="inlineStr">
        <is>
          <t>A3.3 — GÖRÜNÜRLÜK HARCAMALARI</t>
        </is>
      </c>
    </row>
    <row r="2">
      <c r="A2" s="2" t="inlineStr">
        <is>
          <t>IPARD Görünürlük Rehberi'ne uygun yatırım tanıtım tabelası. Seçilen teklif kesinleştiğinde doldurulacaktır.</t>
        </is>
      </c>
    </row>
    <row r="3"/>
    <row r="4" ht="30" customHeight="1">
      <c r="A4" s="3" t="inlineStr">
        <is>
          <t>EK-1 uygun harcama kalemi</t>
        </is>
      </c>
      <c r="B4" s="3" t="inlineStr">
        <is>
          <t>Harcamanın adı</t>
        </is>
      </c>
      <c r="C4" s="3" t="inlineStr">
        <is>
          <t>Birim</t>
        </is>
      </c>
      <c r="D4" s="3" t="inlineStr">
        <is>
          <t>Miktar</t>
        </is>
      </c>
      <c r="E4" s="3" t="inlineStr">
        <is>
          <t>Birim fiyat (TL)</t>
        </is>
      </c>
      <c r="F4" s="3" t="inlineStr">
        <is>
          <t>Tutar (TL)</t>
        </is>
      </c>
    </row>
    <row r="5">
      <c r="A5" s="4" t="n"/>
      <c r="B5" s="4" t="n"/>
      <c r="C5" s="4" t="n"/>
      <c r="D5" s="4" t="n"/>
      <c r="E5" s="4" t="n"/>
      <c r="F5" s="5" t="n"/>
    </row>
    <row r="6">
      <c r="A6" s="4" t="n"/>
      <c r="B6" s="4" t="n"/>
      <c r="C6" s="4" t="n"/>
      <c r="D6" s="4" t="n"/>
      <c r="E6" s="4" t="n"/>
      <c r="F6" s="5" t="n"/>
    </row>
    <row r="7">
      <c r="A7" s="4" t="n"/>
      <c r="B7" s="4" t="n"/>
      <c r="C7" s="4" t="n"/>
      <c r="D7" s="4" t="n"/>
      <c r="E7" s="4" t="n"/>
      <c r="F7" s="5" t="n"/>
    </row>
    <row r="8">
      <c r="A8" s="4" t="n"/>
      <c r="B8" s="4" t="n"/>
      <c r="C8" s="4" t="n"/>
      <c r="D8" s="4" t="n"/>
      <c r="E8" s="4" t="n"/>
      <c r="F8" s="5" t="n"/>
    </row>
    <row r="9">
      <c r="A9" s="4" t="n"/>
      <c r="B9" s="4" t="n"/>
      <c r="C9" s="4" t="n"/>
      <c r="D9" s="4" t="n"/>
      <c r="E9" s="4" t="n"/>
      <c r="F9" s="5" t="n"/>
    </row>
    <row r="10">
      <c r="A10" s="4" t="n"/>
      <c r="B10" s="4" t="n"/>
      <c r="C10" s="4" t="n"/>
      <c r="D10" s="4" t="n"/>
      <c r="E10" s="4" t="n"/>
      <c r="F10" s="5" t="n"/>
    </row>
    <row r="11">
      <c r="A11" s="4" t="n"/>
      <c r="B11" s="4" t="n"/>
      <c r="C11" s="4" t="n"/>
      <c r="D11" s="4" t="n"/>
      <c r="E11" s="4" t="n"/>
      <c r="F11" s="5" t="n"/>
    </row>
    <row r="12">
      <c r="A12" s="4" t="n"/>
      <c r="B12" s="4" t="n"/>
      <c r="C12" s="4" t="n"/>
      <c r="D12" s="4" t="n"/>
      <c r="E12" s="4" t="n"/>
      <c r="F12" s="5" t="n"/>
    </row>
    <row r="13">
      <c r="A13" s="21" t="n"/>
      <c r="B13" s="22" t="inlineStr">
        <is>
          <t>TOPLAM (KDV hariç)</t>
        </is>
      </c>
      <c r="C13" s="21" t="n"/>
      <c r="D13" s="21" t="n"/>
      <c r="E13" s="21" t="n"/>
      <c r="F13" s="9">
        <f>SUM(F5:F12)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18" customWidth="1" min="3" max="3"/>
    <col width="26" customWidth="1" min="4" max="4"/>
  </cols>
  <sheetData>
    <row r="1" ht="18" customHeight="1">
      <c r="A1" s="23" t="inlineStr">
        <is>
          <t>A3.4 — UYGUN OLMAYAN HARCAMALAR</t>
        </is>
      </c>
    </row>
    <row r="2">
      <c r="A2" s="2" t="inlineStr">
        <is>
          <t>IPARD III broyler yatırımlarında uygun harcama üst limiti 375.000 Avro'dur. Bu yatırımda uygun harcama, puanlama kriteri 1 gereği 300.000 Avro'nun altında tutulmuştur; yatırımın geri kalanı uygun olmayan harcamadır, proforma fatura ile beyan edilir ve tamamen öz kaynaktan karşılanır.</t>
        </is>
      </c>
    </row>
    <row r="3"/>
    <row r="4" ht="30" customHeight="1">
      <c r="A4" s="3" t="inlineStr">
        <is>
          <t>Açıklama</t>
        </is>
      </c>
      <c r="B4" s="3" t="inlineStr">
        <is>
          <t>Tutar (TL)</t>
        </is>
      </c>
      <c r="C4" s="3" t="inlineStr">
        <is>
          <t>Avro karşılığı</t>
        </is>
      </c>
      <c r="D4" s="3" t="inlineStr">
        <is>
          <t>Kaynak</t>
        </is>
      </c>
    </row>
    <row r="5">
      <c r="A5" s="16" t="inlineStr">
        <is>
          <t>Toplam yatırım tutarı (KDV hariç)</t>
        </is>
      </c>
      <c r="B5" s="5" t="n">
        <v>24988354.46</v>
      </c>
      <c r="C5" s="6">
        <f>B5/52.7585</f>
        <v/>
      </c>
      <c r="D5" s="17" t="inlineStr">
        <is>
          <t>Keşif ve proformalar</t>
        </is>
      </c>
    </row>
    <row r="6">
      <c r="A6" s="16" t="inlineStr">
        <is>
          <t>Uygun harcama — Kümes A ve B blokları yapım işleri (A3.1.1)</t>
        </is>
      </c>
      <c r="B6" s="5" t="n">
        <v>15774454.5</v>
      </c>
      <c r="C6" s="6">
        <f>B6/52.7585</f>
        <v/>
      </c>
      <c r="D6" s="17" t="inlineStr">
        <is>
          <t>Yapım işleri teklifi</t>
        </is>
      </c>
    </row>
    <row r="7">
      <c r="A7" s="16" t="inlineStr">
        <is>
          <t>Hibe dışı yapım işleri — diğer yapılar ve çıkarılan pozlar (A3.4-EK Yapım)</t>
        </is>
      </c>
      <c r="B7" s="5" t="n">
        <v>5618052.75</v>
      </c>
      <c r="C7" s="6">
        <f>B7/52.7585</f>
        <v/>
      </c>
      <c r="D7" s="17" t="inlineStr">
        <is>
          <t>Proforma fatura</t>
        </is>
      </c>
    </row>
    <row r="8">
      <c r="A8" s="16" t="inlineStr">
        <is>
          <t>Hibe dışı makine-ekipman alımı (A3.4-EK Makine-Ekipman)</t>
        </is>
      </c>
      <c r="B8" s="5" t="n">
        <v>2885847.21</v>
      </c>
      <c r="C8" s="6">
        <f>B8/52.7585</f>
        <v/>
      </c>
      <c r="D8" s="17" t="inlineStr">
        <is>
          <t>Proforma fatura</t>
        </is>
      </c>
    </row>
    <row r="9">
      <c r="A9" s="16" t="inlineStr">
        <is>
          <t>Hibe dışı kümes ısıtma sistemi — ayrı lot</t>
        </is>
      </c>
      <c r="B9" s="5" t="n">
        <v>710000</v>
      </c>
      <c r="C9" s="6">
        <f>B9/52.7585</f>
        <v/>
      </c>
      <c r="D9" s="17" t="inlineStr">
        <is>
          <t>Proforma fatura</t>
        </is>
      </c>
    </row>
    <row r="10">
      <c r="A10" s="24" t="inlineStr">
        <is>
          <t>UYGUN OLMAYAN HARCAMA — toplam</t>
        </is>
      </c>
      <c r="B10" s="9" t="n">
        <v>9213899.960000001</v>
      </c>
      <c r="C10" s="10">
        <f>B10/52.7585</f>
        <v/>
      </c>
      <c r="D10" s="25" t="inlineStr">
        <is>
          <t>Öz kaynak</t>
        </is>
      </c>
    </row>
    <row r="11">
      <c r="A11" s="16" t="inlineStr">
        <is>
          <t>IPARD III broyler uygun harcama üst limiti (375.000,00 Avro) — uygun harcama limitin altındadır</t>
        </is>
      </c>
      <c r="B11" s="5" t="n">
        <v>19784437.5</v>
      </c>
      <c r="C11" s="6">
        <f>B11/52.7585</f>
        <v/>
      </c>
      <c r="D11" s="17" t="inlineStr">
        <is>
          <t>Çağrı rehberi</t>
        </is>
      </c>
    </row>
    <row r="12">
      <c r="A12" s="16" t="inlineStr">
        <is>
          <t>KDV — IPARD'da uygun harcama değildir</t>
        </is>
      </c>
      <c r="B12" s="5" t="n">
        <v>4997670.89</v>
      </c>
      <c r="C12" s="6">
        <f>B12/52.7585</f>
        <v/>
      </c>
      <c r="D12" s="17" t="inlineStr">
        <is>
          <t>Öz kaynak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2026-08-29T13:27:31Z</dcterms:created>
  <dcterms:modified xmlns:dcterms="http://purl.org/dc/terms/" xmlns:xsi="http://www.w3.org/2001/XMLSchema-instance" xsi:type="dcterms:W3CDTF">2026-08-29T13:27:31Z</dcterms:modified>
</cp:coreProperties>
</file>