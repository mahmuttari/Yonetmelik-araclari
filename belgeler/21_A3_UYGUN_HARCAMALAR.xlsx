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Yapım'!H64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Makine-Ekipman'!G14</f>
        <v/>
      </c>
      <c r="C13" s="6">
        <f>B13/52.7585</f>
        <v/>
      </c>
      <c r="D13" s="7" t="inlineStr">
        <is>
          <t>Proforma ile beyan</t>
        </is>
      </c>
    </row>
    <row r="14">
      <c r="A14" s="8" t="inlineStr">
        <is>
          <t>UYGUN OLMAYAN HARCAMA (öz kaynak)</t>
        </is>
      </c>
      <c r="B14" s="9">
        <f>B12+B13</f>
        <v/>
      </c>
      <c r="C14" s="10">
        <f>B14/52.7585</f>
        <v/>
      </c>
      <c r="D14" s="11" t="inlineStr">
        <is>
          <t>Tamamı öz kaynaktan karşılanır</t>
        </is>
      </c>
    </row>
    <row r="15">
      <c r="A15" s="12" t="inlineStr">
        <is>
          <t>TOPLAM YATIRIM (KDV hariç)</t>
        </is>
      </c>
      <c r="B15" s="13">
        <f>B9+B14</f>
        <v/>
      </c>
      <c r="C15" s="14">
        <f>B15/52.7585</f>
        <v/>
      </c>
      <c r="D15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35.190.1101</t>
        </is>
      </c>
      <c r="D44" s="16" t="inlineStr">
        <is>
          <t>Kablo tava sistemleri kapak sacı — 35.190.1100 pozuna uygun özellikte, 1,0 mm sıcak daldırma galvanizli (malzeme) (%25 müteahhit kârı dahil)</t>
        </is>
      </c>
      <c r="E44" s="19" t="inlineStr">
        <is>
          <t>kg</t>
        </is>
      </c>
      <c r="F44" s="20" t="n">
        <v>361.2</v>
      </c>
      <c r="G44" s="5" t="n">
        <v>162.37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35.190.1304</t>
        </is>
      </c>
      <c r="D45" s="16" t="inlineStr">
        <is>
          <t>Sıva üstü PVC kablo kanalı — en az 100 x 35 mm, üç bölmeli (%25 müteahhit kârı dahil)</t>
        </is>
      </c>
      <c r="E45" s="19" t="inlineStr">
        <is>
          <t>m</t>
        </is>
      </c>
      <c r="F45" s="20" t="n">
        <v>123</v>
      </c>
      <c r="G45" s="5" t="n">
        <v>233.28</v>
      </c>
      <c r="H45" s="5">
        <f>ROUND(F45*G45,2)</f>
        <v/>
      </c>
    </row>
    <row r="46" ht="14" customHeight="1">
      <c r="A46" s="16" t="inlineStr">
        <is>
          <t>Kazı, dolgu ve reglaj işleri</t>
        </is>
      </c>
      <c r="B46" s="17" t="inlineStr">
        <is>
          <t>Kümes B Blok</t>
        </is>
      </c>
      <c r="C46" s="18" t="inlineStr">
        <is>
          <t>15.120.1001</t>
        </is>
      </c>
      <c r="D46" s="16" t="inlineStr">
        <is>
          <t>Makine ile yumuşak ve sert toprak kazılması</t>
        </is>
      </c>
      <c r="E46" s="19" t="inlineStr">
        <is>
          <t>m³</t>
        </is>
      </c>
      <c r="F46" s="20" t="n">
        <v>1684.385</v>
      </c>
      <c r="G46" s="5" t="n">
        <v>52.37</v>
      </c>
      <c r="H46" s="5">
        <f>ROUND(F46*G46,2)</f>
        <v/>
      </c>
    </row>
    <row r="47" ht="30" customHeight="1">
      <c r="A47" s="16" t="inlineStr">
        <is>
          <t>Beton işleri</t>
        </is>
      </c>
      <c r="B47" s="17" t="inlineStr">
        <is>
          <t>Kümes B Blok</t>
        </is>
      </c>
      <c r="C47" s="18" t="inlineStr">
        <is>
          <t>15.150.1003</t>
        </is>
      </c>
      <c r="D47" s="16" t="inlineStr">
        <is>
          <t>Beton santralinde üretilen veya satın alınan ve beton pompasıyla basılan, C 16/20 basınç dayanım sınıfında, gri renkte, normal hazır beton dökülmesi (beton nakli dahil)</t>
        </is>
      </c>
      <c r="E47" s="19" t="inlineStr">
        <is>
          <t>m³</t>
        </is>
      </c>
      <c r="F47" s="20" t="n">
        <v>31.429</v>
      </c>
      <c r="G47" s="5" t="n">
        <v>2750.45</v>
      </c>
      <c r="H47" s="5">
        <f>ROUND(F47*G47,2)</f>
        <v/>
      </c>
    </row>
    <row r="48" ht="3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Beton santralinde üretilen veya satın alınan ve beton pompasıyla basılan, C 25/30 basınç dayanım sınıfında, gri renkte, normal hazır beton dökülmesi (beton nakli dahil)</t>
        </is>
      </c>
      <c r="E48" s="19" t="inlineStr">
        <is>
          <t>m³</t>
        </is>
      </c>
      <c r="F48" s="20" t="n">
        <v>278.34</v>
      </c>
      <c r="G48" s="5" t="n">
        <v>2960.45</v>
      </c>
      <c r="H48" s="5">
        <f>ROUND(F48*G48,2)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yapılması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ROUND(F49*G49,2)</f>
        <v/>
      </c>
    </row>
    <row r="50" ht="20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 8 - Ø 12 mm nervürlü beton çelik çubuğu, çubukların kesilmesi, bükülmesi ve yerine konulması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ROUND(F50*G50,2)</f>
        <v/>
      </c>
    </row>
    <row r="51" ht="20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 14 - Ø 28 mm nervürlü beton çelik çubuğu, çubukların kesilmesi, bükülmesi ve yerine konulması</t>
        </is>
      </c>
      <c r="E51" s="19" t="inlineStr">
        <is>
          <t>ton</t>
        </is>
      </c>
      <c r="F51" s="20" t="n">
        <v>7.288</v>
      </c>
      <c r="G51" s="5" t="n">
        <v>37532.19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ROUND(F52*G52,2)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çelik saclarla karkas (çerçeve) inşaat yapılması, yerine tespiti (boya bedeli hariç)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ROUND(F53*G53,2)</f>
        <v/>
      </c>
    </row>
    <row r="54" ht="20" customHeight="1">
      <c r="A54" s="16" t="inlineStr">
        <is>
          <t>Çelik yapım-imalat işleri</t>
        </is>
      </c>
      <c r="B54" s="17" t="inlineStr">
        <is>
          <t>Kümes B Blok</t>
        </is>
      </c>
      <c r="C54" s="18" t="inlineStr">
        <is>
          <t>15.550.1202</t>
        </is>
      </c>
      <c r="D54" s="16" t="inlineStr">
        <is>
          <t>Lama ve profil demirlerden çeşitli demir işleri yapılması ve yerine konulması</t>
        </is>
      </c>
      <c r="E54" s="19" t="inlineStr">
        <is>
          <t>kg</t>
        </is>
      </c>
      <c r="F54" s="20" t="n">
        <v>674</v>
      </c>
      <c r="G54" s="5" t="n">
        <v>147.67</v>
      </c>
      <c r="H54" s="5">
        <f>ROUND(F54*G54,2)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15.225.1010</t>
        </is>
      </c>
      <c r="D55" s="16" t="inlineStr">
        <is>
          <t>20 cm kalınlığındaki teçhizatsız gazbeton duvar blokları ile duvar yapılması (gazbeton tutkalı ile)</t>
        </is>
      </c>
      <c r="E55" s="19" t="inlineStr">
        <is>
          <t>m²</t>
        </is>
      </c>
      <c r="F55" s="20" t="n">
        <v>507.91</v>
      </c>
      <c r="G55" s="5" t="n">
        <v>929.28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15.225.1410</t>
        </is>
      </c>
      <c r="D56" s="16" t="inlineStr">
        <is>
          <t>20 cm kalınlığındaki teçhizatlı gazbeton lento temini ve yerine konulması</t>
        </is>
      </c>
      <c r="E56" s="19" t="inlineStr">
        <is>
          <t>m²</t>
        </is>
      </c>
      <c r="F56" s="20" t="n">
        <v>49.85</v>
      </c>
      <c r="G56" s="5" t="n">
        <v>1777.52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15.225.1004</t>
        </is>
      </c>
      <c r="D57" s="16" t="inlineStr">
        <is>
          <t>10 cm kalınlığındaki teçhizatsız gazbeton duvar blokları ile duvar yapılması (gazbeton tutkalı ile)</t>
        </is>
      </c>
      <c r="E57" s="19" t="inlineStr">
        <is>
          <t>m²</t>
        </is>
      </c>
      <c r="F57" s="20" t="n">
        <v>45</v>
      </c>
      <c r="G57" s="5" t="n">
        <v>607.9299999999999</v>
      </c>
      <c r="H57" s="5">
        <f>ROUND(F57*G57,2)</f>
        <v/>
      </c>
    </row>
    <row r="58" ht="14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TKDK-0115</t>
        </is>
      </c>
      <c r="D58" s="16" t="inlineStr">
        <is>
          <t>Galvanizli düz sacdan yağmur oluğu veya iniş borusu yapılması</t>
        </is>
      </c>
      <c r="E58" s="19" t="inlineStr">
        <is>
          <t>kg</t>
        </is>
      </c>
      <c r="F58" s="20" t="n">
        <v>319.2</v>
      </c>
      <c r="G58" s="5" t="n">
        <v>227.85</v>
      </c>
      <c r="H58" s="5">
        <f>ROUND(F58*G58,2)</f>
        <v/>
      </c>
    </row>
    <row r="59" ht="20" customHeight="1">
      <c r="A59" s="16" t="inlineStr">
        <is>
          <t>Çatı ve sundurma işleri</t>
        </is>
      </c>
      <c r="B59" s="17" t="inlineStr">
        <is>
          <t>Kümes B Blok</t>
        </is>
      </c>
      <c r="C59" s="18" t="inlineStr">
        <is>
          <t>15.315.1001</t>
        </is>
      </c>
      <c r="D59" s="16" t="inlineStr">
        <is>
          <t>Ø 70 mm çapında bir ucu muflu sert PVC yağmur borusu temini ve yerine tesbiti</t>
        </is>
      </c>
      <c r="E59" s="19" t="inlineStr">
        <is>
          <t>m</t>
        </is>
      </c>
      <c r="F59" s="20" t="n">
        <v>51.2</v>
      </c>
      <c r="G59" s="5" t="n">
        <v>174.22</v>
      </c>
      <c r="H59" s="5">
        <f>ROUND(F59*G59,2)</f>
        <v/>
      </c>
    </row>
    <row r="60" ht="30" customHeight="1">
      <c r="A60" s="16" t="inlineStr">
        <is>
          <t>Doğramacılık işleri (Demir, Alüminyum, PVC, Kompozit)</t>
        </is>
      </c>
      <c r="B60" s="17" t="inlineStr">
        <is>
          <t>Kümes B Blok</t>
        </is>
      </c>
      <c r="C60" s="18" t="inlineStr">
        <is>
          <t>TKDK-0151</t>
        </is>
      </c>
      <c r="D60" s="16" t="inlineStr">
        <is>
          <t>5 cm poliüretan dolgulu (üst 0,50 mm düz, alt 0,40 mm düz) fabrikasyon rulo boyama sistemi ile boyanmış galvaniz levhalar ile ısı yalıtımlı kapı yapılması</t>
        </is>
      </c>
      <c r="E60" s="19" t="inlineStr">
        <is>
          <t>m²</t>
        </is>
      </c>
      <c r="F60" s="20" t="n">
        <v>13.4</v>
      </c>
      <c r="G60" s="5" t="n">
        <v>870.14</v>
      </c>
      <c r="H60" s="5">
        <f>ROUND(F60*G60,2)</f>
        <v/>
      </c>
    </row>
    <row r="61" ht="30" customHeight="1">
      <c r="A61" s="16" t="inlineStr">
        <is>
          <t>Doğramacılık işleri (Demir, Alüminyum, PVC, Kompozit)</t>
        </is>
      </c>
      <c r="B61" s="17" t="inlineStr">
        <is>
          <t>Kümes B Blok</t>
        </is>
      </c>
      <c r="C61" s="18" t="inlineStr">
        <is>
          <t>TKDK-0175</t>
        </is>
      </c>
      <c r="D61" s="16" t="inlineStr">
        <is>
          <t>PVC kaplamalı, iki yüzü odun lifinden yapılmış levhalarla (MDF) presli, kraft dolgulu iç kapı kanadı yapılması, yerinde takılması</t>
        </is>
      </c>
      <c r="E61" s="19" t="inlineStr">
        <is>
          <t>m²</t>
        </is>
      </c>
      <c r="F61" s="20" t="n">
        <v>5.67</v>
      </c>
      <c r="G61" s="5" t="n">
        <v>2687.73</v>
      </c>
      <c r="H61" s="5">
        <f>ROUND(F61*G61,2)</f>
        <v/>
      </c>
    </row>
    <row r="62" ht="2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15.550.1002</t>
        </is>
      </c>
      <c r="D62" s="16" t="inlineStr">
        <is>
          <t>1,50 mm kalınlığında sıcak haddelenmiş sacdan bükme kapı kasası yapılması ve yerine konulması</t>
        </is>
      </c>
      <c r="E62" s="19" t="inlineStr">
        <is>
          <t>kg</t>
        </is>
      </c>
      <c r="F62" s="20" t="n">
        <v>54.315</v>
      </c>
      <c r="G62" s="5" t="n">
        <v>183.57</v>
      </c>
      <c r="H62" s="5">
        <f>ROUND(F62*G62,2)</f>
        <v/>
      </c>
    </row>
    <row r="63" ht="14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</t>
        </is>
      </c>
      <c r="E64" s="19" t="inlineStr">
        <is>
          <t>m²</t>
        </is>
      </c>
      <c r="F64" s="20" t="n">
        <v>647.76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 yapılması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 yapılması</t>
        </is>
      </c>
      <c r="E66" s="19" t="inlineStr">
        <is>
          <t>m²</t>
        </is>
      </c>
      <c r="F66" s="20" t="n">
        <v>612.76</v>
      </c>
      <c r="G66" s="5" t="n">
        <v>248.75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20" customHeight="1">
      <c r="A68" s="16" t="inlineStr">
        <is>
          <t>Kanalizasyon işleri</t>
        </is>
      </c>
      <c r="B68" s="17" t="inlineStr">
        <is>
          <t>Kümes B Blok</t>
        </is>
      </c>
      <c r="C68" s="18" t="inlineStr">
        <is>
          <t>43.527.1001</t>
        </is>
      </c>
      <c r="D68" s="16" t="inlineStr">
        <is>
          <t>Çapı 150 mm HDPE koruge boru döşenmesi (SN 8, lastik conta ve boru bedeli dahil)</t>
        </is>
      </c>
      <c r="E68" s="19" t="inlineStr">
        <is>
          <t>m</t>
        </is>
      </c>
      <c r="F68" s="20" t="n">
        <v>25</v>
      </c>
      <c r="G68" s="5" t="n">
        <v>330.7</v>
      </c>
      <c r="H68" s="5">
        <f>ROUND(F68*G68,2)</f>
        <v/>
      </c>
    </row>
    <row r="69" ht="20" customHeight="1">
      <c r="A69" s="16" t="inlineStr">
        <is>
          <t>Elektrik tesisatı ve aydınlatma</t>
        </is>
      </c>
      <c r="B69" s="17" t="inlineStr">
        <is>
          <t>Kümes B Blok</t>
        </is>
      </c>
      <c r="C69" s="18" t="inlineStr">
        <is>
          <t>35.100.2105</t>
        </is>
      </c>
      <c r="D69" s="16" t="inlineStr">
        <is>
          <t>Kümes dağıtım panosu (sıva üstü galvanizli sac tablo, 0,40-0,50 m²) (%25 müteahhit kârı dahil)</t>
        </is>
      </c>
      <c r="E69" s="19" t="inlineStr">
        <is>
          <t>ad</t>
        </is>
      </c>
      <c r="F69" s="20" t="n">
        <v>1</v>
      </c>
      <c r="G69" s="5" t="n">
        <v>7084.16</v>
      </c>
      <c r="H69" s="5">
        <f>ROUND(F69*G69,2)</f>
        <v/>
      </c>
    </row>
    <row r="70" ht="20" customHeight="1">
      <c r="A70" s="16" t="inlineStr">
        <is>
          <t>Elektrik tesisatı ve aydınlatma</t>
        </is>
      </c>
      <c r="B70" s="17" t="inlineStr">
        <is>
          <t>Kümes B Blok</t>
        </is>
      </c>
      <c r="C70" s="18" t="inlineStr">
        <is>
          <t>35.110.1102</t>
        </is>
      </c>
      <c r="D70" s="16" t="inlineStr">
        <is>
          <t>Termik-manyetik kompakt şalter 3x100 A, Icu 35 kA — kümes besleme (%25 müteahhit kârı dahil)</t>
        </is>
      </c>
      <c r="E70" s="19" t="inlineStr">
        <is>
          <t>ad</t>
        </is>
      </c>
      <c r="F70" s="20" t="n">
        <v>1</v>
      </c>
      <c r="G70" s="5" t="n">
        <v>3528.05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35.115.1003</t>
        </is>
      </c>
      <c r="D71" s="16" t="inlineStr">
        <is>
          <t>Kaçak akım koruma şalteri 2x63 A, 30 mA (%25 müteahhit kârı dahil)</t>
        </is>
      </c>
      <c r="E71" s="19" t="inlineStr">
        <is>
          <t>ad</t>
        </is>
      </c>
      <c r="F71" s="20" t="n">
        <v>2</v>
      </c>
      <c r="G71" s="5" t="n">
        <v>1079.2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35.140.3104</t>
        </is>
      </c>
      <c r="D72" s="16" t="inlineStr">
        <is>
          <t>YVV (NYY) 1 kV yeraltı kablosu ile kolon hattı tesisi — 1x25 mm² (%25 müteahhit kârı dahil)</t>
        </is>
      </c>
      <c r="E72" s="19" t="inlineStr">
        <is>
          <t>m</t>
        </is>
      </c>
      <c r="F72" s="20" t="n">
        <v>300</v>
      </c>
      <c r="G72" s="5" t="n">
        <v>200</v>
      </c>
      <c r="H72" s="5">
        <f>ROUND(F72*G72,2)</f>
        <v/>
      </c>
    </row>
    <row r="73" ht="3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35.170.1602</t>
        </is>
      </c>
      <c r="D73" s="16" t="inlineStr">
        <is>
          <t>LED sıva üstü etanj armatür (polikarbon gövdeli), ışık akısı en az 2700 lm — kümes genel aydınlatması (%25 müteahhit kârı dahil)</t>
        </is>
      </c>
      <c r="E73" s="19" t="inlineStr">
        <is>
          <t>ad</t>
        </is>
      </c>
      <c r="F73" s="20" t="n">
        <v>30</v>
      </c>
      <c r="G73" s="5" t="n">
        <v>1996.08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35.170.1601</t>
        </is>
      </c>
      <c r="D74" s="16" t="inlineStr">
        <is>
          <t>LED sıva üstü etanj armatür (polikarbon gövdeli), ışık akısı en az 1800 lm — servis bölümü (%25 müteahhit kârı dahil)</t>
        </is>
      </c>
      <c r="E74" s="19" t="inlineStr">
        <is>
          <t>ad</t>
        </is>
      </c>
      <c r="F74" s="20" t="n">
        <v>2</v>
      </c>
      <c r="G74" s="5" t="n">
        <v>1370.96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35.160.6102</t>
        </is>
      </c>
      <c r="D75" s="16" t="inlineStr">
        <is>
          <t>Boş boru döşemesi — 25-32 mm PVC boru (%25 müteahhit kârı dahil)</t>
        </is>
      </c>
      <c r="E75" s="19" t="inlineStr">
        <is>
          <t>m</t>
        </is>
      </c>
      <c r="F75" s="20" t="n">
        <v>500</v>
      </c>
      <c r="G75" s="5" t="n">
        <v>29.06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35.150.1402</t>
        </is>
      </c>
      <c r="D76" s="16" t="inlineStr">
        <is>
          <t>Halojensiz H07Z tipi iletken 1x2,5 mm² ile tesisat (%25 müteahhit kârı dahil)</t>
        </is>
      </c>
      <c r="E76" s="19" t="inlineStr">
        <is>
          <t>m</t>
        </is>
      </c>
      <c r="F76" s="20" t="n">
        <v>2000</v>
      </c>
      <c r="G76" s="5" t="n">
        <v>19.5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35.150.1401</t>
        </is>
      </c>
      <c r="D77" s="16" t="inlineStr">
        <is>
          <t>Halojensiz H07Z tipi iletken 1x1,5 mm² ile kumanda tesisatı (%25 müteahhit kârı dahil)</t>
        </is>
      </c>
      <c r="E77" s="19" t="inlineStr">
        <is>
          <t>m</t>
        </is>
      </c>
      <c r="F77" s="20" t="n">
        <v>600</v>
      </c>
      <c r="G77" s="5" t="n">
        <v>12.22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35.140.1105</t>
        </is>
      </c>
      <c r="D78" s="16" t="inlineStr">
        <is>
          <t>Çıplak bakır tel 25 mm² — eşpotansiyel bara ve topraklama iletkeni (%25 müteahhit kârı dahil)</t>
        </is>
      </c>
      <c r="E78" s="19" t="inlineStr">
        <is>
          <t>m</t>
        </is>
      </c>
      <c r="F78" s="20" t="n">
        <v>100</v>
      </c>
      <c r="G78" s="5" t="n">
        <v>157.05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35.750.3002</t>
        </is>
      </c>
      <c r="D79" s="16" t="inlineStr">
        <is>
          <t>Bina ihata iletkeni tesisatı — 30x3,5 mm galvanizli çelik lama (temel topraklaması) (%25 müteahhit kârı dahil)</t>
        </is>
      </c>
      <c r="E79" s="19" t="inlineStr">
        <is>
          <t>m</t>
        </is>
      </c>
      <c r="F79" s="20" t="n">
        <v>186</v>
      </c>
      <c r="G79" s="5" t="n">
        <v>115.96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35.750.1502</t>
        </is>
      </c>
      <c r="D80" s="16" t="inlineStr">
        <is>
          <t>Aktif yakalama ucu, ortalama uyarım yolu DL = 30-40 m (%25 müteahhit kârı dahil)</t>
        </is>
      </c>
      <c r="E80" s="19" t="inlineStr">
        <is>
          <t>ad</t>
        </is>
      </c>
      <c r="F80" s="20" t="n">
        <v>1</v>
      </c>
      <c r="G80" s="5" t="n">
        <v>15595.61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35.750.2001</t>
        </is>
      </c>
      <c r="D81" s="16" t="inlineStr">
        <is>
          <t>Çatı ihata ve indirme iletkeni tesisatı — 50 mm² elektrolitik bakır tel (%25 müteahhit kârı dahil)</t>
        </is>
      </c>
      <c r="E81" s="19" t="inlineStr">
        <is>
          <t>m</t>
        </is>
      </c>
      <c r="F81" s="20" t="n">
        <v>16</v>
      </c>
      <c r="G81" s="5" t="n">
        <v>426.72</v>
      </c>
      <c r="H81" s="5">
        <f>ROUND(F81*G81,2)</f>
        <v/>
      </c>
    </row>
    <row r="82" ht="3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35.740.1106</t>
        </is>
      </c>
      <c r="D82" s="16" t="inlineStr">
        <is>
          <t>Dizel elektrojen grubu (jeneratör) 63 kVA / 50 kW — dizel motoru su veya hava ile soğuyan cinsten, 1500 d/dak (%25 müteahhit kârı dahil)</t>
        </is>
      </c>
      <c r="E82" s="19" t="inlineStr">
        <is>
          <t>ad</t>
        </is>
      </c>
      <c r="F82" s="20" t="n">
        <v>1</v>
      </c>
      <c r="G82" s="5" t="n">
        <v>467349.29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35.740.5406</t>
        </is>
      </c>
      <c r="D83" s="16" t="inlineStr">
        <is>
          <t>Jeneratör ses izolasyon kabini — 63 kVA (%25 müteahhit kârı dahil)</t>
        </is>
      </c>
      <c r="E83" s="19" t="inlineStr">
        <is>
          <t>ad</t>
        </is>
      </c>
      <c r="F83" s="20" t="n">
        <v>1</v>
      </c>
      <c r="G83" s="5" t="n">
        <v>79653.55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35.190.1100</t>
        </is>
      </c>
      <c r="D84" s="16" t="inlineStr">
        <is>
          <t>Kablo tava sistemleri — 200x60x1,0 mm sıcak daldırma galvanizli perfore kablo tavası (malzeme) (%25 müteahhit kârı dahil)</t>
        </is>
      </c>
      <c r="E84" s="19" t="inlineStr">
        <is>
          <t>kg</t>
        </is>
      </c>
      <c r="F84" s="20" t="n">
        <v>502</v>
      </c>
      <c r="G84" s="5" t="n">
        <v>199.42</v>
      </c>
      <c r="H84" s="5">
        <f>ROUND(F84*G84,2)</f>
        <v/>
      </c>
    </row>
    <row r="85" ht="3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35.190.1101</t>
        </is>
      </c>
      <c r="D85" s="16" t="inlineStr">
        <is>
          <t>Kablo tava sistemleri kapak sacı — 35.190.1100 pozuna uygun özellikte, 1,0 mm sıcak daldırma galvanizli (malzeme) (%25 müteahhit kârı dahil)</t>
        </is>
      </c>
      <c r="E85" s="19" t="inlineStr">
        <is>
          <t>kg</t>
        </is>
      </c>
      <c r="F85" s="20" t="n">
        <v>361.2</v>
      </c>
      <c r="G85" s="5" t="n">
        <v>162.37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35.190.1304</t>
        </is>
      </c>
      <c r="D86" s="16" t="inlineStr">
        <is>
          <t>Sıva üstü PVC kablo kanalı — en az 100 x 35 mm, üç bölmeli (%25 müteahhit kârı dahil)</t>
        </is>
      </c>
      <c r="E86" s="19" t="inlineStr">
        <is>
          <t>m</t>
        </is>
      </c>
      <c r="F86" s="20" t="n">
        <v>123</v>
      </c>
      <c r="G86" s="5" t="n">
        <v>233.28</v>
      </c>
      <c r="H86" s="5">
        <f>ROUND(F86*G86,2)</f>
        <v/>
      </c>
    </row>
    <row r="87">
      <c r="A87" s="21" t="n"/>
      <c r="B87" s="21" t="n"/>
      <c r="C87" s="21" t="n"/>
      <c r="D87" s="22" t="inlineStr">
        <is>
          <t>A3.1.1 YAPIM İŞLERİ TOPLAMI (KDV hariç)</t>
        </is>
      </c>
      <c r="E87" s="21" t="n"/>
      <c r="F87" s="21" t="n"/>
      <c r="G87" s="21" t="n"/>
      <c r="H87" s="9">
        <f>SUM(H5:H86)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Otomatik spiral yemlik sistemi (depo motor grubu ve kaldırma dâhil) — 3 hat, 243 m yemlik hattı,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250062.03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HZC-WTR-005</t>
        </is>
      </c>
      <c r="D6" s="16" t="inlineStr">
        <is>
          <t>Otomatik nipel suluk sistemi (regülatör, hat sonu ve kaldırma dâhil) — Kümes başına 4 hat, toplam 312 m hat, 22 x 22 mm hat çapı, 1.560 metal 360° nipel suluk, 4 regülatör, 4 hat sonu, 0,75 kW çift redüktörlü frenli otomatik kaldırma</t>
        </is>
      </c>
      <c r="E6" s="19" t="n">
        <v>2</v>
      </c>
      <c r="F6" s="5" t="n">
        <v>145353.3</v>
      </c>
      <c r="G6" s="5">
        <f>ROUND(E6*F6,2)</f>
        <v/>
      </c>
    </row>
    <row r="7" ht="3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Havalandırma fanları — Kümes başına 4 adet tünel fanı,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HZC-WNT-024</t>
        </is>
      </c>
      <c r="D8" s="16" t="inlineStr">
        <is>
          <t>Soğutma petekleri ve kapatma sistemi — Tüplü, dahili devridaimli; 15 cm kalınlık, 150 cm yükseklik, kümes başına 2 x 15 m (45 m² ped alanı), PVC çerçeve, XPS petek kapakları, 2 aktüatör, 2 adet 0,50 kW su pompası</t>
        </is>
      </c>
      <c r="E8" s="19" t="n">
        <v>2</v>
      </c>
      <c r="F8" s="5" t="n">
        <v>269272.63</v>
      </c>
      <c r="G8" s="5">
        <f>ROUND(E8*F8,2)</f>
        <v/>
      </c>
    </row>
    <row r="9" ht="20" customHeight="1">
      <c r="A9" s="17" t="inlineStr">
        <is>
          <t>Makine ve ekipman alımı</t>
        </is>
      </c>
      <c r="B9" s="19" t="n">
        <v>5</v>
      </c>
      <c r="C9" s="19" t="inlineStr">
        <is>
          <t>HZC-WNT-001</t>
        </is>
      </c>
      <c r="D9" s="16" t="inlineStr">
        <is>
          <t>Hava klape sistemi (açma-kapama hattı dâhil) — Kümes başına 30 adet 26 x 56 cm izolasyonlu plastik klape, 2 aktüatörlü açma-kapama, 161 m hat</t>
        </is>
      </c>
      <c r="E9" s="19" t="n">
        <v>2</v>
      </c>
      <c r="F9" s="5" t="n">
        <v>40581.3</v>
      </c>
      <c r="G9" s="5">
        <f>ROUND(E9*F9,2)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9" t="inlineStr">
        <is>
          <t>HZC-SLO-004</t>
        </is>
      </c>
      <c r="D10" s="16" t="inlineStr">
        <is>
          <t>Silo ve aktarma sistemi — 17,67 ton — Kümes başına 1 adet galvaniz kaplama sac silo, helezonlu merdiven, 0,75 kW yem nakil motoru, 22 m PVC nakil hattı</t>
        </is>
      </c>
      <c r="E10" s="19" t="n">
        <v>2</v>
      </c>
      <c r="F10" s="5" t="n">
        <v>172996.93</v>
      </c>
      <c r="G10" s="5">
        <f>ROUND(E10*F10,2)</f>
        <v/>
      </c>
    </row>
    <row r="11" ht="30" customHeight="1">
      <c r="A11" s="17" t="inlineStr">
        <is>
          <t>Makine ve ekipman alımı</t>
        </is>
      </c>
      <c r="B11" s="19" t="n">
        <v>7</v>
      </c>
      <c r="C11" s="19" t="inlineStr">
        <is>
          <t>HZC-HEA-004</t>
        </is>
      </c>
      <c r="D11" s="16" t="inlineStr">
        <is>
          <t>Isıtma sistemi — 350.000 kcal/h — Kümes başına 1 adet katı yakıtlı ısıtma kazanı, brandalı model, 171 m hava kanalı; en az 1.700 m² ısıtma alanı, 5,5 kW fan motoru, 21.000 m³/h basma, üç geçişli kazan</t>
        </is>
      </c>
      <c r="E11" s="19" t="n">
        <v>2</v>
      </c>
      <c r="F11" s="5" t="n">
        <v>472211.18</v>
      </c>
      <c r="G11" s="5">
        <f>ROUND(E11*F11,2)</f>
        <v/>
      </c>
    </row>
    <row r="12" ht="30" customHeight="1">
      <c r="A12" s="17" t="inlineStr">
        <is>
          <t>Makine ve ekipman alımı</t>
        </is>
      </c>
      <c r="B12" s="19" t="n">
        <v>8</v>
      </c>
      <c r="C12" s="19" t="inlineStr">
        <is>
          <t>HZC-COM-004</t>
        </is>
      </c>
      <c r="D12" s="16" t="inlineStr">
        <is>
          <t>Kümes otomasyonu ve bilgisayar sistemi — HZC-70 işlemcili pano; 5 ısı, 1 nem, 1 basınç sensörü, ek alarm sensörü, sensör kablolamaları, uzaktan erişim, PLC kontrol, raporlama ve analiz</t>
        </is>
      </c>
      <c r="E12" s="19" t="n">
        <v>2</v>
      </c>
      <c r="F12" s="5" t="n">
        <v>239684.38</v>
      </c>
      <c r="G12" s="5">
        <f>ROUND(E12*F12,2)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9" t="inlineStr">
        <is>
          <t>—</t>
        </is>
      </c>
      <c r="D13" s="16" t="inlineStr">
        <is>
          <t>İşçilik ve nakliye — Kümes montajı ve nakliye bedelleri</t>
        </is>
      </c>
      <c r="E13" s="19" t="n">
        <v>2</v>
      </c>
      <c r="F13" s="5" t="n">
        <v>225000</v>
      </c>
      <c r="G13" s="5">
        <f>ROUND(E13*F13,2)</f>
        <v/>
      </c>
    </row>
    <row r="14">
      <c r="A14" s="21" t="n"/>
      <c r="B14" s="21" t="n"/>
      <c r="C14" s="22" t="inlineStr">
        <is>
          <t>MAKİNE-EKİPMAN TOPLAMI (KDV hariç)</t>
        </is>
      </c>
      <c r="D14" s="21" t="n"/>
      <c r="E14" s="21" t="n"/>
      <c r="F14" s="21" t="n"/>
      <c r="G14" s="9">
        <f>SUM(G5:G13)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Yem Silosu Betonarme Kaideleri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8.41</v>
      </c>
      <c r="G22" s="5" t="n">
        <v>2960.45</v>
      </c>
      <c r="H22" s="5">
        <f>ROUND(F22*G22,2)</f>
        <v/>
      </c>
    </row>
    <row r="23" ht="14" customHeight="1">
      <c r="A23" s="16" t="inlineStr">
        <is>
          <t>Kalıp, yapı iskelesi işleri</t>
        </is>
      </c>
      <c r="B23" s="17" t="inlineStr">
        <is>
          <t>Gübre Çukuru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363.26</v>
      </c>
      <c r="G23" s="5" t="n">
        <v>863.8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Ölü Atma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127.2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Su Deposu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95.59999999999999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Yağmur Suyu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79.8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Yem Silosu Betonarme Kaideleri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11.6</v>
      </c>
      <c r="G27" s="5" t="n">
        <v>863.8</v>
      </c>
      <c r="H27" s="5">
        <f>ROUND(F27*G27,2)</f>
        <v/>
      </c>
    </row>
    <row r="28" ht="20" customHeight="1">
      <c r="A28" s="16" t="inlineStr">
        <is>
          <t>Demir-inşaat işleri</t>
        </is>
      </c>
      <c r="B28" s="17" t="inlineStr">
        <is>
          <t>Gübre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7.599</v>
      </c>
      <c r="G28" s="5" t="n">
        <v>39045.24</v>
      </c>
      <c r="H28" s="5">
        <f>ROUND(F28*G28,2)</f>
        <v/>
      </c>
    </row>
    <row r="29" ht="20" customHeight="1">
      <c r="A29" s="16" t="inlineStr">
        <is>
          <t>Demir-inşaat işleri</t>
        </is>
      </c>
      <c r="B29" s="17" t="inlineStr">
        <is>
          <t>Gübre Çukuru</t>
        </is>
      </c>
      <c r="C29" s="18" t="inlineStr">
        <is>
          <t>15.160.1004</t>
        </is>
      </c>
      <c r="D29" s="16" t="inlineStr">
        <is>
          <t>Ø 14 - Ø 28 mm nervürlü beton çelik çubuğu, çubukların kesilmesi, bükülmesi ve yerine konulması</t>
        </is>
      </c>
      <c r="E29" s="19" t="inlineStr">
        <is>
          <t>ton</t>
        </is>
      </c>
      <c r="F29" s="20" t="n">
        <v>0.5639999999999999</v>
      </c>
      <c r="G29" s="5" t="n">
        <v>37532.19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Ölü Atma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1.657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Yem Silosu Betonarme Kaideleri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0.757</v>
      </c>
      <c r="G31" s="5" t="n">
        <v>39045.24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Su Deposu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1.232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Yağmur Suyu Deposu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1.23</v>
      </c>
      <c r="G33" s="5" t="n">
        <v>39045.24</v>
      </c>
      <c r="H33" s="5">
        <f>ROUND(F33*G33,2)</f>
        <v/>
      </c>
    </row>
    <row r="34" ht="30" customHeight="1">
      <c r="A34" s="16" t="inlineStr">
        <is>
          <t>Çatı ve sundurma işleri</t>
        </is>
      </c>
      <c r="B34" s="17" t="inlineStr">
        <is>
          <t>Kümes A Blok</t>
        </is>
      </c>
      <c r="C34" s="18" t="inlineStr">
        <is>
          <t>TKDK-0042</t>
        </is>
      </c>
      <c r="D34" s="16" t="inlineStr">
        <is>
          <t>6 cm poliüretan dolgulu (üst min. 0,40 mm, alt min. 0,30 mm) boyalı galvanizli sac levhalar ile ısı yalıtımlı çatı kaplaması yapılması</t>
        </is>
      </c>
      <c r="E34" s="19" t="inlineStr">
        <is>
          <t>m²</t>
        </is>
      </c>
      <c r="F34" s="20" t="n">
        <v>1204.98</v>
      </c>
      <c r="G34" s="5" t="n">
        <v>1364.72</v>
      </c>
      <c r="H34" s="5">
        <f>ROUND(F34*G34,2)</f>
        <v/>
      </c>
    </row>
    <row r="35" ht="30" customHeight="1">
      <c r="A35" s="16" t="inlineStr">
        <is>
          <t>Çatı ve sundurma işleri</t>
        </is>
      </c>
      <c r="B35" s="17" t="inlineStr">
        <is>
          <t>Kümes B Blok</t>
        </is>
      </c>
      <c r="C35" s="18" t="inlineStr">
        <is>
          <t>TKDK-0042</t>
        </is>
      </c>
      <c r="D35" s="16" t="inlineStr">
        <is>
          <t>6 cm poliüretan dolgulu (üst min. 0,40 mm, alt min. 0,30 mm) boyalı galvanizli sac levhalar ile ısı yalıtımlı çatı kaplaması yapılması</t>
        </is>
      </c>
      <c r="E35" s="19" t="inlineStr">
        <is>
          <t>m²</t>
        </is>
      </c>
      <c r="F35" s="20" t="n">
        <v>1204.98</v>
      </c>
      <c r="G35" s="5" t="n">
        <v>1364.72</v>
      </c>
      <c r="H35" s="5">
        <f>ROUND(F35*G35,2)</f>
        <v/>
      </c>
    </row>
    <row r="36" ht="14" customHeight="1">
      <c r="A36" s="16" t="inlineStr">
        <is>
          <t>Çevre düzenlemesi ve çit işleri</t>
        </is>
      </c>
      <c r="B36" s="17" t="inlineStr">
        <is>
          <t>Çevre Düzenlemesi ve Saha Altyapısı</t>
        </is>
      </c>
      <c r="C36" s="18" t="inlineStr">
        <is>
          <t>TKDK-0091</t>
        </is>
      </c>
      <c r="D36" s="16" t="inlineStr">
        <is>
          <t>Betonarme direkli galvanizli tel örgü çit yapılması (Tip-1)</t>
        </is>
      </c>
      <c r="E36" s="19" t="inlineStr">
        <is>
          <t>m</t>
        </is>
      </c>
      <c r="F36" s="20" t="n">
        <v>361.04</v>
      </c>
      <c r="G36" s="5" t="n">
        <v>940.84</v>
      </c>
      <c r="H36" s="5">
        <f>ROUND(F36*G36,2)</f>
        <v/>
      </c>
    </row>
    <row r="37" ht="20" customHeight="1">
      <c r="A37" s="16" t="inlineStr">
        <is>
          <t>Kanalizasyon işleri</t>
        </is>
      </c>
      <c r="B37" s="17" t="inlineStr">
        <is>
          <t>Çevre Düzenlemesi ve Saha Altyapısı</t>
        </is>
      </c>
      <c r="C37" s="18" t="inlineStr">
        <is>
          <t>43.527.1001</t>
        </is>
      </c>
      <c r="D37" s="16" t="inlineStr">
        <is>
          <t>Çapı 150 mm HDPE koruge boru döşenmesi (SN 8, lastik conta ve boru bedeli dahil)</t>
        </is>
      </c>
      <c r="E37" s="19" t="inlineStr">
        <is>
          <t>m</t>
        </is>
      </c>
      <c r="F37" s="20" t="n">
        <v>50</v>
      </c>
      <c r="G37" s="5" t="n">
        <v>330.7</v>
      </c>
      <c r="H37" s="5">
        <f>ROUND(F37*G37,2)</f>
        <v/>
      </c>
    </row>
    <row r="38" ht="30" customHeight="1">
      <c r="A38" s="16" t="inlineStr">
        <is>
          <t>Betonarme işleri</t>
        </is>
      </c>
      <c r="B38" s="17" t="inlineStr">
        <is>
          <t>Çevre Düzenlemesi ve Saha Altyapısı</t>
        </is>
      </c>
      <c r="C38" s="18" t="inlineStr">
        <is>
          <t>15.150.1005</t>
        </is>
      </c>
      <c r="D38" s="16" t="inlineStr">
        <is>
          <t>Beton santralinde üretilen veya satın alınan ve beton pompasıyla basılan, C 25/30 basınç dayanım sınıfında, gri renkte, normal hazır beton dökülmesi (beton nakli dahil)</t>
        </is>
      </c>
      <c r="E38" s="19" t="inlineStr">
        <is>
          <t>m³</t>
        </is>
      </c>
      <c r="F38" s="20" t="n">
        <v>1.566</v>
      </c>
      <c r="G38" s="5" t="n">
        <v>2960.45</v>
      </c>
      <c r="H38" s="5">
        <f>ROUND(F38*G38,2)</f>
        <v/>
      </c>
    </row>
    <row r="39" ht="14" customHeight="1">
      <c r="A39" s="16" t="inlineStr">
        <is>
          <t>Kalıp, yapı iskelesi işleri</t>
        </is>
      </c>
      <c r="B39" s="17" t="inlineStr">
        <is>
          <t>Çevre Düzenlemesi ve Saha Altyapısı</t>
        </is>
      </c>
      <c r="C39" s="18" t="inlineStr">
        <is>
          <t>15.180.1003</t>
        </is>
      </c>
      <c r="D39" s="16" t="inlineStr">
        <is>
          <t>Plywood ile düz yüzeyli betonarme kalıbı yapılması</t>
        </is>
      </c>
      <c r="E39" s="19" t="inlineStr">
        <is>
          <t>m²</t>
        </is>
      </c>
      <c r="F39" s="20" t="n">
        <v>14.4</v>
      </c>
      <c r="G39" s="5" t="n">
        <v>863.8</v>
      </c>
      <c r="H39" s="5">
        <f>ROUND(F39*G39,2)</f>
        <v/>
      </c>
    </row>
    <row r="40" ht="20" customHeight="1">
      <c r="A40" s="16" t="inlineStr">
        <is>
          <t>Demir-inşaat işleri</t>
        </is>
      </c>
      <c r="B40" s="17" t="inlineStr">
        <is>
          <t>Çevre Düzenlemesi ve Saha Altyapısı</t>
        </is>
      </c>
      <c r="C40" s="18" t="inlineStr">
        <is>
          <t>15.160.1003</t>
        </is>
      </c>
      <c r="D40" s="16" t="inlineStr">
        <is>
          <t>Ø 8 - Ø 12 mm nervürlü beton çelik çubuğu, çubukların kesilmesi, bükülmesi ve yerine konulması</t>
        </is>
      </c>
      <c r="E40" s="19" t="inlineStr">
        <is>
          <t>ton</t>
        </is>
      </c>
      <c r="F40" s="20" t="n">
        <v>0.141</v>
      </c>
      <c r="G40" s="5" t="n">
        <v>39045.24</v>
      </c>
      <c r="H40" s="5">
        <f>ROUND(F40*G40,2)</f>
        <v/>
      </c>
    </row>
    <row r="41" ht="14" customHeight="1">
      <c r="A41" s="16" t="inlineStr">
        <is>
          <t>Kanalizasyon işleri</t>
        </is>
      </c>
      <c r="B41" s="17" t="inlineStr">
        <is>
          <t>Çevre Düzenlemesi ve Saha Altyapısı</t>
        </is>
      </c>
      <c r="C41" s="18" t="inlineStr">
        <is>
          <t>15.560.1003</t>
        </is>
      </c>
      <c r="D41" s="16" t="inlineStr">
        <is>
          <t>Betonarme kompozit rögar kapağı temini ve yerine konulması</t>
        </is>
      </c>
      <c r="E41" s="19" t="inlineStr">
        <is>
          <t>ad</t>
        </is>
      </c>
      <c r="F41" s="20" t="n">
        <v>4</v>
      </c>
      <c r="G41" s="5" t="n">
        <v>3744.3</v>
      </c>
      <c r="H41" s="5">
        <f>ROUND(F41*G41,2)</f>
        <v/>
      </c>
    </row>
    <row r="42" ht="30" customHeight="1">
      <c r="A42" s="16" t="inlineStr">
        <is>
          <t>Kanalizasyon işleri</t>
        </is>
      </c>
      <c r="B42" s="17" t="inlineStr">
        <is>
          <t>Foseptik</t>
        </is>
      </c>
      <c r="C42" s="18" t="inlineStr">
        <is>
          <t>ÖP-15</t>
        </is>
      </c>
      <c r="D42" s="16" t="inlineStr">
        <is>
          <t>Prefabrik polietilen sızdırmaz foseptik tankı — 6 m³, rotasyon kalıplı, temini, yerine konulması ve giriş-çıkış bağlantılarının yapılması</t>
        </is>
      </c>
      <c r="E42" s="19" t="inlineStr">
        <is>
          <t>ad</t>
        </is>
      </c>
      <c r="F42" s="20" t="n">
        <v>1</v>
      </c>
      <c r="G42" s="5" t="n">
        <v>76961.66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35.100.1104</t>
        </is>
      </c>
      <c r="D43" s="16" t="inlineStr">
        <is>
          <t>Ana dağıtım panosu (dikili tip galvanizli sac, en az 700 mm en, 400 mm derinlik) (%25 müteahhit kârı dahil)</t>
        </is>
      </c>
      <c r="E43" s="19" t="inlineStr">
        <is>
          <t>ad</t>
        </is>
      </c>
      <c r="F43" s="20" t="n">
        <v>1</v>
      </c>
      <c r="G43" s="5" t="n">
        <v>31602.33</v>
      </c>
      <c r="H43" s="5">
        <f>ROUND(F43*G43,2)</f>
        <v/>
      </c>
    </row>
    <row r="44" ht="20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35.100.2106</t>
        </is>
      </c>
      <c r="D44" s="16" t="inlineStr">
        <is>
          <t>Sayaç panosu (sıva üstü galvanizli sac tablo, 0,50-0,60 m²) (%25 müteahhit kârı dahil)</t>
        </is>
      </c>
      <c r="E44" s="19" t="inlineStr">
        <is>
          <t>ad</t>
        </is>
      </c>
      <c r="F44" s="20" t="n">
        <v>1</v>
      </c>
      <c r="G44" s="5" t="n">
        <v>8179.25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35.135.3201</t>
        </is>
      </c>
      <c r="D45" s="16" t="inlineStr">
        <is>
          <t>Üç fazlı zaman tarifeli elektronik aktif sayaç, en az 5(100) A, 3x230/400 V (%25 müteahhit kârı dahil)</t>
        </is>
      </c>
      <c r="E45" s="19" t="inlineStr">
        <is>
          <t>ad</t>
        </is>
      </c>
      <c r="F45" s="20" t="n">
        <v>1</v>
      </c>
      <c r="G45" s="5" t="n">
        <v>1504.15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35.110.1104</t>
        </is>
      </c>
      <c r="D46" s="16" t="inlineStr">
        <is>
          <t>Termik-manyetik kompakt şalter 3x160 A, Icu 35 kA — ana giriş (%25 müteahhit kârı dahil)</t>
        </is>
      </c>
      <c r="E46" s="19" t="inlineStr">
        <is>
          <t>ad</t>
        </is>
      </c>
      <c r="F46" s="20" t="n">
        <v>1</v>
      </c>
      <c r="G46" s="5" t="n">
        <v>4753.16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35.115.1003</t>
        </is>
      </c>
      <c r="D47" s="16" t="inlineStr">
        <is>
          <t>Kaçak akım koruma şalteri 2x63 A, 30 mA (%25 müteahhit kârı dahil)</t>
        </is>
      </c>
      <c r="E47" s="19" t="inlineStr">
        <is>
          <t>ad</t>
        </is>
      </c>
      <c r="F47" s="20" t="n">
        <v>2</v>
      </c>
      <c r="G47" s="5" t="n">
        <v>1079.2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35.140.3105</t>
        </is>
      </c>
      <c r="D48" s="16" t="inlineStr">
        <is>
          <t>YVV (NYY) 1 kV yeraltı kablosu ile besleme hattı tesisi — 1x35 mm² (%25 müteahhit kârı dahil)</t>
        </is>
      </c>
      <c r="E48" s="19" t="inlineStr">
        <is>
          <t>m</t>
        </is>
      </c>
      <c r="F48" s="20" t="n">
        <v>50</v>
      </c>
      <c r="G48" s="5" t="n">
        <v>277.15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35.140.3101</t>
        </is>
      </c>
      <c r="D49" s="16" t="inlineStr">
        <is>
          <t>YVV (NYY) 1 kV yeraltı kablosu ile besleme hattı tesisi — 1x6 mm² (%25 müteahhit kârı dahil)</t>
        </is>
      </c>
      <c r="E49" s="19" t="inlineStr">
        <is>
          <t>m</t>
        </is>
      </c>
      <c r="F49" s="20" t="n">
        <v>50</v>
      </c>
      <c r="G49" s="5" t="n">
        <v>51.25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35.172.1706</t>
        </is>
      </c>
      <c r="D50" s="16" t="inlineStr">
        <is>
          <t>Aydınlatma direği — taban çapı en az 80 mm, yükseklik en az 4,00 m (%25 müteahhit kârı dahil)</t>
        </is>
      </c>
      <c r="E50" s="19" t="inlineStr">
        <is>
          <t>ad</t>
        </is>
      </c>
      <c r="F50" s="20" t="n">
        <v>4</v>
      </c>
      <c r="G50" s="5" t="n">
        <v>6229.12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35.170.4002</t>
        </is>
      </c>
      <c r="D51" s="16" t="inlineStr">
        <is>
          <t>LED projektör, ışık akısı en az 5100 lm (%25 müteahhit kârı dahil)</t>
        </is>
      </c>
      <c r="E51" s="19" t="inlineStr">
        <is>
          <t>ad</t>
        </is>
      </c>
      <c r="F51" s="20" t="n">
        <v>4</v>
      </c>
      <c r="G51" s="5" t="n">
        <v>7632.76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Kümes A Blok</t>
        </is>
      </c>
      <c r="C52" s="18" t="inlineStr">
        <is>
          <t>35.120.2016</t>
        </is>
      </c>
      <c r="D52" s="16" t="inlineStr">
        <is>
          <t>Otomatik transfer şalteri 4 x 200 A (%25 müteahhit kârı dahil)</t>
        </is>
      </c>
      <c r="E52" s="19" t="inlineStr">
        <is>
          <t>ad</t>
        </is>
      </c>
      <c r="F52" s="20" t="n">
        <v>1</v>
      </c>
      <c r="G52" s="5" t="n">
        <v>38544.21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Kümes B Blok</t>
        </is>
      </c>
      <c r="C53" s="18" t="inlineStr">
        <is>
          <t>35.120.2016</t>
        </is>
      </c>
      <c r="D53" s="16" t="inlineStr">
        <is>
          <t>Otomatik transfer şalteri 4 x 200 A (%25 müteahhit kârı dahil)</t>
        </is>
      </c>
      <c r="E53" s="19" t="inlineStr">
        <is>
          <t>ad</t>
        </is>
      </c>
      <c r="F53" s="20" t="n">
        <v>1</v>
      </c>
      <c r="G53" s="5" t="n">
        <v>38544.21</v>
      </c>
      <c r="H53" s="5">
        <f>ROUND(F53*G53,2)</f>
        <v/>
      </c>
    </row>
    <row r="54" ht="18" customHeight="1">
      <c r="A54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5" ht="30" customHeight="1">
      <c r="A55" s="17" t="inlineStr">
        <is>
          <t>Sıhhi tesisat</t>
        </is>
      </c>
      <c r="B55" s="17" t="inlineStr">
        <is>
          <t>Kümes A Blok</t>
        </is>
      </c>
      <c r="C55" s="19" t="inlineStr">
        <is>
          <t>—</t>
        </is>
      </c>
      <c r="D55" s="16" t="inlineStr">
        <is>
          <t>Temiz su tesisatı — PPRC boru ve ek parçaları, 1/2" - 1 1/4" kolon ve kat tesisatı, küresel vanalar, boru askı ve kılıfları (kolon şemasına göre)</t>
        </is>
      </c>
      <c r="E55" s="19" t="inlineStr">
        <is>
          <t>tk</t>
        </is>
      </c>
      <c r="F55" s="20" t="n">
        <v>1</v>
      </c>
      <c r="G55" s="5" t="n">
        <v>38000</v>
      </c>
      <c r="H55" s="5">
        <f>ROUND(F55*G55,2)</f>
        <v/>
      </c>
    </row>
    <row r="56" ht="20" customHeight="1">
      <c r="A56" s="17" t="inlineStr">
        <is>
          <t>Sıhhi tesisat</t>
        </is>
      </c>
      <c r="B56" s="17" t="inlineStr">
        <is>
          <t>Kümes A Blok</t>
        </is>
      </c>
      <c r="C56" s="19" t="inlineStr">
        <is>
          <t>—</t>
        </is>
      </c>
      <c r="D56" s="16" t="inlineStr">
        <is>
          <t>Pis su tesisatı — Ø50 / Ø70 / Ø100 sert PVC boru, kolon ve yatay hatlar, temizleme kapakları, yer süzgeçleri</t>
        </is>
      </c>
      <c r="E56" s="19" t="inlineStr">
        <is>
          <t>tk</t>
        </is>
      </c>
      <c r="F56" s="20" t="n">
        <v>1</v>
      </c>
      <c r="G56" s="5" t="n">
        <v>27000</v>
      </c>
      <c r="H56" s="5">
        <f>ROUND(F56*G56,2)</f>
        <v/>
      </c>
    </row>
    <row r="57" ht="2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Termosifon — sıcak su üretimi (proje raporu: sıcak su hatları termosifon vasıtasıyla)</t>
        </is>
      </c>
      <c r="E57" s="19" t="inlineStr">
        <is>
          <t>ad</t>
        </is>
      </c>
      <c r="F57" s="20" t="n">
        <v>1</v>
      </c>
      <c r="G57" s="5" t="n">
        <v>13000</v>
      </c>
      <c r="H57" s="5">
        <f>ROUND(F57*G57,2)</f>
        <v/>
      </c>
    </row>
    <row r="58" ht="30" customHeight="1">
      <c r="A58" s="17" t="inlineStr">
        <is>
          <t>Sıhhi tesisat</t>
        </is>
      </c>
      <c r="B58" s="17" t="inlineStr">
        <is>
          <t>Kümes B Blok</t>
        </is>
      </c>
      <c r="C58" s="19" t="inlineStr">
        <is>
          <t>—</t>
        </is>
      </c>
      <c r="D58" s="16" t="inlineStr">
        <is>
          <t>Temiz su tesisatı — PPRC boru ve ek parçaları, 1/2" - 1 1/4" kolon ve kat tesisatı, küresel vanalar, boru askı ve kılıfları (kolon şemasına göre)</t>
        </is>
      </c>
      <c r="E58" s="19" t="inlineStr">
        <is>
          <t>tk</t>
        </is>
      </c>
      <c r="F58" s="20" t="n">
        <v>1</v>
      </c>
      <c r="G58" s="5" t="n">
        <v>38000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B Blok</t>
        </is>
      </c>
      <c r="C59" s="19" t="inlineStr">
        <is>
          <t>—</t>
        </is>
      </c>
      <c r="D59" s="16" t="inlineStr">
        <is>
          <t>Pis su tesisatı — Ø50 / Ø70 / Ø100 sert PVC boru, kolon ve yatay hatlar, temizleme kapakları, yer süzgeçleri</t>
        </is>
      </c>
      <c r="E59" s="19" t="inlineStr">
        <is>
          <t>tk</t>
        </is>
      </c>
      <c r="F59" s="20" t="n">
        <v>1</v>
      </c>
      <c r="G59" s="5" t="n">
        <v>27000</v>
      </c>
      <c r="H59" s="5">
        <f>ROUND(F59*G59,2)</f>
        <v/>
      </c>
    </row>
    <row r="60" ht="2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Termosifon — sıcak su üretimi (proje raporu: sıcak su hatları termosifon vasıtasıyla)</t>
        </is>
      </c>
      <c r="E60" s="19" t="inlineStr">
        <is>
          <t>ad</t>
        </is>
      </c>
      <c r="F60" s="20" t="n">
        <v>1</v>
      </c>
      <c r="G60" s="5" t="n">
        <v>13000</v>
      </c>
      <c r="H60" s="5">
        <f>ROUND(F60*G60,2)</f>
        <v/>
      </c>
    </row>
    <row r="61" ht="14" customHeight="1">
      <c r="A61" s="17" t="inlineStr">
        <is>
          <t>Sıhhi tesisat</t>
        </is>
      </c>
      <c r="B61" s="17" t="inlineStr">
        <is>
          <t>Çevre Düzenlemesi ve Saha Altyapısı</t>
        </is>
      </c>
      <c r="C61" s="19" t="inlineStr">
        <is>
          <t>—</t>
        </is>
      </c>
      <c r="D61" s="16" t="inlineStr">
        <is>
          <t>Şebeke su bağlantısı ve 2" su sayacı — temiz su girişi 80 YB</t>
        </is>
      </c>
      <c r="E61" s="19" t="inlineStr">
        <is>
          <t>ad</t>
        </is>
      </c>
      <c r="F61" s="20" t="n">
        <v>1</v>
      </c>
      <c r="G61" s="5" t="n">
        <v>26000</v>
      </c>
      <c r="H61" s="5">
        <f>ROUND(F61*G61,2)</f>
        <v/>
      </c>
    </row>
    <row r="62" ht="14" customHeight="1">
      <c r="A62" s="17" t="inlineStr">
        <is>
          <t>Sıhhi tesisat</t>
        </is>
      </c>
      <c r="B62" s="17" t="inlineStr">
        <is>
          <t>Çevre Düzenlemesi ve Saha Altyapısı</t>
        </is>
      </c>
      <c r="C62" s="19" t="inlineStr">
        <is>
          <t>—</t>
        </is>
      </c>
      <c r="D62" s="16" t="inlineStr">
        <is>
          <t>Hidrofor — Q = 2 m³/h, P = 33-38 mSS</t>
        </is>
      </c>
      <c r="E62" s="19" t="inlineStr">
        <is>
          <t>ad</t>
        </is>
      </c>
      <c r="F62" s="20" t="n">
        <v>1</v>
      </c>
      <c r="G62" s="5" t="n">
        <v>48000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Tesisat hidroforu — 0,3 m³/h, 30 mSS (3A)</t>
        </is>
      </c>
      <c r="E63" s="19" t="inlineStr">
        <is>
          <t>ad</t>
        </is>
      </c>
      <c r="F63" s="20" t="n">
        <v>1</v>
      </c>
      <c r="G63" s="5" t="n">
        <v>19000</v>
      </c>
      <c r="H63" s="5">
        <f>ROUND(F63*G63,2)</f>
        <v/>
      </c>
    </row>
    <row r="64">
      <c r="A64" s="21" t="n"/>
      <c r="B64" s="21" t="n"/>
      <c r="C64" s="21" t="n"/>
      <c r="D64" s="22" t="inlineStr">
        <is>
          <t>HİBE DIŞI YAPIM İŞLERİ TOPLAMI (KDV hariç)</t>
        </is>
      </c>
      <c r="E64" s="21" t="n"/>
      <c r="F64" s="21" t="n"/>
      <c r="G64" s="21" t="n"/>
      <c r="H64" s="9">
        <f>SUM(H5:H63)</f>
        <v/>
      </c>
    </row>
  </sheetData>
  <mergeCells count="2">
    <mergeCell ref="A54:H54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25371533.71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15720192.5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3784288.46</v>
      </c>
      <c r="C8" s="6">
        <f>B8/52.7585</f>
        <v/>
      </c>
      <c r="D8" s="17" t="inlineStr">
        <is>
          <t>Proforma fatura</t>
        </is>
      </c>
    </row>
    <row r="9">
      <c r="A9" s="24" t="inlineStr">
        <is>
          <t>UYGUN OLMAYAN HARCAMA — toplam</t>
        </is>
      </c>
      <c r="B9" s="9" t="n">
        <v>9651341.210000001</v>
      </c>
      <c r="C9" s="10">
        <f>B9/52.7585</f>
        <v/>
      </c>
      <c r="D9" s="25" t="inlineStr">
        <is>
          <t>Öz kaynak</t>
        </is>
      </c>
    </row>
    <row r="10">
      <c r="A10" s="16" t="inlineStr">
        <is>
          <t>IPARD III broyler uygun harcama üst limiti (375.000,00 Avro) — uygun harcama limitin altındadır</t>
        </is>
      </c>
      <c r="B10" s="5" t="n">
        <v>19784437.5</v>
      </c>
      <c r="C10" s="6">
        <f>B10/52.7585</f>
        <v/>
      </c>
      <c r="D10" s="17" t="inlineStr">
        <is>
          <t>Çağrı rehberi</t>
        </is>
      </c>
    </row>
    <row r="11">
      <c r="A11" s="16" t="inlineStr">
        <is>
          <t>KDV — IPARD'da uygun harcama değildir</t>
        </is>
      </c>
      <c r="B11" s="5" t="n">
        <v>5074306.74</v>
      </c>
      <c r="C11" s="6">
        <f>B11/52.7585</f>
        <v/>
      </c>
      <c r="D11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2026-09-02T11:20:34Z</dcterms:created>
  <dcterms:modified xmlns:dcterms="http://purl.org/dc/terms/" xmlns:xsi="http://www.w3.org/2001/XMLSchema-instance" xsi:type="dcterms:W3CDTF">2026-09-02T11:20:34Z</dcterms:modified>
</cp:coreProperties>
</file>