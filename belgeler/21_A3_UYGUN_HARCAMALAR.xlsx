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ROUND(F5*G5,2)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ROUND(F7*G7,2)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ROUND(F8*G8,2)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ROUND(F9*G9,2)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4.16</v>
      </c>
      <c r="G10" s="5" t="n">
        <v>39045.24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7.288</v>
      </c>
      <c r="G11" s="5" t="n">
        <v>37532.19</v>
      </c>
      <c r="H11" s="5">
        <f>ROUND(F11*G11,2)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</v>
      </c>
      <c r="G12" s="5" t="n">
        <v>36949.5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</v>
      </c>
      <c r="G13" s="5" t="n">
        <v>72192.55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ROUND(F16*G16,2)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ROUND(F17*G17,2)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ROUND(F18*G18,2)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ROUND(F19*G19,2)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ROUND(F20*G20,2)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ROUND(F21*G21,2)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ROUND(F22*G22,2)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ROUND(F23*G23,2)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ROUND(F24*G24,2)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ROUND(F25*G25,2)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ROUND(F26*G26,2)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ROUND(F27*G27,2)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ROUND(F28*G28,2)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ROUND(F29*G29,2)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ROUND(F30*G30,2)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ROUND(F31*G31,2)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ROUND(F33*G33,2)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ROUND(F37*G37,2)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ROUND(F38*G38,2)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ROUND(F39*G39,2)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ROUND(F40*G40,2)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ROUND(F42*G42,2)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ROUND(F45*G45,2)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ROUND(F46*G46,2)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ROUND(F47*G47,2)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31.429</v>
      </c>
      <c r="G48" s="5" t="n">
        <v>2750.45</v>
      </c>
      <c r="H48" s="5">
        <f>ROUND(F48*G48,2)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ROUND(F49*G49,2)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ROUND(F57*G57,2)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ROUND(F58*G58,2)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ROUND(F59*G59,2)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ROUND(F60*G60,2)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ROUND(F61*G61,2)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ROUND(F62*G62,2)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ROUND(F63*G63,2)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15.315.1001</t>
        </is>
      </c>
      <c r="D64" s="16" t="inlineStr">
        <is>
          <t>Ø70 sert PVC yağmur suyu iniş borusu temini ve yerine tesbiti</t>
        </is>
      </c>
      <c r="E64" s="19" t="inlineStr">
        <is>
          <t>m</t>
        </is>
      </c>
      <c r="F64" s="20" t="n">
        <v>51.2</v>
      </c>
      <c r="G64" s="5" t="n">
        <v>174.22</v>
      </c>
      <c r="H64" s="5">
        <f>ROUND(F64*G64,2)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ROUND(F65*G65,2)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ROUND(F66*G66,2)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ROUND(F67*G67,2)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ROUND(F68*G68,2)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ROUND(F70*G70,2)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ROUND(F71*G71,2)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ROUND(F72*G72,2)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7084.16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3528.05</v>
      </c>
      <c r="H75" s="5">
        <f>ROUND(F75*G75,2)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1079.2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200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1996.08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1370.96</v>
      </c>
      <c r="H79" s="5">
        <f>ROUND(F79*G79,2)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29.06</v>
      </c>
      <c r="H80" s="5">
        <f>ROUND(F80*G80,2)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19.5</v>
      </c>
      <c r="H81" s="5">
        <f>ROUND(F81*G81,2)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12.22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157.05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115.96</v>
      </c>
      <c r="H84" s="5">
        <f>ROUND(F84*G84,2)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15595.61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426.72</v>
      </c>
      <c r="H86" s="5">
        <f>ROUND(F86*G86,2)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467349.29</v>
      </c>
      <c r="H87" s="5">
        <f>ROUND(F87*G87,2)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79653.55</v>
      </c>
      <c r="H88" s="5">
        <f>ROUND(F88*G88,2)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ROUND(E5*F5,2)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ROUND(E7*F7,2)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ROUND(E13*F13,2)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ROUND(E14*F14,2)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ROUND(E15*F15,2)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ROUND(E16*F16,2)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ROUND(E17*F17,2)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ROUND(E18*F18,2)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ROUND(E19*F19,2)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ROUND(E20*F20,2)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20" customHeight="1">
      <c r="A56" s="16" t="inlineStr">
        <is>
          <t>Elektrik tesisatı ve aydınlatma</t>
        </is>
      </c>
      <c r="B56" s="17" t="inlineStr">
        <is>
          <t>Kümes A Blok</t>
        </is>
      </c>
      <c r="C56" s="18" t="inlineStr">
        <is>
          <t>35.190.1100</t>
        </is>
      </c>
      <c r="D56" s="16" t="inlineStr">
        <is>
          <t>Kablo tava sistemleri — 200x60x1,0 mm sıcak daldırma galvanizli perfore kablo tavası (malzeme) (%25 müteahhit kârı dahil)</t>
        </is>
      </c>
      <c r="E56" s="19" t="inlineStr">
        <is>
          <t>kg</t>
        </is>
      </c>
      <c r="F56" s="20" t="n">
        <v>502</v>
      </c>
      <c r="G56" s="5" t="n">
        <v>199.42</v>
      </c>
      <c r="H56" s="5">
        <f>ROUND(F56*G56,2)</f>
        <v/>
      </c>
    </row>
    <row r="57" ht="20" customHeight="1">
      <c r="A57" s="16" t="inlineStr">
        <is>
          <t>Elektrik tesisatı ve aydınlatma</t>
        </is>
      </c>
      <c r="B57" s="17" t="inlineStr">
        <is>
          <t>Kümes B Blok</t>
        </is>
      </c>
      <c r="C57" s="18" t="inlineStr">
        <is>
          <t>35.190.1100</t>
        </is>
      </c>
      <c r="D57" s="16" t="inlineStr">
        <is>
          <t>Kablo tava sistemleri — 200x60x1,0 mm sıcak daldırma galvanizli perfore kablo tavası (malzeme) (%25 müteahhit kârı dahil)</t>
        </is>
      </c>
      <c r="E57" s="19" t="inlineStr">
        <is>
          <t>kg</t>
        </is>
      </c>
      <c r="F57" s="20" t="n">
        <v>502</v>
      </c>
      <c r="G57" s="5" t="n">
        <v>199.42</v>
      </c>
      <c r="H57" s="5">
        <f>ROUND(F57*G57,2)</f>
        <v/>
      </c>
    </row>
    <row r="58" ht="30" customHeight="1">
      <c r="A58" s="16" t="inlineStr">
        <is>
          <t>Elektrik tesisatı ve aydınlatma</t>
        </is>
      </c>
      <c r="B58" s="17" t="inlineStr">
        <is>
          <t>Kümes A Blok</t>
        </is>
      </c>
      <c r="C58" s="19" t="inlineStr">
        <is>
          <t>35.190.1100 (montaj)</t>
        </is>
      </c>
      <c r="D58" s="16" t="inlineStr">
        <is>
          <t>Kablo tava sistemlerinin montajı — askı ve konsollarla tavana veya duvara tespiti; ek parça, konsol, askı tiji, vida ve somun bedelleri dâhildir, ayrıca ödenmez</t>
        </is>
      </c>
      <c r="E58" s="19" t="inlineStr">
        <is>
          <t>kg</t>
        </is>
      </c>
      <c r="F58" s="20" t="n">
        <v>502</v>
      </c>
      <c r="G58" s="5" t="n">
        <v>38.72</v>
      </c>
      <c r="H58" s="5">
        <f>ROUND(F58*G58,2)</f>
        <v/>
      </c>
    </row>
    <row r="59" ht="30" customHeight="1">
      <c r="A59" s="16" t="inlineStr">
        <is>
          <t>Elektrik tesisatı ve aydınlatma</t>
        </is>
      </c>
      <c r="B59" s="17" t="inlineStr">
        <is>
          <t>Kümes B Blok</t>
        </is>
      </c>
      <c r="C59" s="19" t="inlineStr">
        <is>
          <t>35.190.1100 (montaj)</t>
        </is>
      </c>
      <c r="D59" s="16" t="inlineStr">
        <is>
          <t>Kablo tava sistemlerinin montajı — askı ve konsollarla tavana veya duvara tespiti; ek parça, konsol, askı tiji, vida ve somun bedelleri dâhildir, ayrıca ödenmez</t>
        </is>
      </c>
      <c r="E59" s="19" t="inlineStr">
        <is>
          <t>kg</t>
        </is>
      </c>
      <c r="F59" s="20" t="n">
        <v>502</v>
      </c>
      <c r="G59" s="5" t="n">
        <v>38.72</v>
      </c>
      <c r="H59" s="5">
        <f>ROUND(F59*G59,2)</f>
        <v/>
      </c>
    </row>
    <row r="60" ht="30" customHeight="1">
      <c r="A60" s="16" t="inlineStr">
        <is>
          <t>Elektrik tesisatı ve aydınlatma</t>
        </is>
      </c>
      <c r="B60" s="17" t="inlineStr">
        <is>
          <t>Kümes A Blok</t>
        </is>
      </c>
      <c r="C60" s="18" t="inlineStr">
        <is>
          <t>35.190.1101</t>
        </is>
      </c>
      <c r="D60" s="16" t="inlineStr">
        <is>
          <t>Kablo tava sistemleri kapak sacı — 35.190.1100 pozuna uygun özellikte, 1,0 mm sıcak daldırma galvanizli (malzeme) (%25 müteahhit kârı dahil)</t>
        </is>
      </c>
      <c r="E60" s="19" t="inlineStr">
        <is>
          <t>kg</t>
        </is>
      </c>
      <c r="F60" s="20" t="n">
        <v>361.2</v>
      </c>
      <c r="G60" s="5" t="n">
        <v>162.37</v>
      </c>
      <c r="H60" s="5">
        <f>ROUND(F60*G60,2)</f>
        <v/>
      </c>
    </row>
    <row r="61" ht="30" customHeight="1">
      <c r="A61" s="16" t="inlineStr">
        <is>
          <t>Elektrik tesisatı ve aydınlatma</t>
        </is>
      </c>
      <c r="B61" s="17" t="inlineStr">
        <is>
          <t>Kümes B Blok</t>
        </is>
      </c>
      <c r="C61" s="18" t="inlineStr">
        <is>
          <t>35.190.1101</t>
        </is>
      </c>
      <c r="D61" s="16" t="inlineStr">
        <is>
          <t>Kablo tava sistemleri kapak sacı — 35.190.1100 pozuna uygun özellikte, 1,0 mm sıcak daldırma galvanizli (malzeme) (%25 müteahhit kârı dahil)</t>
        </is>
      </c>
      <c r="E61" s="19" t="inlineStr">
        <is>
          <t>kg</t>
        </is>
      </c>
      <c r="F61" s="20" t="n">
        <v>361.2</v>
      </c>
      <c r="G61" s="5" t="n">
        <v>162.37</v>
      </c>
      <c r="H61" s="5">
        <f>ROUND(F61*G61,2)</f>
        <v/>
      </c>
    </row>
    <row r="62" ht="30" customHeight="1">
      <c r="A62" s="16" t="inlineStr">
        <is>
          <t>Elektrik tesisatı ve aydınlatma</t>
        </is>
      </c>
      <c r="B62" s="17" t="inlineStr">
        <is>
          <t>Kümes A Blok</t>
        </is>
      </c>
      <c r="C62" s="19" t="inlineStr">
        <is>
          <t>35.190.1101 (montaj)</t>
        </is>
      </c>
      <c r="D62" s="16" t="inlineStr">
        <is>
          <t>Kablo tava sistemleri kapak sacının montajı — onaylı projesinde belirtilen kanalların kapatılması; her türlü işçilik ve malzeme dâhil, işler hâlde teslim</t>
        </is>
      </c>
      <c r="E62" s="19" t="inlineStr">
        <is>
          <t>kg</t>
        </is>
      </c>
      <c r="F62" s="20" t="n">
        <v>361.2</v>
      </c>
      <c r="G62" s="5" t="n">
        <v>21.3</v>
      </c>
      <c r="H62" s="5">
        <f>ROUND(F62*G62,2)</f>
        <v/>
      </c>
    </row>
    <row r="63" ht="30" customHeight="1">
      <c r="A63" s="16" t="inlineStr">
        <is>
          <t>Elektrik tesisatı ve aydınlatma</t>
        </is>
      </c>
      <c r="B63" s="17" t="inlineStr">
        <is>
          <t>Kümes B Blok</t>
        </is>
      </c>
      <c r="C63" s="19" t="inlineStr">
        <is>
          <t>35.190.1101 (montaj)</t>
        </is>
      </c>
      <c r="D63" s="16" t="inlineStr">
        <is>
          <t>Kablo tava sistemleri kapak sacının montajı — onaylı projesinde belirtilen kanalların kapatılması; her türlü işçilik ve malzeme dâhil, işler hâlde teslim</t>
        </is>
      </c>
      <c r="E63" s="19" t="inlineStr">
        <is>
          <t>kg</t>
        </is>
      </c>
      <c r="F63" s="20" t="n">
        <v>361.2</v>
      </c>
      <c r="G63" s="5" t="n">
        <v>21.3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24917080.37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15345291.86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5989828.51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9571788.51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4983416.07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2026-08-29T11:16:37Z</dcterms:created>
  <dcterms:modified xmlns:dcterms="http://purl.org/dc/terms/" xmlns:xsi="http://www.w3.org/2001/XMLSchema-instance" xsi:type="dcterms:W3CDTF">2026-08-29T11:16:37Z</dcterms:modified>
</cp:coreProperties>
</file>