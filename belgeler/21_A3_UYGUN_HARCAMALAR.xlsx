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Yapım'!H64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269272.63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172996.93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239684.38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30" customHeight="1">
      <c r="A42" s="16" t="inlineStr">
        <is>
          <t>Kanalizasyon işleri</t>
        </is>
      </c>
      <c r="B42" s="17" t="inlineStr">
        <is>
          <t>Foseptik</t>
        </is>
      </c>
      <c r="C42" s="18" t="inlineStr">
        <is>
          <t>ÖP-15</t>
        </is>
      </c>
      <c r="D42" s="16" t="inlineStr">
        <is>
          <t>Prefabrik polietilen sızdırmaz foseptik tankı — 6 m³, rotasyon kalıplı, temini, yerine konulması ve giriş-çıkış bağlantılarının yapılması</t>
        </is>
      </c>
      <c r="E42" s="19" t="inlineStr">
        <is>
          <t>ad</t>
        </is>
      </c>
      <c r="F42" s="20" t="n">
        <v>1</v>
      </c>
      <c r="G42" s="5" t="n">
        <v>76961.66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35.100.1104</t>
        </is>
      </c>
      <c r="D43" s="16" t="inlineStr">
        <is>
          <t>Ana dağıtım panosu (dikili tip galvanizli sac, en az 700 mm en, 400 mm derinlik) (%25 müteahhit kârı dahil)</t>
        </is>
      </c>
      <c r="E43" s="19" t="inlineStr">
        <is>
          <t>ad</t>
        </is>
      </c>
      <c r="F43" s="20" t="n">
        <v>1</v>
      </c>
      <c r="G43" s="5" t="n">
        <v>31602.33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35.100.2106</t>
        </is>
      </c>
      <c r="D44" s="16" t="inlineStr">
        <is>
          <t>Sayaç panosu (sıva üstü galvanizli sac tablo, 0,50-0,60 m²) (%25 müteahhit kârı dahil)</t>
        </is>
      </c>
      <c r="E44" s="19" t="inlineStr">
        <is>
          <t>ad</t>
        </is>
      </c>
      <c r="F44" s="20" t="n">
        <v>1</v>
      </c>
      <c r="G44" s="5" t="n">
        <v>8179.25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35.135.3201</t>
        </is>
      </c>
      <c r="D45" s="16" t="inlineStr">
        <is>
          <t>Üç fazlı zaman tarifeli elektronik aktif sayaç, en az 5(100) A, 3x230/400 V (%25 müteahhit kârı dahil)</t>
        </is>
      </c>
      <c r="E45" s="19" t="inlineStr">
        <is>
          <t>ad</t>
        </is>
      </c>
      <c r="F45" s="20" t="n">
        <v>1</v>
      </c>
      <c r="G45" s="5" t="n">
        <v>1504.15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35.110.1104</t>
        </is>
      </c>
      <c r="D46" s="16" t="inlineStr">
        <is>
          <t>Termik-manyetik kompakt şalter 3x160 A, Icu 35 kA — ana giriş (%25 müteahhit kârı dahil)</t>
        </is>
      </c>
      <c r="E46" s="19" t="inlineStr">
        <is>
          <t>ad</t>
        </is>
      </c>
      <c r="F46" s="20" t="n">
        <v>1</v>
      </c>
      <c r="G46" s="5" t="n">
        <v>4753.16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35.115.1003</t>
        </is>
      </c>
      <c r="D47" s="16" t="inlineStr">
        <is>
          <t>Kaçak akım koruma şalteri 2x63 A, 30 mA (%25 müteahhit kârı dahil)</t>
        </is>
      </c>
      <c r="E47" s="19" t="inlineStr">
        <is>
          <t>ad</t>
        </is>
      </c>
      <c r="F47" s="20" t="n">
        <v>2</v>
      </c>
      <c r="G47" s="5" t="n">
        <v>1079.2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35.140.3105</t>
        </is>
      </c>
      <c r="D48" s="16" t="inlineStr">
        <is>
          <t>YVV (NYY) 1 kV yeraltı kablosu ile besleme hattı tesisi — 1x35 mm² (%25 müteahhit kârı dahil)</t>
        </is>
      </c>
      <c r="E48" s="19" t="inlineStr">
        <is>
          <t>m</t>
        </is>
      </c>
      <c r="F48" s="20" t="n">
        <v>50</v>
      </c>
      <c r="G48" s="5" t="n">
        <v>277.15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35.140.3101</t>
        </is>
      </c>
      <c r="D49" s="16" t="inlineStr">
        <is>
          <t>YVV (NYY) 1 kV yeraltı kablosu ile besleme hattı tesisi — 1x6 mm² (%25 müteahhit kârı dahil)</t>
        </is>
      </c>
      <c r="E49" s="19" t="inlineStr">
        <is>
          <t>m</t>
        </is>
      </c>
      <c r="F49" s="20" t="n">
        <v>50</v>
      </c>
      <c r="G49" s="5" t="n">
        <v>51.25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35.172.1706</t>
        </is>
      </c>
      <c r="D50" s="16" t="inlineStr">
        <is>
          <t>Aydınlatma direği — taban çapı en az 80 mm, yükseklik en az 4,00 m (%25 müteahhit kârı dahil)</t>
        </is>
      </c>
      <c r="E50" s="19" t="inlineStr">
        <is>
          <t>ad</t>
        </is>
      </c>
      <c r="F50" s="20" t="n">
        <v>4</v>
      </c>
      <c r="G50" s="5" t="n">
        <v>6229.12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35.170.4002</t>
        </is>
      </c>
      <c r="D51" s="16" t="inlineStr">
        <is>
          <t>LED projektör, ışık akısı en az 5100 lm (%25 müteahhit kârı dahil)</t>
        </is>
      </c>
      <c r="E51" s="19" t="inlineStr">
        <is>
          <t>ad</t>
        </is>
      </c>
      <c r="F51" s="20" t="n">
        <v>4</v>
      </c>
      <c r="G51" s="5" t="n">
        <v>7632.76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A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Kümes B Blok</t>
        </is>
      </c>
      <c r="C53" s="18" t="inlineStr">
        <is>
          <t>35.120.2016</t>
        </is>
      </c>
      <c r="D53" s="16" t="inlineStr">
        <is>
          <t>Otomatik transfer şalteri 4 x 200 A (%25 müteahhit kârı dahil)</t>
        </is>
      </c>
      <c r="E53" s="19" t="inlineStr">
        <is>
          <t>ad</t>
        </is>
      </c>
      <c r="F53" s="20" t="n">
        <v>1</v>
      </c>
      <c r="G53" s="5" t="n">
        <v>38544.21</v>
      </c>
      <c r="H53" s="5">
        <f>ROUND(F53*G53,2)</f>
        <v/>
      </c>
    </row>
    <row r="54" ht="18" customHeight="1">
      <c r="A54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5" ht="30" customHeight="1">
      <c r="A55" s="17" t="inlineStr">
        <is>
          <t>Sıhhi tesisat</t>
        </is>
      </c>
      <c r="B55" s="17" t="inlineStr">
        <is>
          <t>Kümes A Blok</t>
        </is>
      </c>
      <c r="C55" s="19" t="inlineStr">
        <is>
          <t>—</t>
        </is>
      </c>
      <c r="D55" s="16" t="inlineStr">
        <is>
          <t>Temiz su tesisatı — PPRC boru ve ek parçaları, 1/2" - 1 1/4" kolon ve kat tesisatı, küresel vanalar, boru askı ve kılıfları (kolon şemasına göre)</t>
        </is>
      </c>
      <c r="E55" s="19" t="inlineStr">
        <is>
          <t>tk</t>
        </is>
      </c>
      <c r="F55" s="20" t="n">
        <v>1</v>
      </c>
      <c r="G55" s="5" t="n">
        <v>38000</v>
      </c>
      <c r="H55" s="5">
        <f>ROUND(F55*G55,2)</f>
        <v/>
      </c>
    </row>
    <row r="56" ht="20" customHeight="1">
      <c r="A56" s="17" t="inlineStr">
        <is>
          <t>Sıhhi tesisat</t>
        </is>
      </c>
      <c r="B56" s="17" t="inlineStr">
        <is>
          <t>Kümes A Blok</t>
        </is>
      </c>
      <c r="C56" s="19" t="inlineStr">
        <is>
          <t>—</t>
        </is>
      </c>
      <c r="D56" s="16" t="inlineStr">
        <is>
          <t>Pis su tesisatı — Ø50 / Ø70 / Ø100 sert PVC boru, kolon ve yatay hatlar, temizleme kapakları, yer süzgeçleri</t>
        </is>
      </c>
      <c r="E56" s="19" t="inlineStr">
        <is>
          <t>tk</t>
        </is>
      </c>
      <c r="F56" s="20" t="n">
        <v>1</v>
      </c>
      <c r="G56" s="5" t="n">
        <v>27000</v>
      </c>
      <c r="H56" s="5">
        <f>ROUND(F56*G56,2)</f>
        <v/>
      </c>
    </row>
    <row r="57" ht="2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Termosifon — sıcak su üretimi (proje raporu: sıcak su hatları termosifon vasıtasıyla)</t>
        </is>
      </c>
      <c r="E57" s="19" t="inlineStr">
        <is>
          <t>ad</t>
        </is>
      </c>
      <c r="F57" s="20" t="n">
        <v>1</v>
      </c>
      <c r="G57" s="5" t="n">
        <v>13000</v>
      </c>
      <c r="H57" s="5">
        <f>ROUND(F57*G57,2)</f>
        <v/>
      </c>
    </row>
    <row r="58" ht="30" customHeight="1">
      <c r="A58" s="17" t="inlineStr">
        <is>
          <t>Sıhhi tesisat</t>
        </is>
      </c>
      <c r="B58" s="17" t="inlineStr">
        <is>
          <t>Kümes B Blok</t>
        </is>
      </c>
      <c r="C58" s="19" t="inlineStr">
        <is>
          <t>—</t>
        </is>
      </c>
      <c r="D58" s="16" t="inlineStr">
        <is>
          <t>Temiz su tesisatı — PPRC boru ve ek parçaları, 1/2" - 1 1/4" kolon ve kat tesisatı, küresel vanalar, boru askı ve kılıfları (kolon şemasına göre)</t>
        </is>
      </c>
      <c r="E58" s="19" t="inlineStr">
        <is>
          <t>tk</t>
        </is>
      </c>
      <c r="F58" s="20" t="n">
        <v>1</v>
      </c>
      <c r="G58" s="5" t="n">
        <v>38000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B Blok</t>
        </is>
      </c>
      <c r="C59" s="19" t="inlineStr">
        <is>
          <t>—</t>
        </is>
      </c>
      <c r="D59" s="16" t="inlineStr">
        <is>
          <t>Pis su tesisatı — Ø50 / Ø70 / Ø100 sert PVC boru, kolon ve yatay hatlar, temizleme kapakları, yer süzgeçleri</t>
        </is>
      </c>
      <c r="E59" s="19" t="inlineStr">
        <is>
          <t>tk</t>
        </is>
      </c>
      <c r="F59" s="20" t="n">
        <v>1</v>
      </c>
      <c r="G59" s="5" t="n">
        <v>27000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14" customHeight="1">
      <c r="A61" s="17" t="inlineStr">
        <is>
          <t>Sıhhi tesisat</t>
        </is>
      </c>
      <c r="B61" s="17" t="inlineStr">
        <is>
          <t>Çevre Düzenlemesi ve Saha Altyapısı</t>
        </is>
      </c>
      <c r="C61" s="19" t="inlineStr">
        <is>
          <t>—</t>
        </is>
      </c>
      <c r="D61" s="16" t="inlineStr">
        <is>
          <t>Şebeke su bağlantısı ve 2" su sayacı — temiz su girişi 80 YB</t>
        </is>
      </c>
      <c r="E61" s="19" t="inlineStr">
        <is>
          <t>ad</t>
        </is>
      </c>
      <c r="F61" s="20" t="n">
        <v>1</v>
      </c>
      <c r="G61" s="5" t="n">
        <v>26000</v>
      </c>
      <c r="H61" s="5">
        <f>ROUND(F61*G61,2)</f>
        <v/>
      </c>
    </row>
    <row r="62" ht="14" customHeight="1">
      <c r="A62" s="17" t="inlineStr">
        <is>
          <t>Sıhhi tesisat</t>
        </is>
      </c>
      <c r="B62" s="17" t="inlineStr">
        <is>
          <t>Çevre Düzenlemesi ve Saha Altyapısı</t>
        </is>
      </c>
      <c r="C62" s="19" t="inlineStr">
        <is>
          <t>—</t>
        </is>
      </c>
      <c r="D62" s="16" t="inlineStr">
        <is>
          <t>Hidrofor — Q = 2 m³/h, P = 33-38 mSS</t>
        </is>
      </c>
      <c r="E62" s="19" t="inlineStr">
        <is>
          <t>ad</t>
        </is>
      </c>
      <c r="F62" s="20" t="n">
        <v>1</v>
      </c>
      <c r="G62" s="5" t="n">
        <v>48000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Tesisat hidroforu — 0,3 m³/h, 30 mSS (3A)</t>
        </is>
      </c>
      <c r="E63" s="19" t="inlineStr">
        <is>
          <t>ad</t>
        </is>
      </c>
      <c r="F63" s="20" t="n">
        <v>1</v>
      </c>
      <c r="G63" s="5" t="n">
        <v>19000</v>
      </c>
      <c r="H63" s="5">
        <f>ROUND(F63*G63,2)</f>
        <v/>
      </c>
    </row>
    <row r="64">
      <c r="A64" s="21" t="n"/>
      <c r="B64" s="21" t="n"/>
      <c r="C64" s="21" t="n"/>
      <c r="D64" s="22" t="inlineStr">
        <is>
          <t>HİBE DIŞI YAPIM İŞLERİ TOPLAMI (KDV hariç)</t>
        </is>
      </c>
      <c r="E64" s="21" t="n"/>
      <c r="F64" s="21" t="n"/>
      <c r="G64" s="21" t="n"/>
      <c r="H64" s="9">
        <f>SUM(H5:H63)</f>
        <v/>
      </c>
    </row>
  </sheetData>
  <mergeCells count="2">
    <mergeCell ref="A54:H54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25371533.71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3784288.46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9651341.210000001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5074306.74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2026-08-31T10:54:52Z</dcterms:created>
  <dcterms:modified xmlns:dcterms="http://purl.org/dc/terms/" xmlns:xsi="http://www.w3.org/2001/XMLSchema-instance" xsi:type="dcterms:W3CDTF">2026-08-31T10:54:52Z</dcterms:modified>
</cp:coreProperties>
</file>