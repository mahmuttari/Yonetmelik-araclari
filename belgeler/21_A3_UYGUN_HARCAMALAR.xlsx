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Yapım'!H53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Makine-Ekipman'!G14</f>
        <v/>
      </c>
      <c r="C13" s="6">
        <f>B13/52.7585</f>
        <v/>
      </c>
      <c r="D13" s="7" t="inlineStr">
        <is>
          <t>Proforma ile beyan</t>
        </is>
      </c>
    </row>
    <row r="14">
      <c r="A14" s="8" t="inlineStr">
        <is>
          <t>UYGUN OLMAYAN HARCAMA (öz kaynak)</t>
        </is>
      </c>
      <c r="B14" s="9">
        <f>B12+B13</f>
        <v/>
      </c>
      <c r="C14" s="10">
        <f>B14/52.7585</f>
        <v/>
      </c>
      <c r="D14" s="11" t="inlineStr">
        <is>
          <t>Tamamı öz kaynaktan karşılanır</t>
        </is>
      </c>
    </row>
    <row r="15">
      <c r="A15" s="12" t="inlineStr">
        <is>
          <t>TOPLAM YATIRIM (KDV hariç)</t>
        </is>
      </c>
      <c r="B15" s="13">
        <f>B9+B14</f>
        <v/>
      </c>
      <c r="C15" s="14">
        <f>B15/52.7585</f>
        <v/>
      </c>
      <c r="D15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Otomatik spiral yemlik sistemi (depo motor grubu ve kaldırma dâhil) — 3 hat, 243 m yemlik hattı,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250062.03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HZC-WTR-005</t>
        </is>
      </c>
      <c r="D6" s="16" t="inlineStr">
        <is>
          <t>Otomatik nipel suluk sistemi (regülatör, hat sonu ve kaldırma dâhil) — Kümes başına 4 hat, toplam 312 m hat, 22 x 22 mm hat çapı, 1.560 metal 360° nipel suluk, 4 regülatör, 4 hat sonu, 0,75 kW çift redüktörlü frenli otomatik kaldırma</t>
        </is>
      </c>
      <c r="E6" s="19" t="n">
        <v>2</v>
      </c>
      <c r="F6" s="5" t="n">
        <v>145353.32</v>
      </c>
      <c r="G6" s="5">
        <f>ROUND(E6*F6,2)</f>
        <v/>
      </c>
    </row>
    <row r="7" ht="3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Havalandırma fanları — Kümes başına 4 adet tünel fanı,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HZC-WNT-024</t>
        </is>
      </c>
      <c r="D8" s="16" t="inlineStr">
        <is>
          <t>Soğutma petekleri ve kapatma sistemi — Tüplü, dahili devridaimli; 15 cm kalınlık, 150 cm yükseklik, kümes başına 2 x 15 m (45 m² ped alanı), PVC çerçeve, XPS petek kapakları, 2 aktüatör, 2 adet 0,50 kW su pompası</t>
        </is>
      </c>
      <c r="E8" s="19" t="n">
        <v>2</v>
      </c>
      <c r="F8" s="5" t="n">
        <v>269272.64</v>
      </c>
      <c r="G8" s="5">
        <f>ROUND(E8*F8,2)</f>
        <v/>
      </c>
    </row>
    <row r="9" ht="20" customHeight="1">
      <c r="A9" s="17" t="inlineStr">
        <is>
          <t>Makine ve ekipman alımı</t>
        </is>
      </c>
      <c r="B9" s="19" t="n">
        <v>5</v>
      </c>
      <c r="C9" s="19" t="inlineStr">
        <is>
          <t>HZC-WNT-001</t>
        </is>
      </c>
      <c r="D9" s="16" t="inlineStr">
        <is>
          <t>Hava klape sistemi (açma-kapama hattı dâhil) — Kümes başına 30 adet 26 x 56 cm izolasyonlu plastik klape, 2 aktüatörlü açma-kapama, 161 m hat</t>
        </is>
      </c>
      <c r="E9" s="19" t="n">
        <v>2</v>
      </c>
      <c r="F9" s="5" t="n">
        <v>40581.3</v>
      </c>
      <c r="G9" s="5">
        <f>ROUND(E9*F9,2)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9" t="inlineStr">
        <is>
          <t>HZC-SLO-004</t>
        </is>
      </c>
      <c r="D10" s="16" t="inlineStr">
        <is>
          <t>Silo ve aktarma sistemi — 17,67 ton — Kümes başına 1 adet galvaniz kaplama sac silo, helezonlu merdiven, 0,75 kW yem nakil motoru, 22 m PVC nakil hattı</t>
        </is>
      </c>
      <c r="E10" s="19" t="n">
        <v>2</v>
      </c>
      <c r="F10" s="5" t="n">
        <v>172996.92</v>
      </c>
      <c r="G10" s="5">
        <f>ROUND(E10*F10,2)</f>
        <v/>
      </c>
    </row>
    <row r="11" ht="30" customHeight="1">
      <c r="A11" s="17" t="inlineStr">
        <is>
          <t>Makine ve ekipman alımı</t>
        </is>
      </c>
      <c r="B11" s="19" t="n">
        <v>7</v>
      </c>
      <c r="C11" s="19" t="inlineStr">
        <is>
          <t>HZC-HEA-004</t>
        </is>
      </c>
      <c r="D11" s="16" t="inlineStr">
        <is>
          <t>Isıtma sistemi — 350.000 kcal/h — Kümes başına 1 adet katı yakıtlı ısıtma kazanı, brandalı model, 171 m hava kanalı; en az 1.700 m² ısıtma alanı, 5,5 kW fan motoru, 21.000 m³/h basma, üç geçişli kazan</t>
        </is>
      </c>
      <c r="E11" s="19" t="n">
        <v>2</v>
      </c>
      <c r="F11" s="5" t="n">
        <v>472211.18</v>
      </c>
      <c r="G11" s="5">
        <f>ROUND(E11*F11,2)</f>
        <v/>
      </c>
    </row>
    <row r="12" ht="30" customHeight="1">
      <c r="A12" s="17" t="inlineStr">
        <is>
          <t>Makine ve ekipman alımı</t>
        </is>
      </c>
      <c r="B12" s="19" t="n">
        <v>8</v>
      </c>
      <c r="C12" s="19" t="inlineStr">
        <is>
          <t>HZC-COM-004</t>
        </is>
      </c>
      <c r="D12" s="16" t="inlineStr">
        <is>
          <t>Kümes otomasyonu ve bilgisayar sistemi — HZC-70 işlemcili pano; 5 ısı, 1 nem, 1 basınç sensörü, ek alarm sensörü, sensör kablolamaları, uzaktan erişim, PLC kontrol, raporlama ve analiz</t>
        </is>
      </c>
      <c r="E12" s="19" t="n">
        <v>2</v>
      </c>
      <c r="F12" s="5" t="n">
        <v>239684.37</v>
      </c>
      <c r="G12" s="5">
        <f>ROUND(E12*F12,2)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9" t="inlineStr">
        <is>
          <t>—</t>
        </is>
      </c>
      <c r="D13" s="16" t="inlineStr">
        <is>
          <t>İşçilik ve nakliye — Kümes montajı ve nakliye bedelleri</t>
        </is>
      </c>
      <c r="E13" s="19" t="n">
        <v>2</v>
      </c>
      <c r="F13" s="5" t="n">
        <v>225000</v>
      </c>
      <c r="G13" s="5">
        <f>ROUND(E13*F13,2)</f>
        <v/>
      </c>
    </row>
    <row r="14">
      <c r="A14" s="21" t="n"/>
      <c r="B14" s="21" t="n"/>
      <c r="C14" s="22" t="inlineStr">
        <is>
          <t>MAKİNE-EKİPMAN TOPLAMI (KDV hariç)</t>
        </is>
      </c>
      <c r="D14" s="21" t="n"/>
      <c r="E14" s="21" t="n"/>
      <c r="F14" s="21" t="n"/>
      <c r="G14" s="9">
        <f>SUM(G5:G13)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Bu sayfa 36 numaralı proforma ile ve TKDK Online Başvuru Sistemine girilen uygun olmayan yapım işleri listesiyle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Yem Silosu Betonarme Kaideleri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8.41</v>
      </c>
      <c r="G22" s="5" t="n">
        <v>2960.45</v>
      </c>
      <c r="H22" s="5">
        <f>ROUND(F22*G22,2)</f>
        <v/>
      </c>
    </row>
    <row r="23" ht="14" customHeight="1">
      <c r="A23" s="16" t="inlineStr">
        <is>
          <t>Kalıp, yapı iskelesi işleri</t>
        </is>
      </c>
      <c r="B23" s="17" t="inlineStr">
        <is>
          <t>Gübre Çukuru</t>
        </is>
      </c>
      <c r="C23" s="18" t="inlineStr">
        <is>
          <t>15.180.1003</t>
        </is>
      </c>
      <c r="D23" s="16" t="inlineStr">
        <is>
          <t>Plywood ile düz yüzeyli betonarme kalıbı yapılması</t>
        </is>
      </c>
      <c r="E23" s="19" t="inlineStr">
        <is>
          <t>m²</t>
        </is>
      </c>
      <c r="F23" s="20" t="n">
        <v>363.26</v>
      </c>
      <c r="G23" s="5" t="n">
        <v>863.8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Ölü Atma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127.2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Su Deposu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95.59999999999999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Yağmur Suyu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79.8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Yem Silosu Betonarme Kaideleri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11.6</v>
      </c>
      <c r="G27" s="5" t="n">
        <v>863.8</v>
      </c>
      <c r="H27" s="5">
        <f>ROUND(F27*G27,2)</f>
        <v/>
      </c>
    </row>
    <row r="28" ht="20" customHeight="1">
      <c r="A28" s="16" t="inlineStr">
        <is>
          <t>Demir-inşaat işleri</t>
        </is>
      </c>
      <c r="B28" s="17" t="inlineStr">
        <is>
          <t>Gübre Çukuru</t>
        </is>
      </c>
      <c r="C28" s="18" t="inlineStr">
        <is>
          <t>15.160.1003</t>
        </is>
      </c>
      <c r="D28" s="16" t="inlineStr">
        <is>
          <t>Ø 8 - Ø 12 mm nervürlü beton çelik çubuğu, çubukların kesilmesi, bükülmesi ve yerine konulması</t>
        </is>
      </c>
      <c r="E28" s="19" t="inlineStr">
        <is>
          <t>ton</t>
        </is>
      </c>
      <c r="F28" s="20" t="n">
        <v>7.599</v>
      </c>
      <c r="G28" s="5" t="n">
        <v>39045.24</v>
      </c>
      <c r="H28" s="5">
        <f>ROUND(F28*G28,2)</f>
        <v/>
      </c>
    </row>
    <row r="29" ht="20" customHeight="1">
      <c r="A29" s="16" t="inlineStr">
        <is>
          <t>Demir-inşaat işleri</t>
        </is>
      </c>
      <c r="B29" s="17" t="inlineStr">
        <is>
          <t>Gübre Çukuru</t>
        </is>
      </c>
      <c r="C29" s="18" t="inlineStr">
        <is>
          <t>15.160.1004</t>
        </is>
      </c>
      <c r="D29" s="16" t="inlineStr">
        <is>
          <t>Ø 14 - Ø 28 mm nervürlü beton çelik çubuğu, çubukların kesilmesi, bükülmesi ve yerine konulması</t>
        </is>
      </c>
      <c r="E29" s="19" t="inlineStr">
        <is>
          <t>ton</t>
        </is>
      </c>
      <c r="F29" s="20" t="n">
        <v>0.5639999999999999</v>
      </c>
      <c r="G29" s="5" t="n">
        <v>37532.19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Ölü Atma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1.657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Yem Silosu Betonarme Kaideleri</t>
        </is>
      </c>
      <c r="C31" s="18" t="inlineStr">
        <is>
          <t>15.160.1003</t>
        </is>
      </c>
      <c r="D31" s="16" t="inlineStr">
        <is>
          <t>Ø 8 - Ø 12 mm nervürlü beton çelik çubuğu, çubukların kesilmesi, bükülmesi ve yerine konulması</t>
        </is>
      </c>
      <c r="E31" s="19" t="inlineStr">
        <is>
          <t>ton</t>
        </is>
      </c>
      <c r="F31" s="20" t="n">
        <v>0.757</v>
      </c>
      <c r="G31" s="5" t="n">
        <v>39045.24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Su Deposu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1.232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Yağmur Suyu Deposu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1.23</v>
      </c>
      <c r="G33" s="5" t="n">
        <v>39045.24</v>
      </c>
      <c r="H33" s="5">
        <f>ROUND(F33*G33,2)</f>
        <v/>
      </c>
    </row>
    <row r="34" ht="30" customHeight="1">
      <c r="A34" s="16" t="inlineStr">
        <is>
          <t>Çatı ve sundurma işleri</t>
        </is>
      </c>
      <c r="B34" s="17" t="inlineStr">
        <is>
          <t>Kümes A Blok</t>
        </is>
      </c>
      <c r="C34" s="18" t="inlineStr">
        <is>
          <t>TKDK-0042</t>
        </is>
      </c>
      <c r="D34" s="16" t="inlineStr">
        <is>
          <t>6 cm poliüretan dolgulu (üst min. 0,40 mm, alt min. 0,30 mm) boyalı galvanizli sac levhalar ile ısı yalıtımlı çatı kaplaması yapılması</t>
        </is>
      </c>
      <c r="E34" s="19" t="inlineStr">
        <is>
          <t>m²</t>
        </is>
      </c>
      <c r="F34" s="20" t="n">
        <v>1204.98</v>
      </c>
      <c r="G34" s="5" t="n">
        <v>1364.72</v>
      </c>
      <c r="H34" s="5">
        <f>ROUND(F34*G34,2)</f>
        <v/>
      </c>
    </row>
    <row r="35" ht="30" customHeight="1">
      <c r="A35" s="16" t="inlineStr">
        <is>
          <t>Çatı ve sundurma işleri</t>
        </is>
      </c>
      <c r="B35" s="17" t="inlineStr">
        <is>
          <t>Kümes B Blok</t>
        </is>
      </c>
      <c r="C35" s="18" t="inlineStr">
        <is>
          <t>TKDK-0042</t>
        </is>
      </c>
      <c r="D35" s="16" t="inlineStr">
        <is>
          <t>6 cm poliüretan dolgulu (üst min. 0,40 mm, alt min. 0,30 mm) boyalı galvanizli sac levhalar ile ısı yalıtımlı çatı kaplaması yapılması</t>
        </is>
      </c>
      <c r="E35" s="19" t="inlineStr">
        <is>
          <t>m²</t>
        </is>
      </c>
      <c r="F35" s="20" t="n">
        <v>1204.98</v>
      </c>
      <c r="G35" s="5" t="n">
        <v>1364.72</v>
      </c>
      <c r="H35" s="5">
        <f>ROUND(F35*G35,2)</f>
        <v/>
      </c>
    </row>
    <row r="36" ht="14" customHeight="1">
      <c r="A36" s="16" t="inlineStr">
        <is>
          <t>Çevre düzenlemesi ve çit işleri</t>
        </is>
      </c>
      <c r="B36" s="17" t="inlineStr">
        <is>
          <t>Çevre Düzenlemesi ve Saha Altyapısı</t>
        </is>
      </c>
      <c r="C36" s="18" t="inlineStr">
        <is>
          <t>TKDK-0091</t>
        </is>
      </c>
      <c r="D36" s="16" t="inlineStr">
        <is>
          <t>Betonarme direkli galvanizli tel örgü çit yapılması (Tip-1)</t>
        </is>
      </c>
      <c r="E36" s="19" t="inlineStr">
        <is>
          <t>m</t>
        </is>
      </c>
      <c r="F36" s="20" t="n">
        <v>361.04</v>
      </c>
      <c r="G36" s="5" t="n">
        <v>940.84</v>
      </c>
      <c r="H36" s="5">
        <f>ROUND(F36*G36,2)</f>
        <v/>
      </c>
    </row>
    <row r="37" ht="20" customHeight="1">
      <c r="A37" s="16" t="inlineStr">
        <is>
          <t>Kanalizasyon işleri</t>
        </is>
      </c>
      <c r="B37" s="17" t="inlineStr">
        <is>
          <t>Çevre Düzenlemesi ve Saha Altyapısı</t>
        </is>
      </c>
      <c r="C37" s="18" t="inlineStr">
        <is>
          <t>43.527.1001</t>
        </is>
      </c>
      <c r="D37" s="16" t="inlineStr">
        <is>
          <t>Çapı 150 mm HDPE koruge boru döşenmesi (SN 8, lastik conta ve boru bedeli dahil)</t>
        </is>
      </c>
      <c r="E37" s="19" t="inlineStr">
        <is>
          <t>m</t>
        </is>
      </c>
      <c r="F37" s="20" t="n">
        <v>50</v>
      </c>
      <c r="G37" s="5" t="n">
        <v>330.7</v>
      </c>
      <c r="H37" s="5">
        <f>ROUND(F37*G37,2)</f>
        <v/>
      </c>
    </row>
    <row r="38" ht="30" customHeight="1">
      <c r="A38" s="16" t="inlineStr">
        <is>
          <t>Betonarme işleri</t>
        </is>
      </c>
      <c r="B38" s="17" t="inlineStr">
        <is>
          <t>Çevre Düzenlemesi ve Saha Altyapısı</t>
        </is>
      </c>
      <c r="C38" s="18" t="inlineStr">
        <is>
          <t>15.150.1005</t>
        </is>
      </c>
      <c r="D38" s="16" t="inlineStr">
        <is>
          <t>Beton santralinde üretilen veya satın alınan ve beton pompasıyla basılan, C 25/30 basınç dayanım sınıfında, gri renkte, normal hazır beton dökülmesi (beton nakli dahil)</t>
        </is>
      </c>
      <c r="E38" s="19" t="inlineStr">
        <is>
          <t>m³</t>
        </is>
      </c>
      <c r="F38" s="20" t="n">
        <v>1.566</v>
      </c>
      <c r="G38" s="5" t="n">
        <v>2960.45</v>
      </c>
      <c r="H38" s="5">
        <f>ROUND(F38*G38,2)</f>
        <v/>
      </c>
    </row>
    <row r="39" ht="14" customHeight="1">
      <c r="A39" s="16" t="inlineStr">
        <is>
          <t>Kalıp, yapı iskelesi işleri</t>
        </is>
      </c>
      <c r="B39" s="17" t="inlineStr">
        <is>
          <t>Çevre Düzenlemesi ve Saha Altyapısı</t>
        </is>
      </c>
      <c r="C39" s="18" t="inlineStr">
        <is>
          <t>15.180.1003</t>
        </is>
      </c>
      <c r="D39" s="16" t="inlineStr">
        <is>
          <t>Plywood ile düz yüzeyli betonarme kalıbı yapılması</t>
        </is>
      </c>
      <c r="E39" s="19" t="inlineStr">
        <is>
          <t>m²</t>
        </is>
      </c>
      <c r="F39" s="20" t="n">
        <v>14.4</v>
      </c>
      <c r="G39" s="5" t="n">
        <v>863.8</v>
      </c>
      <c r="H39" s="5">
        <f>ROUND(F39*G39,2)</f>
        <v/>
      </c>
    </row>
    <row r="40" ht="20" customHeight="1">
      <c r="A40" s="16" t="inlineStr">
        <is>
          <t>Demir-inşaat işleri</t>
        </is>
      </c>
      <c r="B40" s="17" t="inlineStr">
        <is>
          <t>Çevre Düzenlemesi ve Saha Altyapısı</t>
        </is>
      </c>
      <c r="C40" s="18" t="inlineStr">
        <is>
          <t>15.160.1003</t>
        </is>
      </c>
      <c r="D40" s="16" t="inlineStr">
        <is>
          <t>Ø 8 - Ø 12 mm nervürlü beton çelik çubuğu, çubukların kesilmesi, bükülmesi ve yerine konulması</t>
        </is>
      </c>
      <c r="E40" s="19" t="inlineStr">
        <is>
          <t>ton</t>
        </is>
      </c>
      <c r="F40" s="20" t="n">
        <v>0.141</v>
      </c>
      <c r="G40" s="5" t="n">
        <v>39045.24</v>
      </c>
      <c r="H40" s="5">
        <f>ROUND(F40*G40,2)</f>
        <v/>
      </c>
    </row>
    <row r="41" ht="14" customHeight="1">
      <c r="A41" s="16" t="inlineStr">
        <is>
          <t>Kanalizasyon işleri</t>
        </is>
      </c>
      <c r="B41" s="17" t="inlineStr">
        <is>
          <t>Çevre Düzenlemesi ve Saha Altyapısı</t>
        </is>
      </c>
      <c r="C41" s="18" t="inlineStr">
        <is>
          <t>15.560.1003</t>
        </is>
      </c>
      <c r="D41" s="16" t="inlineStr">
        <is>
          <t>Betonarme kompozit rögar kapağı temini ve yerine konulması</t>
        </is>
      </c>
      <c r="E41" s="19" t="inlineStr">
        <is>
          <t>ad</t>
        </is>
      </c>
      <c r="F41" s="20" t="n">
        <v>4</v>
      </c>
      <c r="G41" s="5" t="n">
        <v>3744.3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Çevre Düzenlemesi ve Saha Altyapısı</t>
        </is>
      </c>
      <c r="C42" s="18" t="inlineStr">
        <is>
          <t>35.100.1104</t>
        </is>
      </c>
      <c r="D42" s="16" t="inlineStr">
        <is>
          <t>Ana dağıtım panosu (dikili tip galvanizli sac, en az 700 mm en, 400 mm derinlik) (%25 müteahhit kârı dahil)</t>
        </is>
      </c>
      <c r="E42" s="19" t="inlineStr">
        <is>
          <t>ad</t>
        </is>
      </c>
      <c r="F42" s="20" t="n">
        <v>1</v>
      </c>
      <c r="G42" s="5" t="n">
        <v>31602.33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Çevre Düzenlemesi ve Saha Altyapısı</t>
        </is>
      </c>
      <c r="C43" s="18" t="inlineStr">
        <is>
          <t>35.100.2106</t>
        </is>
      </c>
      <c r="D43" s="16" t="inlineStr">
        <is>
          <t>Sayaç panosu (sıva üstü galvanizli sac tablo, 0,50-0,60 m²) (%25 müteahhit kârı dahil)</t>
        </is>
      </c>
      <c r="E43" s="19" t="inlineStr">
        <is>
          <t>ad</t>
        </is>
      </c>
      <c r="F43" s="20" t="n">
        <v>1</v>
      </c>
      <c r="G43" s="5" t="n">
        <v>8179.25</v>
      </c>
      <c r="H43" s="5">
        <f>ROUND(F43*G43,2)</f>
        <v/>
      </c>
    </row>
    <row r="44" ht="20" customHeight="1">
      <c r="A44" s="16" t="inlineStr">
        <is>
          <t>Elektrik tesisatı ve aydınlatma</t>
        </is>
      </c>
      <c r="B44" s="17" t="inlineStr">
        <is>
          <t>Çevre Düzenlemesi ve Saha Altyapısı</t>
        </is>
      </c>
      <c r="C44" s="18" t="inlineStr">
        <is>
          <t>35.135.3201</t>
        </is>
      </c>
      <c r="D44" s="16" t="inlineStr">
        <is>
          <t>Üç fazlı zaman tarifeli elektronik aktif sayaç, en az 5(100) A, 3x230/400 V (%25 müteahhit kârı dahil)</t>
        </is>
      </c>
      <c r="E44" s="19" t="inlineStr">
        <is>
          <t>ad</t>
        </is>
      </c>
      <c r="F44" s="20" t="n">
        <v>1</v>
      </c>
      <c r="G44" s="5" t="n">
        <v>1504.15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35.110.1104</t>
        </is>
      </c>
      <c r="D45" s="16" t="inlineStr">
        <is>
          <t>Termik-manyetik kompakt şalter 3x160 A, Icu 35 kA — ana giriş (%25 müteahhit kârı dahil)</t>
        </is>
      </c>
      <c r="E45" s="19" t="inlineStr">
        <is>
          <t>ad</t>
        </is>
      </c>
      <c r="F45" s="20" t="n">
        <v>1</v>
      </c>
      <c r="G45" s="5" t="n">
        <v>4753.16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35.115.1003</t>
        </is>
      </c>
      <c r="D46" s="16" t="inlineStr">
        <is>
          <t>Kaçak akım koruma şalteri 2x63 A, 30 mA (%25 müteahhit kârı dahil)</t>
        </is>
      </c>
      <c r="E46" s="19" t="inlineStr">
        <is>
          <t>ad</t>
        </is>
      </c>
      <c r="F46" s="20" t="n">
        <v>2</v>
      </c>
      <c r="G46" s="5" t="n">
        <v>1079.2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35.140.3105</t>
        </is>
      </c>
      <c r="D47" s="16" t="inlineStr">
        <is>
          <t>YVV (NYY) 1 kV yeraltı kablosu ile besleme hattı tesisi — 1x35 mm² (%25 müteahhit kârı dahil)</t>
        </is>
      </c>
      <c r="E47" s="19" t="inlineStr">
        <is>
          <t>m</t>
        </is>
      </c>
      <c r="F47" s="20" t="n">
        <v>50</v>
      </c>
      <c r="G47" s="5" t="n">
        <v>277.15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35.140.3101</t>
        </is>
      </c>
      <c r="D48" s="16" t="inlineStr">
        <is>
          <t>YVV (NYY) 1 kV yeraltı kablosu ile besleme hattı tesisi — 1x6 mm² (%25 müteahhit kârı dahil)</t>
        </is>
      </c>
      <c r="E48" s="19" t="inlineStr">
        <is>
          <t>m</t>
        </is>
      </c>
      <c r="F48" s="20" t="n">
        <v>50</v>
      </c>
      <c r="G48" s="5" t="n">
        <v>51.25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35.172.1706</t>
        </is>
      </c>
      <c r="D49" s="16" t="inlineStr">
        <is>
          <t>Aydınlatma direği — taban çapı en az 80 mm, yükseklik en az 4,00 m (%25 müteahhit kârı dahil)</t>
        </is>
      </c>
      <c r="E49" s="19" t="inlineStr">
        <is>
          <t>ad</t>
        </is>
      </c>
      <c r="F49" s="20" t="n">
        <v>4</v>
      </c>
      <c r="G49" s="5" t="n">
        <v>6229.12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35.170.4002</t>
        </is>
      </c>
      <c r="D50" s="16" t="inlineStr">
        <is>
          <t>LED projektör, ışık akısı en az 5100 lm (%25 müteahhit kârı dahil)</t>
        </is>
      </c>
      <c r="E50" s="19" t="inlineStr">
        <is>
          <t>ad</t>
        </is>
      </c>
      <c r="F50" s="20" t="n">
        <v>4</v>
      </c>
      <c r="G50" s="5" t="n">
        <v>7632.76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Kümes A Blok</t>
        </is>
      </c>
      <c r="C51" s="18" t="inlineStr">
        <is>
          <t>35.120.2016</t>
        </is>
      </c>
      <c r="D51" s="16" t="inlineStr">
        <is>
          <t>Otomatik transfer şalteri 4 x 200 A (%25 müteahhit kârı dahil)</t>
        </is>
      </c>
      <c r="E51" s="19" t="inlineStr">
        <is>
          <t>ad</t>
        </is>
      </c>
      <c r="F51" s="20" t="n">
        <v>1</v>
      </c>
      <c r="G51" s="5" t="n">
        <v>38544.21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Kümes B Blok</t>
        </is>
      </c>
      <c r="C52" s="18" t="inlineStr">
        <is>
          <t>35.120.2016</t>
        </is>
      </c>
      <c r="D52" s="16" t="inlineStr">
        <is>
          <t>Otomatik transfer şalteri 4 x 200 A (%25 müteahhit kârı dahil)</t>
        </is>
      </c>
      <c r="E52" s="19" t="inlineStr">
        <is>
          <t>ad</t>
        </is>
      </c>
      <c r="F52" s="20" t="n">
        <v>1</v>
      </c>
      <c r="G52" s="5" t="n">
        <v>38544.21</v>
      </c>
      <c r="H52" s="5">
        <f>ROUND(F52*G52,2)</f>
        <v/>
      </c>
    </row>
    <row r="53">
      <c r="A53" s="21" t="n"/>
      <c r="B53" s="21" t="n"/>
      <c r="C53" s="21" t="n"/>
      <c r="D53" s="22" t="inlineStr">
        <is>
          <t>HİBE DIŞI YAPIM İŞLERİ TOPLAMI (KDV hariç)</t>
        </is>
      </c>
      <c r="E53" s="21" t="n"/>
      <c r="F53" s="21" t="n"/>
      <c r="G53" s="21" t="n"/>
      <c r="H53" s="9">
        <f>SUM(H5:H52)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25045572.07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5541091.09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3784288.48</v>
      </c>
      <c r="C8" s="6">
        <f>B8/52.7585</f>
        <v/>
      </c>
      <c r="D8" s="17" t="inlineStr">
        <is>
          <t>Proforma fatura</t>
        </is>
      </c>
    </row>
    <row r="9">
      <c r="A9" s="24" t="inlineStr">
        <is>
          <t>UYGUN OLMAYAN HARCAMA — toplam</t>
        </is>
      </c>
      <c r="B9" s="9" t="n">
        <v>9325379.57</v>
      </c>
      <c r="C9" s="10">
        <f>B9/52.7585</f>
        <v/>
      </c>
      <c r="D9" s="25" t="inlineStr">
        <is>
          <t>Öz kaynak</t>
        </is>
      </c>
    </row>
    <row r="10">
      <c r="A10" s="16" t="inlineStr">
        <is>
          <t>IPARD III broyler uygun harcama üst limiti (375.000,00 Avro) — uygun harcama limitin altındadır</t>
        </is>
      </c>
      <c r="B10" s="5" t="n">
        <v>19784437.5</v>
      </c>
      <c r="C10" s="6">
        <f>B10/52.7585</f>
        <v/>
      </c>
      <c r="D10" s="17" t="inlineStr">
        <is>
          <t>Çağrı rehberi</t>
        </is>
      </c>
    </row>
    <row r="11">
      <c r="A11" s="16" t="inlineStr">
        <is>
          <t>KDV — IPARD'da uygun harcama değildir</t>
        </is>
      </c>
      <c r="B11" s="5" t="n">
        <v>5009114.41</v>
      </c>
      <c r="C11" s="6">
        <f>B11/52.7585</f>
        <v/>
      </c>
      <c r="D11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2026-09-03T20:37:50Z</dcterms:created>
  <dcterms:modified xmlns:dcterms="http://purl.org/dc/terms/" xmlns:xsi="http://www.w3.org/2001/XMLSchema-instance" xsi:type="dcterms:W3CDTF">2026-09-03T20:37:50Z</dcterms:modified>
</cp:coreProperties>
</file>